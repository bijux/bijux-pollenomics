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 Data 1" sheetId="1" r:id="rId4"/>
    <sheet state="visible" name="Supplementary Data 2" sheetId="2" r:id="rId5"/>
    <sheet state="visible" name="Supplementary Data 3" sheetId="3" r:id="rId6"/>
    <sheet state="visible" name="Supplementary Data 4" sheetId="4" r:id="rId7"/>
    <sheet state="visible" name="Supplementary Data 5" sheetId="5" r:id="rId8"/>
    <sheet state="visible" name="Supplementary Data 6" sheetId="6" r:id="rId9"/>
  </sheets>
  <definedNames>
    <definedName hidden="1" localSheetId="0" name="_xlnm._FilterDatabase">'Supplementary Data 1'!$T$1:$T$1000</definedName>
    <definedName hidden="1" localSheetId="1" name="_xlnm._FilterDatabase">'Supplementary Data 2'!$F$1:$F$1005</definedName>
    <definedName hidden="1" localSheetId="2" name="_xlnm._FilterDatabase">'Supplementary Data 3'!$C$1:$C$1000</definedName>
  </definedNames>
  <calcPr/>
  <extLst>
    <ext uri="GoogleSheetsCustomDataVersion2">
      <go:sheetsCustomData xmlns:go="http://customooxmlschemas.google.com/" r:id="rId10" roundtripDataChecksum="SNTPL8ha+XhdjOjLXHW7EiwVyZn5v/5V6j1EsDB6e7U="/>
    </ext>
  </extLst>
</workbook>
</file>

<file path=xl/sharedStrings.xml><?xml version="1.0" encoding="utf-8"?>
<sst xmlns="http://schemas.openxmlformats.org/spreadsheetml/2006/main" count="13276" uniqueCount="1881">
  <si>
    <t>Analysis ID</t>
  </si>
  <si>
    <t>Original specimen ID</t>
  </si>
  <si>
    <t>Specimen steward institution(s)</t>
  </si>
  <si>
    <t>Sampled element</t>
  </si>
  <si>
    <t>Country</t>
  </si>
  <si>
    <t>Locality</t>
  </si>
  <si>
    <t>Latitude (proximal to site)</t>
  </si>
  <si>
    <t>Longitude (proximal to site)</t>
  </si>
  <si>
    <t>Date uncal BP</t>
  </si>
  <si>
    <t>Radiocarbon date ID</t>
  </si>
  <si>
    <t>Date BC/AD (OxCal 4.4, IntCal 20)</t>
  </si>
  <si>
    <t>Date cal BP (OxCal 4.4, IntCal 20)</t>
  </si>
  <si>
    <t>Associated culture</t>
  </si>
  <si>
    <t>Library type</t>
  </si>
  <si>
    <t>UDG treatment</t>
  </si>
  <si>
    <t>Endogenous DNA content (%)</t>
  </si>
  <si>
    <t>Coverage (X)</t>
  </si>
  <si>
    <t>Mitochondrial coverage (X)</t>
  </si>
  <si>
    <t>C&gt;T at 1st CpG pos</t>
  </si>
  <si>
    <t>Species</t>
  </si>
  <si>
    <t>Sex</t>
  </si>
  <si>
    <t>Mitochondrial haplogroup</t>
  </si>
  <si>
    <t>mtDNA date BP (BEAST)</t>
  </si>
  <si>
    <t>Analysis date given</t>
  </si>
  <si>
    <t>Analysis population label</t>
  </si>
  <si>
    <t>AdmixtureGraph/TreeMix/D Statistic group</t>
  </si>
  <si>
    <t>MSMC Cross Population Analysis group</t>
  </si>
  <si>
    <t>Fst Sliding Windows group</t>
  </si>
  <si>
    <t>Hxh2</t>
  </si>
  <si>
    <t>ER97/102 282-94-11</t>
  </si>
  <si>
    <t>Johannes Gutenberg University Mainz</t>
  </si>
  <si>
    <t>Petrous</t>
  </si>
  <si>
    <t xml:space="preserve">Germany </t>
  </si>
  <si>
    <t>Herxheim</t>
  </si>
  <si>
    <t>Neolithic</t>
  </si>
  <si>
    <t>dsDNA + shotgun</t>
  </si>
  <si>
    <t>Yes</t>
  </si>
  <si>
    <t>Bos primigenius</t>
  </si>
  <si>
    <t>F</t>
  </si>
  <si>
    <t>P</t>
  </si>
  <si>
    <t>5696 (3321-8989)</t>
  </si>
  <si>
    <t>Holocene Wild Germany</t>
  </si>
  <si>
    <t>westernEurope</t>
  </si>
  <si>
    <t>Wild Europe</t>
  </si>
  <si>
    <t>Gyu1</t>
  </si>
  <si>
    <t>Zoological Institute, Russian Academy of Sciences</t>
  </si>
  <si>
    <t>Armenia</t>
  </si>
  <si>
    <t>Gyumri district</t>
  </si>
  <si>
    <t>11990±40</t>
  </si>
  <si>
    <t>Beta-447490</t>
  </si>
  <si>
    <t>12073-11839 calBC</t>
  </si>
  <si>
    <t>14023-13789</t>
  </si>
  <si>
    <t>M</t>
  </si>
  <si>
    <t>K</t>
  </si>
  <si>
    <t>Pleistocene Wild Caucauses</t>
  </si>
  <si>
    <t>northAsia</t>
  </si>
  <si>
    <t>Galicia1</t>
  </si>
  <si>
    <t>CL34/CL69</t>
  </si>
  <si>
    <t>Universidade da Coruña</t>
  </si>
  <si>
    <t>Petrous/Humerus</t>
  </si>
  <si>
    <t>Spain</t>
  </si>
  <si>
    <t>O Courel, Galicia</t>
  </si>
  <si>
    <t>8297±59</t>
  </si>
  <si>
    <t>Ua-38454</t>
  </si>
  <si>
    <t>7514-7085 calBC</t>
  </si>
  <si>
    <t>9464-9035</t>
  </si>
  <si>
    <t>Mesolithic</t>
  </si>
  <si>
    <t>Holocene Wild Iberia</t>
  </si>
  <si>
    <t>Baikal1</t>
  </si>
  <si>
    <t>Russia</t>
  </si>
  <si>
    <t>Barguzin river, Baikal</t>
  </si>
  <si>
    <t>10320±30</t>
  </si>
  <si>
    <t>Beta-447489</t>
  </si>
  <si>
    <t>10505-9991 calBC</t>
  </si>
  <si>
    <t>12455-11941</t>
  </si>
  <si>
    <t>C</t>
  </si>
  <si>
    <t>Pleistocene Wild Siberia</t>
  </si>
  <si>
    <t>Wild North Asia</t>
  </si>
  <si>
    <t>Vratsa1</t>
  </si>
  <si>
    <t>Sivushka</t>
  </si>
  <si>
    <t>Regional History Museum - Vratsa, Bulgaria</t>
  </si>
  <si>
    <t>Bulgaria</t>
  </si>
  <si>
    <t>Vratsa</t>
  </si>
  <si>
    <t>5266±40</t>
  </si>
  <si>
    <t>UBA-40952</t>
  </si>
  <si>
    <t>4234-3982 calBC</t>
  </si>
  <si>
    <t>6184-5932</t>
  </si>
  <si>
    <t>Holocene Wild Balkans</t>
  </si>
  <si>
    <t>Var2</t>
  </si>
  <si>
    <t>2494/2820</t>
  </si>
  <si>
    <t>Institute of Plant and Animal Ecology, Russian Academy of Sciences</t>
  </si>
  <si>
    <t>Varfolomeevka</t>
  </si>
  <si>
    <t>6335±40</t>
  </si>
  <si>
    <t xml:space="preserve">LuS 16917 </t>
  </si>
  <si>
    <t>5462-5214 calBC</t>
  </si>
  <si>
    <t>7412-7164</t>
  </si>
  <si>
    <t>Holocene Wild Pontic-Caspian Steppe</t>
  </si>
  <si>
    <t>YoA</t>
  </si>
  <si>
    <t>AM112</t>
  </si>
  <si>
    <t>University of Oxford</t>
  </si>
  <si>
    <t>Britain</t>
  </si>
  <si>
    <t>Yorkshire</t>
  </si>
  <si>
    <t>4179±30</t>
  </si>
  <si>
    <t>OxA-16206</t>
  </si>
  <si>
    <t>2885-2634 calBC</t>
  </si>
  <si>
    <t>4835-4584</t>
  </si>
  <si>
    <t>T3</t>
  </si>
  <si>
    <t>Holocene Wild Britain</t>
  </si>
  <si>
    <t>Var1</t>
  </si>
  <si>
    <t>2494/2600</t>
  </si>
  <si>
    <t>6580±40</t>
  </si>
  <si>
    <t xml:space="preserve">LuS 16916 </t>
  </si>
  <si>
    <t>5617-5476 calBC</t>
  </si>
  <si>
    <t>7567-7426</t>
  </si>
  <si>
    <t>Qwild</t>
  </si>
  <si>
    <t>Tula1</t>
  </si>
  <si>
    <t>TYR1/11159</t>
  </si>
  <si>
    <t>Tula district</t>
  </si>
  <si>
    <t>36800±700</t>
  </si>
  <si>
    <t xml:space="preserve">LuS 16918 </t>
  </si>
  <si>
    <t>40436-38722 calBC</t>
  </si>
  <si>
    <t>42386-40672</t>
  </si>
  <si>
    <t>Pre-LGM North Asia</t>
  </si>
  <si>
    <t>Rhi3</t>
  </si>
  <si>
    <t>Bensheim</t>
  </si>
  <si>
    <t>Lauresham Laboratory for Experimental Archaeology, UNESCO-Welterbestätte Kloster Lorsch</t>
  </si>
  <si>
    <t>Germany</t>
  </si>
  <si>
    <t>Upper Rhine Valley</t>
  </si>
  <si>
    <t>12390 (10048-14942)</t>
  </si>
  <si>
    <t>Pleistocene Wild Germany</t>
  </si>
  <si>
    <t>Galicia3</t>
  </si>
  <si>
    <t>CL68</t>
  </si>
  <si>
    <t>Humerus</t>
  </si>
  <si>
    <t>8311±60</t>
  </si>
  <si>
    <t>Ua-38114</t>
  </si>
  <si>
    <t>7524-7089 calBC</t>
  </si>
  <si>
    <t>9474-9039</t>
  </si>
  <si>
    <t>Palidoro1</t>
  </si>
  <si>
    <t>Palidoro</t>
  </si>
  <si>
    <t>Museo delle Civiltà, Rome</t>
  </si>
  <si>
    <t>Italy</t>
  </si>
  <si>
    <t>Palidoro, Latium</t>
  </si>
  <si>
    <t>14720±90</t>
  </si>
  <si>
    <t>LuS 17487</t>
  </si>
  <si>
    <t>16286-15848 calBC</t>
  </si>
  <si>
    <t>18236-17798</t>
  </si>
  <si>
    <t>Late Upper Palaeolithic</t>
  </si>
  <si>
    <t>Pleistocene Wild Italy</t>
  </si>
  <si>
    <t>BZL2</t>
  </si>
  <si>
    <t>KO201415</t>
  </si>
  <si>
    <t>Altai State University</t>
  </si>
  <si>
    <t>Berezovaya Luka (Березовая Лука)</t>
  </si>
  <si>
    <t>3676±30</t>
  </si>
  <si>
    <t>CIRAM-7887</t>
  </si>
  <si>
    <t>2188-1955 calBC</t>
  </si>
  <si>
    <t>4138-3905</t>
  </si>
  <si>
    <t>Bronze Age</t>
  </si>
  <si>
    <t>Bos taurus</t>
  </si>
  <si>
    <t>Bronze Age Altai</t>
  </si>
  <si>
    <t>KOL9</t>
  </si>
  <si>
    <t>KO201524</t>
  </si>
  <si>
    <t>Kolyvanskoe-I (Колыванское-I)</t>
  </si>
  <si>
    <t>3698±30</t>
  </si>
  <si>
    <t>CIRAM-7877</t>
  </si>
  <si>
    <t>2198-1977 calBC</t>
  </si>
  <si>
    <t>4148-3927</t>
  </si>
  <si>
    <t>Bed4</t>
  </si>
  <si>
    <t>LVR-LandesMuseum Bonn</t>
  </si>
  <si>
    <t>Bedburg-Königshoven</t>
  </si>
  <si>
    <t>10108±41</t>
  </si>
  <si>
    <t>COL-2671-2.1</t>
  </si>
  <si>
    <t>9925-9452 calBC</t>
  </si>
  <si>
    <t>11875-11402</t>
  </si>
  <si>
    <t>Tri1</t>
  </si>
  <si>
    <t>Rheinisches Landesmuseum Trier</t>
  </si>
  <si>
    <t>Metatarsus</t>
  </si>
  <si>
    <t>Trier-Brüderkrankenhaus</t>
  </si>
  <si>
    <t>8935±49</t>
  </si>
  <si>
    <t>COL-2546.1.1</t>
  </si>
  <si>
    <t>8267-7952 calBC</t>
  </si>
  <si>
    <t>10217-9902</t>
  </si>
  <si>
    <t>Rhi2</t>
  </si>
  <si>
    <t>Biblis</t>
  </si>
  <si>
    <t>43690±380</t>
  </si>
  <si>
    <t>MAMS-39786</t>
  </si>
  <si>
    <t>44985-43288 calBC</t>
  </si>
  <si>
    <t>46935-45238</t>
  </si>
  <si>
    <t>G</t>
  </si>
  <si>
    <t>Pre-LGM Europe</t>
  </si>
  <si>
    <t>Rhine</t>
  </si>
  <si>
    <t>Tango2</t>
  </si>
  <si>
    <t>Unknown</t>
  </si>
  <si>
    <t>Former Soviet Union</t>
  </si>
  <si>
    <t>3980±30</t>
  </si>
  <si>
    <t>Beta-447492</t>
  </si>
  <si>
    <t>2575-2355 calBC</t>
  </si>
  <si>
    <t>4525-4305</t>
  </si>
  <si>
    <t>Holocene Wild Unknown</t>
  </si>
  <si>
    <t>Uzzo1</t>
  </si>
  <si>
    <t>Grotta dell'Uzzo</t>
  </si>
  <si>
    <t>Grotta dell'Uzzo, Sicily</t>
  </si>
  <si>
    <t>8485±50</t>
  </si>
  <si>
    <t>LuS 17488</t>
  </si>
  <si>
    <t>7593-7480 calBC</t>
  </si>
  <si>
    <t>9542-9429</t>
  </si>
  <si>
    <t>Holocene Wild Italy</t>
  </si>
  <si>
    <t>BZL1</t>
  </si>
  <si>
    <t>KO201411</t>
  </si>
  <si>
    <t>3655±30</t>
  </si>
  <si>
    <t>CIRAM-7886</t>
  </si>
  <si>
    <t>2136-1943 calBC</t>
  </si>
  <si>
    <t>4086-3893</t>
  </si>
  <si>
    <t>Tango1</t>
  </si>
  <si>
    <t>3618±29</t>
  </si>
  <si>
    <t>UBA-40955</t>
  </si>
  <si>
    <t>2118-1890 calBC</t>
  </si>
  <si>
    <t>4068-3840</t>
  </si>
  <si>
    <t>Borly4b</t>
  </si>
  <si>
    <t>Dwelling No. 3, from the ash layer</t>
  </si>
  <si>
    <t>Toraighyrov University</t>
  </si>
  <si>
    <t>Tooth</t>
  </si>
  <si>
    <t>Kazakhstan</t>
  </si>
  <si>
    <t>Borly 4, Pavlodar region</t>
  </si>
  <si>
    <t>4335±35</t>
  </si>
  <si>
    <t xml:space="preserve">LuS 16914 </t>
  </si>
  <si>
    <t>3075-2889 calBC</t>
  </si>
  <si>
    <t>5025-4839</t>
  </si>
  <si>
    <t>Eneolithic</t>
  </si>
  <si>
    <t>Holocene Wild Central Asia</t>
  </si>
  <si>
    <t>Rhi1</t>
  </si>
  <si>
    <t>Eich</t>
  </si>
  <si>
    <t>47000+</t>
  </si>
  <si>
    <t>MAMS-39789</t>
  </si>
  <si>
    <t>51080 (45005-68764)</t>
  </si>
  <si>
    <t>Vratsa2</t>
  </si>
  <si>
    <t>Belcho</t>
  </si>
  <si>
    <t>6130 (6007-6244)</t>
  </si>
  <si>
    <t>Hjo1</t>
  </si>
  <si>
    <t>VHM500/1985, ZMK103/1989</t>
  </si>
  <si>
    <t xml:space="preserve">Historical Museum of Vendsyssel </t>
  </si>
  <si>
    <t>Denmark</t>
  </si>
  <si>
    <t>Hjørring, Tofte Bæk</t>
  </si>
  <si>
    <t>7251±36</t>
  </si>
  <si>
    <t>UBA-40950</t>
  </si>
  <si>
    <t>6223-6026 calBC</t>
  </si>
  <si>
    <t>8173-7976</t>
  </si>
  <si>
    <t>Holocene Wild Scandinavia</t>
  </si>
  <si>
    <t>KOL10</t>
  </si>
  <si>
    <t>KO201525</t>
  </si>
  <si>
    <t>3597±29</t>
  </si>
  <si>
    <t>CIRAM-7879</t>
  </si>
  <si>
    <t>2032-1881 calBC</t>
  </si>
  <si>
    <t>3982-3831</t>
  </si>
  <si>
    <t>Bul2</t>
  </si>
  <si>
    <t>2010 KF 720</t>
  </si>
  <si>
    <t>German Archaeological Institute</t>
  </si>
  <si>
    <t>Uzbekistan</t>
  </si>
  <si>
    <t>Tilla Bulak</t>
  </si>
  <si>
    <t>Bos admixed</t>
  </si>
  <si>
    <t>3871 (3737-4016)</t>
  </si>
  <si>
    <t>Post-Bronze Age Inner Asia</t>
  </si>
  <si>
    <t>Mon4</t>
  </si>
  <si>
    <t>F, Locus 72 RN 9552</t>
  </si>
  <si>
    <t>Turkmenistan</t>
  </si>
  <si>
    <t>Monjukli Depe</t>
  </si>
  <si>
    <t>5588±34</t>
  </si>
  <si>
    <t>CIRAM-8756</t>
  </si>
  <si>
    <t>4492-4349 calBC</t>
  </si>
  <si>
    <t>6442-6299</t>
  </si>
  <si>
    <t>Chalcolithic</t>
  </si>
  <si>
    <t>E</t>
  </si>
  <si>
    <t>Chalcolithic Inner Asia</t>
  </si>
  <si>
    <t>Galicia2</t>
  </si>
  <si>
    <t>CL85</t>
  </si>
  <si>
    <t>8236±51</t>
  </si>
  <si>
    <t>Ua-38115</t>
  </si>
  <si>
    <t>7457-7076 calBC</t>
  </si>
  <si>
    <t>9407-9026</t>
  </si>
  <si>
    <t>Shiderti10</t>
  </si>
  <si>
    <t>Kurgan 1, Ritual sacrifice</t>
  </si>
  <si>
    <t>Shiderti 10, Pavlodar region</t>
  </si>
  <si>
    <t>3538±34</t>
  </si>
  <si>
    <t>UBA-46264</t>
  </si>
  <si>
    <t>1959-1748 calBC</t>
  </si>
  <si>
    <t>3909-3698</t>
  </si>
  <si>
    <t>Bronze Age (Elunino)</t>
  </si>
  <si>
    <t>Mon7</t>
  </si>
  <si>
    <t>D, Locus 416 RN 8406</t>
  </si>
  <si>
    <t>6804 (6524-7071)</t>
  </si>
  <si>
    <t>Ska3</t>
  </si>
  <si>
    <t>Lzzz/3284 L84</t>
  </si>
  <si>
    <t>Biological Museum, Lund University</t>
  </si>
  <si>
    <t>Sweden</t>
  </si>
  <si>
    <t>Skåne</t>
  </si>
  <si>
    <t>8540±55</t>
  </si>
  <si>
    <t>LuS 16897</t>
  </si>
  <si>
    <t>7707-7484 calBC</t>
  </si>
  <si>
    <t>9657-9434</t>
  </si>
  <si>
    <t>Ska1</t>
  </si>
  <si>
    <t>Lzzz/3362 L62</t>
  </si>
  <si>
    <t>Nevishög</t>
  </si>
  <si>
    <t>8380±90</t>
  </si>
  <si>
    <t>LuS 16896</t>
  </si>
  <si>
    <t>7586-7183 calBC</t>
  </si>
  <si>
    <t>9536-9133</t>
  </si>
  <si>
    <t>Borlya</t>
  </si>
  <si>
    <t>kv. 6-Б, depth 35-43 cm</t>
  </si>
  <si>
    <t>Borly, Pavlodar region</t>
  </si>
  <si>
    <t>5763±44</t>
  </si>
  <si>
    <t>UBA-46263</t>
  </si>
  <si>
    <t>4716-4497 calBC</t>
  </si>
  <si>
    <t>6666-6447</t>
  </si>
  <si>
    <t>Late Neolithic</t>
  </si>
  <si>
    <t>Zea1</t>
  </si>
  <si>
    <t>3/1930 Hovedfelt II, P269/2021PB</t>
  </si>
  <si>
    <t>The National Museum of Denmark</t>
  </si>
  <si>
    <t>Lundby I</t>
  </si>
  <si>
    <t>7302 (6754-7744)</t>
  </si>
  <si>
    <t>Borly4a</t>
  </si>
  <si>
    <t>4365±35</t>
  </si>
  <si>
    <t xml:space="preserve">LuS 16915 </t>
  </si>
  <si>
    <t>3091-2901 calBC</t>
  </si>
  <si>
    <t>5041-4851</t>
  </si>
  <si>
    <t>Mantova1</t>
  </si>
  <si>
    <t>V.54</t>
  </si>
  <si>
    <t>Museo Civico di Storia Naturale, Verona</t>
  </si>
  <si>
    <t>Barche di Solferino, near Mantova</t>
  </si>
  <si>
    <t>11169±49</t>
  </si>
  <si>
    <t>UBA-40951</t>
  </si>
  <si>
    <t>11222-10981 calBC</t>
  </si>
  <si>
    <t>13172-12931</t>
  </si>
  <si>
    <t>Padova1</t>
  </si>
  <si>
    <t>MGP-PD 28495</t>
  </si>
  <si>
    <t>Museo della Natura e dell'Uomo, Università degli Studi di Padova</t>
  </si>
  <si>
    <t>Padova</t>
  </si>
  <si>
    <t>12120±80</t>
  </si>
  <si>
    <t>LuS 17486</t>
  </si>
  <si>
    <t>12266-11843 calBC</t>
  </si>
  <si>
    <t>14216-13793</t>
  </si>
  <si>
    <t>ROS002</t>
  </si>
  <si>
    <t>Margulan Institute of Archaeology of the Academy of Sciences of the Republic of Kazakhstan</t>
  </si>
  <si>
    <t>Astragalus</t>
  </si>
  <si>
    <t>Roshchinskoe</t>
  </si>
  <si>
    <t>4637±37</t>
  </si>
  <si>
    <t>UBA-46269</t>
  </si>
  <si>
    <t>3515-3357 calBC</t>
  </si>
  <si>
    <t>5465-5307</t>
  </si>
  <si>
    <t>Zea2</t>
  </si>
  <si>
    <t>3/1930 Hovedfelt II, E6, P270/2021PB</t>
  </si>
  <si>
    <t>7296 (6748-7744)</t>
  </si>
  <si>
    <t>NVL3</t>
  </si>
  <si>
    <t>1a-003 7781</t>
  </si>
  <si>
    <t>Novoil`inka-VI (Новоильинка-VI)</t>
  </si>
  <si>
    <t>4494±29</t>
  </si>
  <si>
    <t>CIRAM-7876</t>
  </si>
  <si>
    <t>3350-3091 calBC</t>
  </si>
  <si>
    <t>5300-5041</t>
  </si>
  <si>
    <t>Uralsk1</t>
  </si>
  <si>
    <t>504/101</t>
  </si>
  <si>
    <t>Cranial element</t>
  </si>
  <si>
    <t>Uralsk</t>
  </si>
  <si>
    <t>Fre1</t>
  </si>
  <si>
    <t>ZMK16/1957</t>
  </si>
  <si>
    <t>Natural History Museum of Denmark</t>
  </si>
  <si>
    <t>Frederiksborg, Alsønderup</t>
  </si>
  <si>
    <t>9375±55</t>
  </si>
  <si>
    <t>AAR-8501</t>
  </si>
  <si>
    <t>8801-8472 calBC</t>
  </si>
  <si>
    <t>10751-10422</t>
  </si>
  <si>
    <t>No</t>
  </si>
  <si>
    <t>-</t>
  </si>
  <si>
    <t>Fife1</t>
  </si>
  <si>
    <t>NMS.Z.1993.161</t>
  </si>
  <si>
    <t>National Museums Scotland</t>
  </si>
  <si>
    <t>Newburgh, Fife</t>
  </si>
  <si>
    <t>9170±80</t>
  </si>
  <si>
    <t>AA-18516</t>
  </si>
  <si>
    <t>8610-8253 calBC</t>
  </si>
  <si>
    <t>10560-10203</t>
  </si>
  <si>
    <t>ROS001</t>
  </si>
  <si>
    <t>4625±33</t>
  </si>
  <si>
    <t>UBA-46268</t>
  </si>
  <si>
    <t>3515-3348 calBC</t>
  </si>
  <si>
    <t>5465-5298</t>
  </si>
  <si>
    <t>NVL1</t>
  </si>
  <si>
    <t>1a-001 7774</t>
  </si>
  <si>
    <t>4504±36</t>
  </si>
  <si>
    <t>CIRAM-7875</t>
  </si>
  <si>
    <t>3358-3040 calBC</t>
  </si>
  <si>
    <t>5308-4990</t>
  </si>
  <si>
    <t>Shauke8b</t>
  </si>
  <si>
    <t>№ 17, kv. A 3</t>
  </si>
  <si>
    <t>Shauke8b, Pavlodar region</t>
  </si>
  <si>
    <t>T2</t>
  </si>
  <si>
    <t>4041 (3005-5724)</t>
  </si>
  <si>
    <t>Narym1</t>
  </si>
  <si>
    <t>Ust '-Narym</t>
  </si>
  <si>
    <t>Padova2</t>
  </si>
  <si>
    <t>MGP-PD 28494</t>
  </si>
  <si>
    <t>Var3</t>
  </si>
  <si>
    <t>2494-2379</t>
  </si>
  <si>
    <t>/</t>
  </si>
  <si>
    <t>mtDNA date BP</t>
  </si>
  <si>
    <t>Publication</t>
  </si>
  <si>
    <t>Bed3</t>
  </si>
  <si>
    <r>
      <rPr>
        <rFont val="Arial"/>
        <color theme="1"/>
      </rPr>
      <t xml:space="preserve">Erven </t>
    </r>
    <r>
      <rPr>
        <rFont val="Arial"/>
        <i/>
        <color theme="1"/>
      </rPr>
      <t xml:space="preserve">et al. </t>
    </r>
    <r>
      <rPr>
        <rFont val="Arial"/>
        <color theme="1"/>
      </rPr>
      <t>2024</t>
    </r>
  </si>
  <si>
    <t>Sub1</t>
  </si>
  <si>
    <t>Turkey</t>
  </si>
  <si>
    <t>Erbaba</t>
  </si>
  <si>
    <t xml:space="preserve">8175-7969 </t>
  </si>
  <si>
    <t>Neolithic Anatolia</t>
  </si>
  <si>
    <t>NeolithicAnatolia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</si>
  <si>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</si>
  <si>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Bes2</t>
  </si>
  <si>
    <t>Iraq</t>
  </si>
  <si>
    <t>Bestansur</t>
  </si>
  <si>
    <t xml:space="preserve">652-553 </t>
  </si>
  <si>
    <t>Medieval</t>
  </si>
  <si>
    <t>678 (630-731)</t>
  </si>
  <si>
    <t>Post-Bronze Age Iraq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</si>
  <si>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</si>
  <si>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CPC</t>
  </si>
  <si>
    <t>England</t>
  </si>
  <si>
    <t>Carsington Pasture Cave, Derbyshire</t>
  </si>
  <si>
    <r>
      <rPr>
        <rFont val="Arial"/>
        <color theme="1"/>
      </rPr>
      <t xml:space="preserve">Park </t>
    </r>
    <r>
      <rPr>
        <rFont val="Arial"/>
        <i/>
        <color theme="1"/>
      </rPr>
      <t xml:space="preserve">et al. </t>
    </r>
    <r>
      <rPr>
        <rFont val="Arial"/>
        <color theme="1"/>
      </rPr>
      <t>2015</t>
    </r>
  </si>
  <si>
    <t>Kaz1</t>
  </si>
  <si>
    <t>Georgia</t>
  </si>
  <si>
    <t>Dariali Tamara Fort</t>
  </si>
  <si>
    <t>619 (1120-78)</t>
  </si>
  <si>
    <t>Post-Bronze Age Caucasus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</si>
  <si>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</si>
  <si>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Men1</t>
  </si>
  <si>
    <t>Menteşe</t>
  </si>
  <si>
    <t>8075 (8417-7757)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</si>
  <si>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</si>
  <si>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Plo4</t>
  </si>
  <si>
    <t>Serbia</t>
  </si>
  <si>
    <t>Plocnik, Prokuplje</t>
  </si>
  <si>
    <t>7025 (7099-6957)</t>
  </si>
  <si>
    <t>Neolithic Europe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</si>
  <si>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</si>
  <si>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Shimao05</t>
  </si>
  <si>
    <t>China</t>
  </si>
  <si>
    <t>Shimao</t>
  </si>
  <si>
    <t xml:space="preserve">3980-3778 </t>
  </si>
  <si>
    <t>T4</t>
  </si>
  <si>
    <t>Neolithic China</t>
  </si>
  <si>
    <r>
      <rPr>
        <rFont val="Arial"/>
        <color theme="1"/>
      </rPr>
      <t xml:space="preserve">Chen </t>
    </r>
    <r>
      <rPr>
        <rFont val="Arial"/>
        <i/>
        <color theme="1"/>
      </rPr>
      <t xml:space="preserve">et al. </t>
    </r>
    <r>
      <rPr>
        <rFont val="Arial"/>
        <color theme="1"/>
      </rPr>
      <t>2018</t>
    </r>
  </si>
  <si>
    <t>Plo3</t>
  </si>
  <si>
    <t>Middle Neolithic</t>
  </si>
  <si>
    <t>7024 (7092-6951)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</si>
  <si>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</si>
  <si>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Bes1</t>
  </si>
  <si>
    <t>Iron age</t>
  </si>
  <si>
    <t>2785 (2930-2644)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</si>
  <si>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</si>
  <si>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Men2</t>
  </si>
  <si>
    <t xml:space="preserve">8010-7837 </t>
  </si>
  <si>
    <t>Q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</si>
  <si>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</si>
  <si>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Gyu2</t>
  </si>
  <si>
    <t>Gyumri</t>
  </si>
  <si>
    <t xml:space="preserve">7255-7016 </t>
  </si>
  <si>
    <t>Holocene Wild Caucasus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</si>
  <si>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</si>
  <si>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Yer1</t>
  </si>
  <si>
    <t>Yerqorqan</t>
  </si>
  <si>
    <t>Achaemenid/Sasanid</t>
  </si>
  <si>
    <t>1691 (3539-1)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</si>
  <si>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</si>
  <si>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Has4</t>
  </si>
  <si>
    <t>Iran</t>
  </si>
  <si>
    <t>Hasanlu, Azerbaijan</t>
  </si>
  <si>
    <t>Iron II</t>
  </si>
  <si>
    <t>2948 (3061-2824)</t>
  </si>
  <si>
    <t>Post-Bronze Age Iran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</si>
  <si>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</si>
  <si>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Qaz1</t>
  </si>
  <si>
    <t>Qazvin</t>
  </si>
  <si>
    <t xml:space="preserve">4832-4581 </t>
  </si>
  <si>
    <t>Bronze Age Iran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</si>
  <si>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</si>
  <si>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Has3</t>
  </si>
  <si>
    <t>Early Bronze II</t>
  </si>
  <si>
    <t>4460 (4700-4228)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</si>
  <si>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</si>
  <si>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Tsa1</t>
  </si>
  <si>
    <t>Israel</t>
  </si>
  <si>
    <t>Tel es-Safi</t>
  </si>
  <si>
    <t>Iron Age II-9th century</t>
  </si>
  <si>
    <t>2846 (2942-2748)</t>
  </si>
  <si>
    <t>Post-Bronze Age Levant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</si>
  <si>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</si>
  <si>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Kok1</t>
  </si>
  <si>
    <t>Kok Tepe</t>
  </si>
  <si>
    <t>Iron Age</t>
  </si>
  <si>
    <t>5235 (7000-2604)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</si>
  <si>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</si>
  <si>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Plo2</t>
  </si>
  <si>
    <t>6833 (7006-6652)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</si>
  <si>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</si>
  <si>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Kaz4</t>
  </si>
  <si>
    <t>1276 (1423-1138)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</si>
  <si>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</si>
  <si>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Kaz3</t>
  </si>
  <si>
    <t>1373 (1423-1328)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</si>
  <si>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</si>
  <si>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Bub1</t>
  </si>
  <si>
    <t>Bubanj</t>
  </si>
  <si>
    <t>7808 (7997-7623)</t>
  </si>
  <si>
    <t>Chalcolithic Europe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</si>
  <si>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</si>
  <si>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Plo6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</si>
  <si>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</si>
  <si>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Ch22</t>
  </si>
  <si>
    <t>Çatalhöyük</t>
  </si>
  <si>
    <t>Holocene Wild Anatolia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</si>
  <si>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</si>
  <si>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Kaz2</t>
  </si>
  <si>
    <t>1124 (1221-1032)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</si>
  <si>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</si>
  <si>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Kho1</t>
  </si>
  <si>
    <t>Nishapur Qohandez</t>
  </si>
  <si>
    <t>Parthes- Islamic</t>
  </si>
  <si>
    <t>I2</t>
  </si>
  <si>
    <t>1474 (1608-1324)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</si>
  <si>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</si>
  <si>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Plo8</t>
  </si>
  <si>
    <t>7027 (7100-6958)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</si>
  <si>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</si>
  <si>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Sac3</t>
  </si>
  <si>
    <t>Tapeh-Sang-e-Caxmaq</t>
  </si>
  <si>
    <t>Neolithic Iran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</si>
  <si>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</si>
  <si>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Stu1</t>
  </si>
  <si>
    <t>Stubline</t>
  </si>
  <si>
    <t>6795 (7083-6523)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</si>
  <si>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</si>
  <si>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Shimao04</t>
  </si>
  <si>
    <t>3906 (3972-3840)</t>
  </si>
  <si>
    <r>
      <rPr>
        <rFont val="Arial"/>
        <color theme="1"/>
      </rPr>
      <t xml:space="preserve">Chen </t>
    </r>
    <r>
      <rPr>
        <rFont val="Arial"/>
        <i/>
        <color theme="1"/>
      </rPr>
      <t xml:space="preserve">et al. </t>
    </r>
    <r>
      <rPr>
        <rFont val="Arial"/>
        <color theme="1"/>
      </rPr>
      <t>2018</t>
    </r>
  </si>
  <si>
    <t>Bel2</t>
  </si>
  <si>
    <t>Belovode-Veliko</t>
  </si>
  <si>
    <t>6946 (7059-6824)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</si>
  <si>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</si>
  <si>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Plo1</t>
  </si>
  <si>
    <t>7142 (7265-7000)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</si>
  <si>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</si>
  <si>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Ace1</t>
  </si>
  <si>
    <t>Acemhöyük</t>
  </si>
  <si>
    <t>Early Bronze Age</t>
  </si>
  <si>
    <t>4614 (4900-4335)</t>
  </si>
  <si>
    <t>Bronze Age Anatolia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</si>
  <si>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</si>
  <si>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Plo7</t>
  </si>
  <si>
    <t>7026 (7096-6954)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</si>
  <si>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</si>
  <si>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STK239</t>
  </si>
  <si>
    <t>Tunisia</t>
  </si>
  <si>
    <t>Althiburos</t>
  </si>
  <si>
    <t>2,877–2,759</t>
  </si>
  <si>
    <t>T1</t>
  </si>
  <si>
    <t>Post-Bronze Age North Africa</t>
  </si>
  <si>
    <r>
      <rPr>
        <rFont val="Arial"/>
        <color theme="1"/>
      </rPr>
      <t xml:space="preserve">Ginja </t>
    </r>
    <r>
      <rPr>
        <rFont val="Arial"/>
        <i/>
        <color theme="1"/>
      </rPr>
      <t xml:space="preserve">et al. </t>
    </r>
    <r>
      <rPr>
        <rFont val="Arial"/>
        <color theme="1"/>
      </rPr>
      <t>2023</t>
    </r>
  </si>
  <si>
    <t>Bel1</t>
  </si>
  <si>
    <t>6949 (7073-6836)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</si>
  <si>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</si>
  <si>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STK234</t>
  </si>
  <si>
    <t>2,544–2,361 / 2,703–2,630 / 2,619–2,558</t>
  </si>
  <si>
    <r>
      <rPr>
        <rFont val="Arial"/>
        <color theme="1"/>
      </rPr>
      <t xml:space="preserve">Ginja </t>
    </r>
    <r>
      <rPr>
        <rFont val="Arial"/>
        <i/>
        <color theme="1"/>
      </rPr>
      <t xml:space="preserve">et al. </t>
    </r>
    <r>
      <rPr>
        <rFont val="Arial"/>
        <color theme="1"/>
      </rPr>
      <t>2023</t>
    </r>
  </si>
  <si>
    <t>Th7</t>
  </si>
  <si>
    <t>Morocco</t>
  </si>
  <si>
    <t>Taghit Haddouch</t>
  </si>
  <si>
    <t>8999-8656</t>
  </si>
  <si>
    <t>Epipalaeolithic</t>
  </si>
  <si>
    <t>R</t>
  </si>
  <si>
    <t>Holocene Wild North Africa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</si>
  <si>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</si>
  <si>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Plo5</t>
  </si>
  <si>
    <t>6706 (6870-6540)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</si>
  <si>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</si>
  <si>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Cas1</t>
  </si>
  <si>
    <t>Horvat Castra</t>
  </si>
  <si>
    <t>Byzantine</t>
  </si>
  <si>
    <t>1544 (1699-1401)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</si>
  <si>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</si>
  <si>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Shimao07</t>
  </si>
  <si>
    <t>3905 (3972-3835)</t>
  </si>
  <si>
    <r>
      <rPr>
        <rFont val="Arial"/>
        <color theme="1"/>
      </rPr>
      <t xml:space="preserve">Chen </t>
    </r>
    <r>
      <rPr>
        <rFont val="Arial"/>
        <i/>
        <color theme="1"/>
      </rPr>
      <t xml:space="preserve">et al. </t>
    </r>
    <r>
      <rPr>
        <rFont val="Arial"/>
        <color theme="1"/>
      </rPr>
      <t>2018</t>
    </r>
  </si>
  <si>
    <t>Bul1</t>
  </si>
  <si>
    <t>Late Bronze</t>
  </si>
  <si>
    <t>3900 (4022-3737)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</si>
  <si>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</si>
  <si>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Tyq1</t>
  </si>
  <si>
    <t>Tel Yoqneam</t>
  </si>
  <si>
    <t>Early Hellenistic</t>
  </si>
  <si>
    <t>2273 (2355-2198)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</si>
  <si>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</si>
  <si>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Has5</t>
  </si>
  <si>
    <t>Achaemenid / Seleuco-Parthian</t>
  </si>
  <si>
    <t>2440 (2312-2571)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</si>
  <si>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</si>
  <si>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Mar1</t>
  </si>
  <si>
    <t>Maral Tappeh, Ozbaki</t>
  </si>
  <si>
    <t>Chalcolithic Iran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</si>
  <si>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</si>
  <si>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Shimao02</t>
  </si>
  <si>
    <t>3904 (3968-3835)</t>
  </si>
  <si>
    <r>
      <rPr>
        <rFont val="Arial"/>
        <color theme="1"/>
      </rPr>
      <t xml:space="preserve">Chen </t>
    </r>
    <r>
      <rPr>
        <rFont val="Arial"/>
        <i/>
        <color theme="1"/>
      </rPr>
      <t xml:space="preserve">et al. </t>
    </r>
    <r>
      <rPr>
        <rFont val="Arial"/>
        <color theme="1"/>
      </rPr>
      <t>2018</t>
    </r>
  </si>
  <si>
    <t>Zah1</t>
  </si>
  <si>
    <t>Tel Zahara</t>
  </si>
  <si>
    <t>Islamic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</si>
  <si>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</si>
  <si>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Far1</t>
  </si>
  <si>
    <t>Miyanroud</t>
  </si>
  <si>
    <t>T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</si>
  <si>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</si>
  <si>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Has1</t>
  </si>
  <si>
    <t>Middle Bronze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</si>
  <si>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</si>
  <si>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Shimao08</t>
  </si>
  <si>
    <t>3904 (3967-3835)</t>
  </si>
  <si>
    <r>
      <rPr>
        <rFont val="Arial"/>
        <color theme="1"/>
      </rPr>
      <t xml:space="preserve">Chen </t>
    </r>
    <r>
      <rPr>
        <rFont val="Arial"/>
        <i/>
        <color theme="1"/>
      </rPr>
      <t xml:space="preserve">et al. </t>
    </r>
    <r>
      <rPr>
        <rFont val="Arial"/>
        <color theme="1"/>
      </rPr>
      <t>2018</t>
    </r>
  </si>
  <si>
    <t>Kaz5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</si>
  <si>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</si>
  <si>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Tmq3</t>
  </si>
  <si>
    <t>Tel Miqne-Ekron</t>
  </si>
  <si>
    <t>Late Bronze IIA - 14th/13th Century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</si>
  <si>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</si>
  <si>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Tmq4</t>
  </si>
  <si>
    <t>Late Bronze-Iron Age unclear attribution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</si>
  <si>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</si>
  <si>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Tsa3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</si>
  <si>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</si>
  <si>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Bla1</t>
  </si>
  <si>
    <t>Blagotin</t>
  </si>
  <si>
    <t>Early Neolithic Starčevo culture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</si>
  <si>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</si>
  <si>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Tqa3</t>
  </si>
  <si>
    <t>Tel es-Qashish</t>
  </si>
  <si>
    <t>4637 (5103-4223)</t>
  </si>
  <si>
    <t>Bronze Age Levant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</si>
  <si>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</si>
  <si>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ALT232</t>
  </si>
  <si>
    <t>2,735–2,485 / 2,475–2,470</t>
  </si>
  <si>
    <r>
      <rPr>
        <rFont val="Arial"/>
        <color theme="1"/>
      </rPr>
      <t xml:space="preserve">Ginja </t>
    </r>
    <r>
      <rPr>
        <rFont val="Arial"/>
        <i/>
        <color theme="1"/>
      </rPr>
      <t xml:space="preserve">et al. </t>
    </r>
    <r>
      <rPr>
        <rFont val="Arial"/>
        <color theme="1"/>
      </rPr>
      <t>2023</t>
    </r>
  </si>
  <si>
    <t>Bla2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</si>
  <si>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</si>
  <si>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Shimao01</t>
  </si>
  <si>
    <r>
      <rPr>
        <rFont val="Arial"/>
        <color theme="1"/>
      </rPr>
      <t xml:space="preserve">Chen </t>
    </r>
    <r>
      <rPr>
        <rFont val="Arial"/>
        <i/>
        <color theme="1"/>
      </rPr>
      <t xml:space="preserve">et al. </t>
    </r>
    <r>
      <rPr>
        <rFont val="Arial"/>
        <color theme="1"/>
      </rPr>
      <t>2018</t>
    </r>
  </si>
  <si>
    <t>Shimao03</t>
  </si>
  <si>
    <r>
      <rPr>
        <rFont val="Arial"/>
        <color theme="1"/>
      </rPr>
      <t xml:space="preserve">Chen </t>
    </r>
    <r>
      <rPr>
        <rFont val="Arial"/>
        <i/>
        <color theme="1"/>
      </rPr>
      <t xml:space="preserve">et al. </t>
    </r>
    <r>
      <rPr>
        <rFont val="Arial"/>
        <color theme="1"/>
      </rPr>
      <t>2018</t>
    </r>
  </si>
  <si>
    <t>Shimao06</t>
  </si>
  <si>
    <r>
      <rPr>
        <rFont val="Arial"/>
        <color theme="1"/>
      </rPr>
      <t xml:space="preserve">Chen </t>
    </r>
    <r>
      <rPr>
        <rFont val="Arial"/>
        <i/>
        <color theme="1"/>
      </rPr>
      <t xml:space="preserve">et al. </t>
    </r>
    <r>
      <rPr>
        <rFont val="Arial"/>
        <color theme="1"/>
      </rPr>
      <t>2018</t>
    </r>
  </si>
  <si>
    <t>STK230</t>
  </si>
  <si>
    <r>
      <rPr>
        <rFont val="Arial"/>
        <color theme="1"/>
      </rPr>
      <t xml:space="preserve">Ginja </t>
    </r>
    <r>
      <rPr>
        <rFont val="Arial"/>
        <i/>
        <color theme="1"/>
      </rPr>
      <t xml:space="preserve">et al. </t>
    </r>
    <r>
      <rPr>
        <rFont val="Arial"/>
        <color theme="1"/>
      </rPr>
      <t>2023</t>
    </r>
  </si>
  <si>
    <t>STK231</t>
  </si>
  <si>
    <r>
      <rPr>
        <rFont val="Arial"/>
        <color theme="1"/>
      </rPr>
      <t xml:space="preserve">Ginja </t>
    </r>
    <r>
      <rPr>
        <rFont val="Arial"/>
        <i/>
        <color theme="1"/>
      </rPr>
      <t xml:space="preserve">et al. </t>
    </r>
    <r>
      <rPr>
        <rFont val="Arial"/>
        <color theme="1"/>
      </rPr>
      <t>2023</t>
    </r>
  </si>
  <si>
    <t>STK236</t>
  </si>
  <si>
    <r>
      <rPr>
        <rFont val="Arial"/>
        <color theme="1"/>
      </rPr>
      <t xml:space="preserve">Ginja </t>
    </r>
    <r>
      <rPr>
        <rFont val="Arial"/>
        <i/>
        <color theme="1"/>
      </rPr>
      <t xml:space="preserve">et al. </t>
    </r>
    <r>
      <rPr>
        <rFont val="Arial"/>
        <color theme="1"/>
      </rPr>
      <t>2023</t>
    </r>
  </si>
  <si>
    <t>STK243</t>
  </si>
  <si>
    <t>2,178–2,041 / 2,302–2,234 / 2,026–2,003</t>
  </si>
  <si>
    <r>
      <rPr>
        <rFont val="Arial"/>
        <color theme="1"/>
      </rPr>
      <t xml:space="preserve">Ginja </t>
    </r>
    <r>
      <rPr>
        <rFont val="Arial"/>
        <i/>
        <color theme="1"/>
      </rPr>
      <t xml:space="preserve">et al. </t>
    </r>
    <r>
      <rPr>
        <rFont val="Arial"/>
        <color theme="1"/>
      </rPr>
      <t>2023</t>
    </r>
  </si>
  <si>
    <t>Ash4</t>
  </si>
  <si>
    <t>Tel Ashqelon</t>
  </si>
  <si>
    <t>Early Iron</t>
  </si>
  <si>
    <t>3123 (3214-3024)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</si>
  <si>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</si>
  <si>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Mas1</t>
  </si>
  <si>
    <t>Tel Masos</t>
  </si>
  <si>
    <t>Iron Age I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</si>
  <si>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</si>
  <si>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Tmq1</t>
  </si>
  <si>
    <t>Iron Age IA- 1st third of 12th Century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</si>
  <si>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</si>
  <si>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Tmq2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</si>
  <si>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</si>
  <si>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Tsa2</t>
  </si>
  <si>
    <t>3124 (3222-3033)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</si>
  <si>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</si>
  <si>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ALT235</t>
  </si>
  <si>
    <t>2,765–2,730</t>
  </si>
  <si>
    <r>
      <rPr>
        <rFont val="Arial"/>
        <color theme="1"/>
      </rPr>
      <t xml:space="preserve">Ginja </t>
    </r>
    <r>
      <rPr>
        <rFont val="Arial"/>
        <i/>
        <color theme="1"/>
      </rPr>
      <t xml:space="preserve">et al. </t>
    </r>
    <r>
      <rPr>
        <rFont val="Arial"/>
        <color theme="1"/>
      </rPr>
      <t>2023</t>
    </r>
  </si>
  <si>
    <t>Azer1</t>
  </si>
  <si>
    <t>Kul Tepe (Kültəpə)</t>
  </si>
  <si>
    <t>Late Chalcolithic</t>
  </si>
  <si>
    <t>6177 (6272-6073)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</si>
  <si>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</si>
  <si>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Dan1</t>
  </si>
  <si>
    <t>Tel Dan</t>
  </si>
  <si>
    <t>PN-Early Bronze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</si>
  <si>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</si>
  <si>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Gil1</t>
  </si>
  <si>
    <t>Gilat</t>
  </si>
  <si>
    <t>Chalcolithic Levant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</si>
  <si>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</si>
  <si>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Mon1</t>
  </si>
  <si>
    <t>6813 (7089-6523)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</si>
  <si>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</si>
  <si>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Nah1</t>
  </si>
  <si>
    <t>Nahal Tillah</t>
  </si>
  <si>
    <t>Early Bronze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</si>
  <si>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</si>
  <si>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Pro1</t>
  </si>
  <si>
    <t>Greece</t>
  </si>
  <si>
    <t>Promachon, Serres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</si>
  <si>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</si>
  <si>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Sar38</t>
  </si>
  <si>
    <t>Sarakenos Cave, Boeotia</t>
  </si>
  <si>
    <t>7695 (7764-7623)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</si>
  <si>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</si>
  <si>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STK240</t>
  </si>
  <si>
    <r>
      <rPr>
        <rFont val="Arial"/>
        <color theme="1"/>
      </rPr>
      <t xml:space="preserve">Ginja </t>
    </r>
    <r>
      <rPr>
        <rFont val="Arial"/>
        <i/>
        <color theme="1"/>
      </rPr>
      <t xml:space="preserve">et al. </t>
    </r>
    <r>
      <rPr>
        <rFont val="Arial"/>
        <color theme="1"/>
      </rPr>
      <t>2023</t>
    </r>
  </si>
  <si>
    <t>Tda1</t>
  </si>
  <si>
    <t>Tel-Dalit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</si>
  <si>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</si>
  <si>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Thr1</t>
  </si>
  <si>
    <t>Tel Hreiz</t>
  </si>
  <si>
    <t>Neolithic Levant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</si>
  <si>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</si>
  <si>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Tqa1</t>
  </si>
  <si>
    <t>4629 (5099-4223)</t>
  </si>
  <si>
    <r>
      <rPr>
        <rFont val="Arial"/>
        <color theme="1"/>
      </rPr>
      <t xml:space="preserve">Verdugo </t>
    </r>
    <r>
      <rPr>
        <rFont val="Arial"/>
        <i/>
        <color theme="1"/>
      </rPr>
      <t xml:space="preserve">et al. </t>
    </r>
    <r>
      <rPr>
        <rFont val="Arial"/>
        <color theme="1"/>
      </rPr>
      <t>2019</t>
    </r>
  </si>
  <si>
    <t>Breed/Species</t>
  </si>
  <si>
    <t>Coverage</t>
  </si>
  <si>
    <t xml:space="preserve">Accession </t>
  </si>
  <si>
    <t>Origin of Sampled Breed</t>
  </si>
  <si>
    <t>Lat</t>
  </si>
  <si>
    <t>Long</t>
  </si>
  <si>
    <t>Achai01</t>
  </si>
  <si>
    <t>Achai</t>
  </si>
  <si>
    <t>South Asian indicine</t>
  </si>
  <si>
    <t>CL100006972</t>
  </si>
  <si>
    <t>Pakistan/Afghanistan</t>
  </si>
  <si>
    <t>AfricanBuffalo01</t>
  </si>
  <si>
    <t>Syncerus caffer</t>
  </si>
  <si>
    <t>Outgroup</t>
  </si>
  <si>
    <t>SAMN05717674</t>
  </si>
  <si>
    <t>Alent01</t>
  </si>
  <si>
    <t>Alentejana</t>
  </si>
  <si>
    <t>Iberian taurine</t>
  </si>
  <si>
    <t>ERR3305588</t>
  </si>
  <si>
    <t>Portugual</t>
  </si>
  <si>
    <t>taurine</t>
  </si>
  <si>
    <t>AmericanBison01</t>
  </si>
  <si>
    <t>Bison bison</t>
  </si>
  <si>
    <t>SAMN05558798</t>
  </si>
  <si>
    <t>AmericanBison</t>
  </si>
  <si>
    <t>AmericanBison02</t>
  </si>
  <si>
    <t>SAMN05000823</t>
  </si>
  <si>
    <t>AmericanBison03</t>
  </si>
  <si>
    <t>SAMN08324143</t>
  </si>
  <si>
    <t>Angus01</t>
  </si>
  <si>
    <t>Angus</t>
  </si>
  <si>
    <t>North European taurine</t>
  </si>
  <si>
    <t>SRR1355237</t>
  </si>
  <si>
    <t>Scotland</t>
  </si>
  <si>
    <t>Angus02</t>
  </si>
  <si>
    <t>SRR1365129</t>
  </si>
  <si>
    <t>Angus03</t>
  </si>
  <si>
    <t>SRR1365144</t>
  </si>
  <si>
    <t>Angus04</t>
  </si>
  <si>
    <t>SRR1425124</t>
  </si>
  <si>
    <t>Angus05</t>
  </si>
  <si>
    <t>SRR1425145</t>
  </si>
  <si>
    <t>Ankole01</t>
  </si>
  <si>
    <t>Ankole</t>
  </si>
  <si>
    <t>African taurine</t>
  </si>
  <si>
    <t>SRR3656914</t>
  </si>
  <si>
    <t>West Africa</t>
  </si>
  <si>
    <t>Ankole02</t>
  </si>
  <si>
    <t>SRR3656915</t>
  </si>
  <si>
    <t>Ankole03</t>
  </si>
  <si>
    <t>SRR3656921</t>
  </si>
  <si>
    <t>Banteng01</t>
  </si>
  <si>
    <t>Bos javanicus</t>
  </si>
  <si>
    <t>SAMN05558796</t>
  </si>
  <si>
    <t>Banteng</t>
  </si>
  <si>
    <t>Banteng02</t>
  </si>
  <si>
    <t>SAMN05558797</t>
  </si>
  <si>
    <t>Banteng03</t>
  </si>
  <si>
    <t>SRR6448719</t>
  </si>
  <si>
    <t>Banteng05</t>
  </si>
  <si>
    <t>SRR6448728</t>
  </si>
  <si>
    <t>Baoule01</t>
  </si>
  <si>
    <t>Baoule</t>
  </si>
  <si>
    <t>ERR4472501</t>
  </si>
  <si>
    <t>Ivory Coast</t>
  </si>
  <si>
    <t>Baoule02</t>
  </si>
  <si>
    <t>ERR4472506</t>
  </si>
  <si>
    <t>Baoule03</t>
  </si>
  <si>
    <t>ERR4472507</t>
  </si>
  <si>
    <t>Baoule04</t>
  </si>
  <si>
    <t>ERR4472508</t>
  </si>
  <si>
    <t>Baoule05</t>
  </si>
  <si>
    <t>ERR4472510</t>
  </si>
  <si>
    <t>Baoule06</t>
  </si>
  <si>
    <t>ERR4472515</t>
  </si>
  <si>
    <t>Baoule07</t>
  </si>
  <si>
    <t>ERR4472516</t>
  </si>
  <si>
    <t>Bashan01</t>
  </si>
  <si>
    <t>Bashan</t>
  </si>
  <si>
    <t>East Asian hybrid</t>
  </si>
  <si>
    <t>SRR5507205</t>
  </si>
  <si>
    <t>China (north-central)</t>
  </si>
  <si>
    <t>Bashan02</t>
  </si>
  <si>
    <t>SRR5507206</t>
  </si>
  <si>
    <t>Bashan03</t>
  </si>
  <si>
    <t>SRR5507207</t>
  </si>
  <si>
    <t>Bashan04</t>
  </si>
  <si>
    <t>SRR5507208</t>
  </si>
  <si>
    <t>Bashan05</t>
  </si>
  <si>
    <t>SRR5507209</t>
  </si>
  <si>
    <t>BelgianBlue01</t>
  </si>
  <si>
    <t>Belgian Blue</t>
  </si>
  <si>
    <t>SAMN09379813</t>
  </si>
  <si>
    <t>Belgium</t>
  </si>
  <si>
    <t>BeltedGalloway01</t>
  </si>
  <si>
    <t>Belted Galloway</t>
  </si>
  <si>
    <t>SAMN05803879</t>
  </si>
  <si>
    <t>BeltedGalloway02</t>
  </si>
  <si>
    <t>SAMN05803880</t>
  </si>
  <si>
    <t>Bhagnari01</t>
  </si>
  <si>
    <t>Bhagnari</t>
  </si>
  <si>
    <t>CL100007002</t>
  </si>
  <si>
    <t>Pakistan</t>
  </si>
  <si>
    <t>BlondeDAquitaine01</t>
  </si>
  <si>
    <t>Blonde D'Aquitaine</t>
  </si>
  <si>
    <t>SAMN01915355</t>
  </si>
  <si>
    <t>France</t>
  </si>
  <si>
    <t>BohaiBlack01</t>
  </si>
  <si>
    <t>Bohai Black</t>
  </si>
  <si>
    <t>SRR5507223</t>
  </si>
  <si>
    <t>BohaiBlack02</t>
  </si>
  <si>
    <t>SRR5507224</t>
  </si>
  <si>
    <t>BohaiBlack03</t>
  </si>
  <si>
    <t>SRR5507225</t>
  </si>
  <si>
    <t>BohaiBlack04</t>
  </si>
  <si>
    <t>SRR5507226</t>
  </si>
  <si>
    <t>BohaiBlack05</t>
  </si>
  <si>
    <t>SRR5507227</t>
  </si>
  <si>
    <t>Boran01</t>
  </si>
  <si>
    <t>Boran</t>
  </si>
  <si>
    <t>African hybrid</t>
  </si>
  <si>
    <t>SRR3546727</t>
  </si>
  <si>
    <t>East Africa</t>
  </si>
  <si>
    <t>Boran02</t>
  </si>
  <si>
    <t>SRR3546728</t>
  </si>
  <si>
    <t>Boran04</t>
  </si>
  <si>
    <t>SRR3546777</t>
  </si>
  <si>
    <t>Boran05</t>
  </si>
  <si>
    <t>SRR3546787</t>
  </si>
  <si>
    <t>Boskarin01</t>
  </si>
  <si>
    <t>Boskarin</t>
  </si>
  <si>
    <t>South European taurine</t>
  </si>
  <si>
    <t>SRR8426534</t>
  </si>
  <si>
    <t>Croatia</t>
  </si>
  <si>
    <t>Brahman01</t>
  </si>
  <si>
    <t>Brahman</t>
  </si>
  <si>
    <t>SRR6650022</t>
  </si>
  <si>
    <t>Australia</t>
  </si>
  <si>
    <t>Not Plotted</t>
  </si>
  <si>
    <t>Brahman02</t>
  </si>
  <si>
    <t>SRR6650023</t>
  </si>
  <si>
    <t>Brahman03</t>
  </si>
  <si>
    <t>SRR6650031</t>
  </si>
  <si>
    <t>BrownSwiss01</t>
  </si>
  <si>
    <t>Brown Swiss</t>
  </si>
  <si>
    <t>ERR1746314</t>
  </si>
  <si>
    <t>Switzerland</t>
  </si>
  <si>
    <t>BrownSwiss02</t>
  </si>
  <si>
    <t>ERR1746315</t>
  </si>
  <si>
    <t>BrownSwiss03</t>
  </si>
  <si>
    <t>ERR1746326</t>
  </si>
  <si>
    <t>BrownSwiss04</t>
  </si>
  <si>
    <t>ERR1747023</t>
  </si>
  <si>
    <t>BrownSwiss05</t>
  </si>
  <si>
    <t>ERR1766310</t>
  </si>
  <si>
    <t>Busha01</t>
  </si>
  <si>
    <t>Buša</t>
  </si>
  <si>
    <r>
      <rPr>
        <rFont val="Arial"/>
        <color rgb="FF000000"/>
        <sz val="10.0"/>
        <u/>
      </rPr>
      <t>https://doi.org/10.1111/eva.12770</t>
    </r>
    <r>
      <rPr>
        <rFont val="Arial"/>
        <color rgb="FF000000"/>
        <sz val="10.0"/>
      </rPr>
      <t xml:space="preserve"> (ID: Busha-B)</t>
    </r>
  </si>
  <si>
    <t>Former Yugoslavia</t>
  </si>
  <si>
    <t>Busha02</t>
  </si>
  <si>
    <r>
      <rPr>
        <rFont val="Arial"/>
        <color rgb="FF000000"/>
        <sz val="10.0"/>
        <u/>
      </rPr>
      <t>https://doi.org/10.1111/eva.12770</t>
    </r>
    <r>
      <rPr>
        <rFont val="Arial"/>
        <color rgb="FF000000"/>
        <sz val="10.0"/>
      </rPr>
      <t xml:space="preserve"> (ID: Busha-Blk123)</t>
    </r>
  </si>
  <si>
    <t>Chaidamu01</t>
  </si>
  <si>
    <t>Chaidamu</t>
  </si>
  <si>
    <t>East Asian taurine</t>
  </si>
  <si>
    <t>SRR5507271</t>
  </si>
  <si>
    <t>China (north)</t>
  </si>
  <si>
    <t>Chaidamu02</t>
  </si>
  <si>
    <t>SRR5507272</t>
  </si>
  <si>
    <t>Charolais01</t>
  </si>
  <si>
    <t>Charolais</t>
  </si>
  <si>
    <t>SRR1343169</t>
  </si>
  <si>
    <t>Charolais02</t>
  </si>
  <si>
    <t>SRR1348574</t>
  </si>
  <si>
    <t>Charolais03</t>
  </si>
  <si>
    <t>SRR1348577</t>
  </si>
  <si>
    <t>Charolais04</t>
  </si>
  <si>
    <t>SRR1348584</t>
  </si>
  <si>
    <t>Charolais05</t>
  </si>
  <si>
    <t>SRR1355254</t>
  </si>
  <si>
    <t>Charolais06</t>
  </si>
  <si>
    <t>SRR1355258</t>
  </si>
  <si>
    <t>Chianina01</t>
  </si>
  <si>
    <t>Chianina</t>
  </si>
  <si>
    <t>SAMN05216091</t>
  </si>
  <si>
    <t>Cholistani01</t>
  </si>
  <si>
    <t>Cholistani</t>
  </si>
  <si>
    <t>CL100006973</t>
  </si>
  <si>
    <t>Dabiestan01</t>
  </si>
  <si>
    <t>Wandong</t>
  </si>
  <si>
    <t>SRR5507191</t>
  </si>
  <si>
    <t>China (Southeast)</t>
  </si>
  <si>
    <t>Dabiestan02</t>
  </si>
  <si>
    <t>SRR5507192</t>
  </si>
  <si>
    <t>DanishRed01</t>
  </si>
  <si>
    <t>Danish Red</t>
  </si>
  <si>
    <t>ERR3890053</t>
  </si>
  <si>
    <t>Dexter01</t>
  </si>
  <si>
    <t>Dexter</t>
  </si>
  <si>
    <t>SAMN05803883</t>
  </si>
  <si>
    <t>Ireland</t>
  </si>
  <si>
    <t>Dexter02</t>
  </si>
  <si>
    <t>SAMN05803888</t>
  </si>
  <si>
    <t>Dhanni01</t>
  </si>
  <si>
    <t>Dhanni</t>
  </si>
  <si>
    <t>CL100012095</t>
  </si>
  <si>
    <t>DomesticYak01</t>
  </si>
  <si>
    <t>Bos grunniens</t>
  </si>
  <si>
    <t>SRR2058191</t>
  </si>
  <si>
    <t>DomesticYak02</t>
  </si>
  <si>
    <t>SRR2058054</t>
  </si>
  <si>
    <t>DomesticYak03</t>
  </si>
  <si>
    <t>SRR2059878</t>
  </si>
  <si>
    <t>DomesticYak04</t>
  </si>
  <si>
    <t>SRR2059946</t>
  </si>
  <si>
    <t>DomesticYak05</t>
  </si>
  <si>
    <t>SRR2059935</t>
  </si>
  <si>
    <t>DomesticYak06</t>
  </si>
  <si>
    <t>SRR2059966</t>
  </si>
  <si>
    <t>Eringer01</t>
  </si>
  <si>
    <t>Eringer</t>
  </si>
  <si>
    <t>ERR1742687</t>
  </si>
  <si>
    <t>Finncattle01</t>
  </si>
  <si>
    <t>Finncattle</t>
  </si>
  <si>
    <t>ERR2734942</t>
  </si>
  <si>
    <t>Finland</t>
  </si>
  <si>
    <t>Finncattle02</t>
  </si>
  <si>
    <t>ERR2734943</t>
  </si>
  <si>
    <t>Finncattle03</t>
  </si>
  <si>
    <t>ERR2734944</t>
  </si>
  <si>
    <t>Finncattle04</t>
  </si>
  <si>
    <t>ERR2734945</t>
  </si>
  <si>
    <t>Finncattle05</t>
  </si>
  <si>
    <t>ERR2734946</t>
  </si>
  <si>
    <t>Finncattle06</t>
  </si>
  <si>
    <t>ERR2734947</t>
  </si>
  <si>
    <t>Finncattle07</t>
  </si>
  <si>
    <t>ERR2734948</t>
  </si>
  <si>
    <t>Finncattle08</t>
  </si>
  <si>
    <t>ERR2734949</t>
  </si>
  <si>
    <t>Finncattle09</t>
  </si>
  <si>
    <t>ERR2734950</t>
  </si>
  <si>
    <t>Finncattle10</t>
  </si>
  <si>
    <t>ERR2734951</t>
  </si>
  <si>
    <t>Gabrali01</t>
  </si>
  <si>
    <t>Gabrali</t>
  </si>
  <si>
    <t>CL100007106</t>
  </si>
  <si>
    <t>Gaur01</t>
  </si>
  <si>
    <t>Bos gaurus</t>
  </si>
  <si>
    <t>SAMN05558794</t>
  </si>
  <si>
    <t>Gaur</t>
  </si>
  <si>
    <t>Gaur02</t>
  </si>
  <si>
    <t>SAMN05558795</t>
  </si>
  <si>
    <t>Gaur03</t>
  </si>
  <si>
    <t>SAMN08324142</t>
  </si>
  <si>
    <t>Gayal01</t>
  </si>
  <si>
    <t>Bos frontalis</t>
  </si>
  <si>
    <t>SAMN08323689</t>
  </si>
  <si>
    <t>Gayal</t>
  </si>
  <si>
    <t>Gayal02</t>
  </si>
  <si>
    <t>SRR6448589</t>
  </si>
  <si>
    <t>Gayal03</t>
  </si>
  <si>
    <t>SRR6448585</t>
  </si>
  <si>
    <t>Gelbvieh01</t>
  </si>
  <si>
    <t>Gelbvieh</t>
  </si>
  <si>
    <t>SRR1343166</t>
  </si>
  <si>
    <t>Gelbvieh02</t>
  </si>
  <si>
    <t>SRR1346388</t>
  </si>
  <si>
    <t>Gelbvieh03</t>
  </si>
  <si>
    <t>SRR1348575</t>
  </si>
  <si>
    <t>Gelbvieh04</t>
  </si>
  <si>
    <t>SRR1355236</t>
  </si>
  <si>
    <t>Gelbvieh05</t>
  </si>
  <si>
    <t>SRR1365112</t>
  </si>
  <si>
    <t>Gir01</t>
  </si>
  <si>
    <t>Gir</t>
  </si>
  <si>
    <t>SRR2016752</t>
  </si>
  <si>
    <t>India</t>
  </si>
  <si>
    <t>southAsian</t>
  </si>
  <si>
    <t>Gir02</t>
  </si>
  <si>
    <t>SRR2016753</t>
  </si>
  <si>
    <t>Gir03</t>
  </si>
  <si>
    <t>SRR2016754</t>
  </si>
  <si>
    <t>Gourounsi01</t>
  </si>
  <si>
    <t>Gourounsi</t>
  </si>
  <si>
    <t>ERR4494254</t>
  </si>
  <si>
    <t>Burkina Faso</t>
  </si>
  <si>
    <t>Gourounsi02</t>
  </si>
  <si>
    <t>ERR4494255</t>
  </si>
  <si>
    <t>Gourounsi03</t>
  </si>
  <si>
    <t>ERR4494323</t>
  </si>
  <si>
    <t>Hanwoo01</t>
  </si>
  <si>
    <t>Hanwoo</t>
  </si>
  <si>
    <t>SRR934400</t>
  </si>
  <si>
    <t>Korea</t>
  </si>
  <si>
    <t>Hanwoo02</t>
  </si>
  <si>
    <t>SRR934401</t>
  </si>
  <si>
    <t>Hanwoo03</t>
  </si>
  <si>
    <t>SRR934415</t>
  </si>
  <si>
    <t>Hanwoo04</t>
  </si>
  <si>
    <t>SRR934417</t>
  </si>
  <si>
    <t>Hanwoo05</t>
  </si>
  <si>
    <t>SRR934418</t>
  </si>
  <si>
    <t>Hanwoo06</t>
  </si>
  <si>
    <t>SRR934419</t>
  </si>
  <si>
    <t>Hanwoo07</t>
  </si>
  <si>
    <t>SRR934432</t>
  </si>
  <si>
    <t>Hanwoo08</t>
  </si>
  <si>
    <t>SRR934433</t>
  </si>
  <si>
    <t>Hanwoo09</t>
  </si>
  <si>
    <t>SRR934434</t>
  </si>
  <si>
    <t>Hanwoo10</t>
  </si>
  <si>
    <t>SRR934436</t>
  </si>
  <si>
    <t>Hariana01</t>
  </si>
  <si>
    <t>Hariana</t>
  </si>
  <si>
    <t>SRR6936539</t>
  </si>
  <si>
    <t>Pakistan/India</t>
  </si>
  <si>
    <t>Hereford01</t>
  </si>
  <si>
    <t>Hereford</t>
  </si>
  <si>
    <t>SRR1343160</t>
  </si>
  <si>
    <t>Hereford02</t>
  </si>
  <si>
    <t>SRR1346382</t>
  </si>
  <si>
    <t>Hereford03</t>
  </si>
  <si>
    <t>SRR1346383</t>
  </si>
  <si>
    <t>Hereford04</t>
  </si>
  <si>
    <t>SRR1346385</t>
  </si>
  <si>
    <t>Hereford05</t>
  </si>
  <si>
    <t>SRR1346387</t>
  </si>
  <si>
    <t>Hereford06</t>
  </si>
  <si>
    <t>SRR1365124</t>
  </si>
  <si>
    <t>Hereford07</t>
  </si>
  <si>
    <t>SRR1365126</t>
  </si>
  <si>
    <t>Hereford08</t>
  </si>
  <si>
    <t>SRR1365128</t>
  </si>
  <si>
    <t>Hereford09</t>
  </si>
  <si>
    <t>SRR1365131</t>
  </si>
  <si>
    <t>Hereford10</t>
  </si>
  <si>
    <t>SRR1365137</t>
  </si>
  <si>
    <t>Holstein01</t>
  </si>
  <si>
    <t>Holstein</t>
  </si>
  <si>
    <t>SRR1346386</t>
  </si>
  <si>
    <t>Netherlands</t>
  </si>
  <si>
    <t>Holstein02</t>
  </si>
  <si>
    <t>SRR1348583</t>
  </si>
  <si>
    <t>Holstein03</t>
  </si>
  <si>
    <t>SRR1425129</t>
  </si>
  <si>
    <t>Holstein04</t>
  </si>
  <si>
    <t>SRR1425133</t>
  </si>
  <si>
    <t>Holstein05</t>
  </si>
  <si>
    <t>SRR1425144</t>
  </si>
  <si>
    <t>Jersey01</t>
  </si>
  <si>
    <t>Jersey</t>
  </si>
  <si>
    <t>SRR3497161</t>
  </si>
  <si>
    <t>Jersey - Channel Islands</t>
  </si>
  <si>
    <t>Jersey02</t>
  </si>
  <si>
    <t>SRR3497162</t>
  </si>
  <si>
    <t>Jersey03</t>
  </si>
  <si>
    <t>SRR3497451</t>
  </si>
  <si>
    <t>Jersey04</t>
  </si>
  <si>
    <t>SRR3497462</t>
  </si>
  <si>
    <t>Jersey05</t>
  </si>
  <si>
    <t>SRR3497464</t>
  </si>
  <si>
    <t>Jersey06</t>
  </si>
  <si>
    <t>SRR3497465</t>
  </si>
  <si>
    <t>Jersey07</t>
  </si>
  <si>
    <t>SRR3497466</t>
  </si>
  <si>
    <t>Jersey08</t>
  </si>
  <si>
    <t>SRR3497467</t>
  </si>
  <si>
    <t>Jersey09</t>
  </si>
  <si>
    <t>SRR3497611</t>
  </si>
  <si>
    <t>Jersey10</t>
  </si>
  <si>
    <t>SRR3497613</t>
  </si>
  <si>
    <t>Jian01</t>
  </si>
  <si>
    <t>Jian</t>
  </si>
  <si>
    <t>East Asian indicine</t>
  </si>
  <si>
    <t>SRR5507281</t>
  </si>
  <si>
    <t>Jian02</t>
  </si>
  <si>
    <t>SRR5507282</t>
  </si>
  <si>
    <t>Jiangxi01</t>
  </si>
  <si>
    <t>Jiangxi</t>
  </si>
  <si>
    <t>SRR5507284</t>
  </si>
  <si>
    <t>Jiangxi02</t>
  </si>
  <si>
    <t>SRR5507285</t>
  </si>
  <si>
    <t>Jiangxi03</t>
  </si>
  <si>
    <t>SRR5507286</t>
  </si>
  <si>
    <t>JiaxianRed01</t>
  </si>
  <si>
    <t>Jiaxian Red</t>
  </si>
  <si>
    <t>SRR5507228</t>
  </si>
  <si>
    <t>JiaxianRed02</t>
  </si>
  <si>
    <t>SRR5507229</t>
  </si>
  <si>
    <t>JiaxianRed03</t>
  </si>
  <si>
    <t>SRR5507230</t>
  </si>
  <si>
    <t>JiaxianRed04</t>
  </si>
  <si>
    <t>SRR5507231</t>
  </si>
  <si>
    <t>JiaxianRed05</t>
  </si>
  <si>
    <t>SRR5507232</t>
  </si>
  <si>
    <t>Kazakh01</t>
  </si>
  <si>
    <t>Kazakh</t>
  </si>
  <si>
    <t>SRR5507260</t>
  </si>
  <si>
    <t>China (northwest)</t>
  </si>
  <si>
    <t>Kazakh02</t>
  </si>
  <si>
    <t>SRR5507259</t>
  </si>
  <si>
    <t>Kazakh03</t>
  </si>
  <si>
    <t>SRR5507258</t>
  </si>
  <si>
    <t>Kazakh04</t>
  </si>
  <si>
    <t>SRR5507257</t>
  </si>
  <si>
    <t>Kazakh05</t>
  </si>
  <si>
    <t>SRR5507256</t>
  </si>
  <si>
    <t>Kazakh06</t>
  </si>
  <si>
    <t>SRR5507255</t>
  </si>
  <si>
    <t>Kazakh07</t>
  </si>
  <si>
    <t>SRR5507254</t>
  </si>
  <si>
    <t>Kazakh08</t>
  </si>
  <si>
    <t>SRR5507253</t>
  </si>
  <si>
    <t>Kazakh09</t>
  </si>
  <si>
    <t>SRR5507252</t>
  </si>
  <si>
    <t>Kenana01</t>
  </si>
  <si>
    <t>Kenana</t>
  </si>
  <si>
    <t>SRR3694651</t>
  </si>
  <si>
    <t>Kenana02</t>
  </si>
  <si>
    <t>SRR3694652</t>
  </si>
  <si>
    <t>Kenana03</t>
  </si>
  <si>
    <t>SRR3694653</t>
  </si>
  <si>
    <t>Kenana04</t>
  </si>
  <si>
    <t>SRR3694654</t>
  </si>
  <si>
    <t>Kenana05</t>
  </si>
  <si>
    <t>SRR3694655</t>
  </si>
  <si>
    <t>Kholmogory01</t>
  </si>
  <si>
    <t>Kholmogory</t>
  </si>
  <si>
    <t>SRR12095761</t>
  </si>
  <si>
    <t>Kuchinoshima01</t>
  </si>
  <si>
    <t>Kuchinoshima</t>
  </si>
  <si>
    <t>SAMD00013963</t>
  </si>
  <si>
    <t>Japan</t>
  </si>
  <si>
    <t>Lagune01</t>
  </si>
  <si>
    <t>Lagune</t>
  </si>
  <si>
    <t>ERR3293557</t>
  </si>
  <si>
    <t>West/Central Africa</t>
  </si>
  <si>
    <t>Limia01</t>
  </si>
  <si>
    <t>Limia</t>
  </si>
  <si>
    <t>SRR8426539</t>
  </si>
  <si>
    <t>Limousin01</t>
  </si>
  <si>
    <t>Limousin</t>
  </si>
  <si>
    <t>SAMN01915358</t>
  </si>
  <si>
    <t>Limousin02</t>
  </si>
  <si>
    <t>SAMN01915360</t>
  </si>
  <si>
    <t>Limousin03</t>
  </si>
  <si>
    <t>SRR1365134</t>
  </si>
  <si>
    <t>Limousin04</t>
  </si>
  <si>
    <t>SRR1365136</t>
  </si>
  <si>
    <t>Lingnan01</t>
  </si>
  <si>
    <t>Lingnan</t>
  </si>
  <si>
    <t>SRR5507215</t>
  </si>
  <si>
    <t>Lingnan02</t>
  </si>
  <si>
    <t>SRR5507219</t>
  </si>
  <si>
    <t>Lingnan03</t>
  </si>
  <si>
    <t>SRR5507220</t>
  </si>
  <si>
    <t>Lingnan04</t>
  </si>
  <si>
    <t>SRR5507221</t>
  </si>
  <si>
    <t>Lingnan05</t>
  </si>
  <si>
    <t>SRR5507222</t>
  </si>
  <si>
    <t>Lohani01</t>
  </si>
  <si>
    <t>Lohani</t>
  </si>
  <si>
    <t>CL100026723</t>
  </si>
  <si>
    <t>Luxi01</t>
  </si>
  <si>
    <t>Luxi</t>
  </si>
  <si>
    <t>SRR5507238</t>
  </si>
  <si>
    <t>Luxi02</t>
  </si>
  <si>
    <t>SRR5507239</t>
  </si>
  <si>
    <t>Luxi03</t>
  </si>
  <si>
    <t>SRR5507240</t>
  </si>
  <si>
    <t>Luxi04</t>
  </si>
  <si>
    <t>SRR5507241</t>
  </si>
  <si>
    <t>Luxi05</t>
  </si>
  <si>
    <t>SRR5507242</t>
  </si>
  <si>
    <t>MaineAnjou01</t>
  </si>
  <si>
    <t>Maine Anjou</t>
  </si>
  <si>
    <t>SRR1355238</t>
  </si>
  <si>
    <t>MaineAnjou02</t>
  </si>
  <si>
    <t>SRR1355245</t>
  </si>
  <si>
    <t>MaineAnjou03</t>
  </si>
  <si>
    <t>SRR1355259</t>
  </si>
  <si>
    <t>MaineAnjou04</t>
  </si>
  <si>
    <t>SRR1365108</t>
  </si>
  <si>
    <t>MaineAnjou05</t>
  </si>
  <si>
    <t>SRR1365125</t>
  </si>
  <si>
    <t>Maltese01</t>
  </si>
  <si>
    <t>Maltese</t>
  </si>
  <si>
    <t>https://doi.org/10.1111/eva.12770  (ID: 199965)</t>
  </si>
  <si>
    <t>Malta</t>
  </si>
  <si>
    <t>Maltese02</t>
  </si>
  <si>
    <r>
      <rPr>
        <rFont val="Arial"/>
        <color rgb="FF000000"/>
        <sz val="10.0"/>
        <u/>
      </rPr>
      <t>https://doi.org/10.1111/eva.12770</t>
    </r>
    <r>
      <rPr>
        <rFont val="Arial"/>
        <color rgb="FF000000"/>
        <sz val="10.0"/>
      </rPr>
      <t xml:space="preserve"> (ID: 830315)</t>
    </r>
  </si>
  <si>
    <t>Maremmana01</t>
  </si>
  <si>
    <t>Maremmana</t>
  </si>
  <si>
    <t>SRR8426535</t>
  </si>
  <si>
    <t>Maremmana02</t>
  </si>
  <si>
    <t>SRR8426543</t>
  </si>
  <si>
    <t>Maremmana03</t>
  </si>
  <si>
    <t>SRR8426544</t>
  </si>
  <si>
    <t>Maronesa01</t>
  </si>
  <si>
    <t>Maronesa</t>
  </si>
  <si>
    <t>SRR8426540</t>
  </si>
  <si>
    <t>Portuguese</t>
  </si>
  <si>
    <t>Mishima01</t>
  </si>
  <si>
    <t>Mishima</t>
  </si>
  <si>
    <t>SAMD00013606</t>
  </si>
  <si>
    <t>Mishima02</t>
  </si>
  <si>
    <t>SAMD00013607</t>
  </si>
  <si>
    <t>Mishima03</t>
  </si>
  <si>
    <t>SAMD00013608</t>
  </si>
  <si>
    <t>Mishima04</t>
  </si>
  <si>
    <t>SAMD00013609</t>
  </si>
  <si>
    <t>Mishima05</t>
  </si>
  <si>
    <t>SAMD00013611</t>
  </si>
  <si>
    <t>Mishima06</t>
  </si>
  <si>
    <t>SAMD00013612</t>
  </si>
  <si>
    <t>Mishima07</t>
  </si>
  <si>
    <t>SAMD00013613</t>
  </si>
  <si>
    <t>Mishima08</t>
  </si>
  <si>
    <t>SAMD00013610</t>
  </si>
  <si>
    <t>Mongolian01</t>
  </si>
  <si>
    <t>Mongolian</t>
  </si>
  <si>
    <t>SRR5507261</t>
  </si>
  <si>
    <t>Mongolian02</t>
  </si>
  <si>
    <t>SRR5507262</t>
  </si>
  <si>
    <t>Mongolian03</t>
  </si>
  <si>
    <t>SRR5507263</t>
  </si>
  <si>
    <t>Mongolian04</t>
  </si>
  <si>
    <t>SRR5507264</t>
  </si>
  <si>
    <t>Mongolian05</t>
  </si>
  <si>
    <t>SRR5507265</t>
  </si>
  <si>
    <t>Montbeliarde01</t>
  </si>
  <si>
    <t>Montbeliarde</t>
  </si>
  <si>
    <t>ERR883694</t>
  </si>
  <si>
    <t>Montbeliarde02</t>
  </si>
  <si>
    <t>ERR883698</t>
  </si>
  <si>
    <t>Montbeliarde03</t>
  </si>
  <si>
    <t>ERR883699</t>
  </si>
  <si>
    <t>Montbeliarde04</t>
  </si>
  <si>
    <t>ERR883700</t>
  </si>
  <si>
    <t>Montbeliarde05</t>
  </si>
  <si>
    <t>ERR883701</t>
  </si>
  <si>
    <t>Muturu01</t>
  </si>
  <si>
    <t>Muturu</t>
  </si>
  <si>
    <t>SRR5630646</t>
  </si>
  <si>
    <t>Muturu02</t>
  </si>
  <si>
    <t>SRR5630647</t>
  </si>
  <si>
    <t>Muturu03</t>
  </si>
  <si>
    <t>SRR5630648</t>
  </si>
  <si>
    <t>Muturu04</t>
  </si>
  <si>
    <t>SRR5630649</t>
  </si>
  <si>
    <t>Muturu05</t>
  </si>
  <si>
    <t>SRR5630650</t>
  </si>
  <si>
    <t>Muturu06</t>
  </si>
  <si>
    <t>SRR5630652</t>
  </si>
  <si>
    <t>Muturu07</t>
  </si>
  <si>
    <t>SRR5630653</t>
  </si>
  <si>
    <t>Nanyang01</t>
  </si>
  <si>
    <t>Nanyang</t>
  </si>
  <si>
    <t>SRR5507236</t>
  </si>
  <si>
    <t>Nanyang02</t>
  </si>
  <si>
    <t>SRR5507237</t>
  </si>
  <si>
    <t>Ndama01</t>
  </si>
  <si>
    <t>Ndama</t>
  </si>
  <si>
    <t>SRR3693373</t>
  </si>
  <si>
    <t>Ndama02</t>
  </si>
  <si>
    <t>SRR3693376</t>
  </si>
  <si>
    <t>Ndama03</t>
  </si>
  <si>
    <t>SRR3693420</t>
  </si>
  <si>
    <t>Ndama04</t>
  </si>
  <si>
    <t>SRR3694478</t>
  </si>
  <si>
    <t>Ndama05</t>
  </si>
  <si>
    <t>SRR3694578</t>
  </si>
  <si>
    <t>Ndama06</t>
  </si>
  <si>
    <t>SRR3693379</t>
  </si>
  <si>
    <t>Ndama07</t>
  </si>
  <si>
    <t>SRR3693419</t>
  </si>
  <si>
    <t>Ndama08</t>
  </si>
  <si>
    <t>Ndama09</t>
  </si>
  <si>
    <t>Ndama10</t>
  </si>
  <si>
    <t>Nelore01</t>
  </si>
  <si>
    <t>Nelore</t>
  </si>
  <si>
    <t>SRR4280142</t>
  </si>
  <si>
    <t xml:space="preserve">Americas </t>
  </si>
  <si>
    <t>Nelore02</t>
  </si>
  <si>
    <t>SRR4280143</t>
  </si>
  <si>
    <t>Normande01</t>
  </si>
  <si>
    <t>Normande</t>
  </si>
  <si>
    <t>ERR883704</t>
  </si>
  <si>
    <t>Normande02</t>
  </si>
  <si>
    <t>ERR883705</t>
  </si>
  <si>
    <t>Normande03</t>
  </si>
  <si>
    <t>ERR883706</t>
  </si>
  <si>
    <t>Normande04</t>
  </si>
  <si>
    <t>ERR883707</t>
  </si>
  <si>
    <t>Normande05</t>
  </si>
  <si>
    <t>ERR883714</t>
  </si>
  <si>
    <t>Ogaden01</t>
  </si>
  <si>
    <t>Ogaden</t>
  </si>
  <si>
    <t>SRR3219049</t>
  </si>
  <si>
    <t>Ethiopia</t>
  </si>
  <si>
    <t>Ogaden02</t>
  </si>
  <si>
    <t>SRR3225526</t>
  </si>
  <si>
    <t>Ogaden03</t>
  </si>
  <si>
    <t>SRR3234542</t>
  </si>
  <si>
    <t>Ogaden04</t>
  </si>
  <si>
    <t>SRR3490689</t>
  </si>
  <si>
    <t>Ogaden05</t>
  </si>
  <si>
    <t>SRR3491019</t>
  </si>
  <si>
    <t>OriginalBraunvieh01</t>
  </si>
  <si>
    <t>Original Braunvieh</t>
  </si>
  <si>
    <t>ERR5711624</t>
  </si>
  <si>
    <t>Pajuna01</t>
  </si>
  <si>
    <t>Pajuna</t>
  </si>
  <si>
    <t>SRR8426541</t>
  </si>
  <si>
    <t>Pajuna02</t>
  </si>
  <si>
    <t>SRR8426542</t>
  </si>
  <si>
    <t>Piedmontese01</t>
  </si>
  <si>
    <t>Piedmontese</t>
  </si>
  <si>
    <t>SRR1525596</t>
  </si>
  <si>
    <t>Piedmontese02</t>
  </si>
  <si>
    <t>SRR1525599</t>
  </si>
  <si>
    <t>Piedmontese03</t>
  </si>
  <si>
    <t>SRR1525603</t>
  </si>
  <si>
    <t>Piedmontese04</t>
  </si>
  <si>
    <t>SRR1525604</t>
  </si>
  <si>
    <t>Piedmontese05</t>
  </si>
  <si>
    <t>SRR1525606</t>
  </si>
  <si>
    <t>Podolica01</t>
  </si>
  <si>
    <t>Podolica</t>
  </si>
  <si>
    <t>SRR8426536</t>
  </si>
  <si>
    <t>Rashoki01</t>
  </si>
  <si>
    <t>Rashoki</t>
  </si>
  <si>
    <t>Southwest Asian hybrid</t>
  </si>
  <si>
    <t>ERR454987</t>
  </si>
  <si>
    <t>Rashoki02</t>
  </si>
  <si>
    <t>ERR454988</t>
  </si>
  <si>
    <t>Rashoki03</t>
  </si>
  <si>
    <t>ERR454989</t>
  </si>
  <si>
    <t>Rashoki04</t>
  </si>
  <si>
    <t>ERR454991</t>
  </si>
  <si>
    <t>Rashoki05</t>
  </si>
  <si>
    <t>ERR454992</t>
  </si>
  <si>
    <t>RedAngus01</t>
  </si>
  <si>
    <t>Red Angus</t>
  </si>
  <si>
    <t>SRR1525614</t>
  </si>
  <si>
    <t>RedAngus02</t>
  </si>
  <si>
    <t>SRR3659574</t>
  </si>
  <si>
    <t>RedSindhi01</t>
  </si>
  <si>
    <t>Red Sindhi</t>
  </si>
  <si>
    <t>CL100026724</t>
  </si>
  <si>
    <t>Sahiwal01</t>
  </si>
  <si>
    <t>Sahiwal</t>
  </si>
  <si>
    <t>SRR6936540</t>
  </si>
  <si>
    <t>Salers01</t>
  </si>
  <si>
    <t>Salers</t>
  </si>
  <si>
    <t>SRR1346378</t>
  </si>
  <si>
    <t>Salers02</t>
  </si>
  <si>
    <t>SRR1525608</t>
  </si>
  <si>
    <t>Sayaguesa01</t>
  </si>
  <si>
    <t>Sayaguesa</t>
  </si>
  <si>
    <t>SRR8426537</t>
  </si>
  <si>
    <t>Sayaguesa02</t>
  </si>
  <si>
    <t>SRR8426538</t>
  </si>
  <si>
    <t>ScottishHighland01</t>
  </si>
  <si>
    <t>Scottish Highland</t>
  </si>
  <si>
    <t>ERR1747025</t>
  </si>
  <si>
    <t>ScottishHighland02</t>
  </si>
  <si>
    <t>ERR3305587</t>
  </si>
  <si>
    <t>ScottishHighland03</t>
  </si>
  <si>
    <t>ERR1747043</t>
  </si>
  <si>
    <t>Shorthorn01</t>
  </si>
  <si>
    <t>Shorthorn</t>
  </si>
  <si>
    <t>SAMN05216073</t>
  </si>
  <si>
    <t>Shorthorn02</t>
  </si>
  <si>
    <t>SRR3659559</t>
  </si>
  <si>
    <t>Sikia01</t>
  </si>
  <si>
    <t>Sikia</t>
  </si>
  <si>
    <t>ERR3293559</t>
  </si>
  <si>
    <t>Simmental01</t>
  </si>
  <si>
    <t>Simmental</t>
  </si>
  <si>
    <t>SRR1525617</t>
  </si>
  <si>
    <t>Simmental02</t>
  </si>
  <si>
    <t>SRR1525618</t>
  </si>
  <si>
    <t>Simmental03</t>
  </si>
  <si>
    <t>SRR1525619</t>
  </si>
  <si>
    <t>Simmental04</t>
  </si>
  <si>
    <t>SRR1525620</t>
  </si>
  <si>
    <t>Simmental05</t>
  </si>
  <si>
    <t>SRR1525621</t>
  </si>
  <si>
    <t>Simmental06</t>
  </si>
  <si>
    <t>SRR1525700</t>
  </si>
  <si>
    <t>Simmental07</t>
  </si>
  <si>
    <t>SRR1525701</t>
  </si>
  <si>
    <t>Simmental08</t>
  </si>
  <si>
    <t>SRR1525702</t>
  </si>
  <si>
    <t>Simmental09</t>
  </si>
  <si>
    <t>SRR1525703</t>
  </si>
  <si>
    <t>Simmental10</t>
  </si>
  <si>
    <t>SRR1525705</t>
  </si>
  <si>
    <t>Somba01</t>
  </si>
  <si>
    <t>Somba</t>
  </si>
  <si>
    <t>ERR3305591</t>
  </si>
  <si>
    <t>SouthAnatolianRed01</t>
  </si>
  <si>
    <t>South Anatolian Red</t>
  </si>
  <si>
    <t>ERR3323643</t>
  </si>
  <si>
    <t>SwedishRed01</t>
  </si>
  <si>
    <t>Swedish Red</t>
  </si>
  <si>
    <t>ERR1256961</t>
  </si>
  <si>
    <t>Tharparker01</t>
  </si>
  <si>
    <t>Tharparker</t>
  </si>
  <si>
    <t>SRR6936538</t>
  </si>
  <si>
    <t>Tibetan01</t>
  </si>
  <si>
    <t>Tibetan</t>
  </si>
  <si>
    <t>SRR5507251</t>
  </si>
  <si>
    <t>Tibet, China</t>
  </si>
  <si>
    <t>Tibetan02</t>
  </si>
  <si>
    <t>SRR5507250</t>
  </si>
  <si>
    <t>Tibetan03</t>
  </si>
  <si>
    <t>SRR5507249,SRR6024571</t>
  </si>
  <si>
    <t>Tibetan04</t>
  </si>
  <si>
    <t>SRR5507248,SRR6024572</t>
  </si>
  <si>
    <t>Tibetan05</t>
  </si>
  <si>
    <t>Tibetan06</t>
  </si>
  <si>
    <t>SRR5507246</t>
  </si>
  <si>
    <t>Tibetan07</t>
  </si>
  <si>
    <t>SRR5507245</t>
  </si>
  <si>
    <t>Tibetan08</t>
  </si>
  <si>
    <t>SRR5507244</t>
  </si>
  <si>
    <t>Tibetan09</t>
  </si>
  <si>
    <t>SRR5507243</t>
  </si>
  <si>
    <t>TirolerGrauvieh01</t>
  </si>
  <si>
    <t>Tiroler Grauvieh</t>
  </si>
  <si>
    <t>ERR3376618</t>
  </si>
  <si>
    <t>Austria-Italy</t>
  </si>
  <si>
    <t>Wagyu01</t>
  </si>
  <si>
    <t>Wagyu</t>
  </si>
  <si>
    <t>ERR3293561</t>
  </si>
  <si>
    <t>Wannan01</t>
  </si>
  <si>
    <t>Wannan</t>
  </si>
  <si>
    <t>SRR5507195</t>
  </si>
  <si>
    <t>Wannan02</t>
  </si>
  <si>
    <t>SRR5507196</t>
  </si>
  <si>
    <t>Wannan03</t>
  </si>
  <si>
    <t>SRR5507197</t>
  </si>
  <si>
    <t>Wannan04</t>
  </si>
  <si>
    <t>SRR5507198</t>
  </si>
  <si>
    <t>Wannan05</t>
  </si>
  <si>
    <t>SRR5507199,SRR6024573</t>
  </si>
  <si>
    <t>WaterBuffalo01</t>
  </si>
  <si>
    <t>Bubalus bubalus</t>
  </si>
  <si>
    <t>ERR4414059</t>
  </si>
  <si>
    <t>WaterBuffalo</t>
  </si>
  <si>
    <t>WaterBuffalo02</t>
  </si>
  <si>
    <t>ERR4495059</t>
  </si>
  <si>
    <t>WaterBuffalo03</t>
  </si>
  <si>
    <t>ERR4414056</t>
  </si>
  <si>
    <t>WaterBuffalo04</t>
  </si>
  <si>
    <t>ERR4414051</t>
  </si>
  <si>
    <t>WaterBuffalo05</t>
  </si>
  <si>
    <t>ERR4495053</t>
  </si>
  <si>
    <t>WaterBuffalo06</t>
  </si>
  <si>
    <t>ERR4414044</t>
  </si>
  <si>
    <t>WaterBuffalo07</t>
  </si>
  <si>
    <t>ERR4495065</t>
  </si>
  <si>
    <t>WaterBuffalo08</t>
  </si>
  <si>
    <t>ERR4414045</t>
  </si>
  <si>
    <t>WaterBuffalo09</t>
  </si>
  <si>
    <t>ERR4495079</t>
  </si>
  <si>
    <t>WaterBuffalo10</t>
  </si>
  <si>
    <t>ERR4414036</t>
  </si>
  <si>
    <t>WaterBuffalo11</t>
  </si>
  <si>
    <t>SRR9208767</t>
  </si>
  <si>
    <t>WaterBuffalo12</t>
  </si>
  <si>
    <t>ERR4414033</t>
  </si>
  <si>
    <t>WaterBuffalo13</t>
  </si>
  <si>
    <t>ERR4414034</t>
  </si>
  <si>
    <t>WildYak01</t>
  </si>
  <si>
    <t>Bos mutus</t>
  </si>
  <si>
    <t>SRR2059962</t>
  </si>
  <si>
    <t>WildYak</t>
  </si>
  <si>
    <t>WildYak02</t>
  </si>
  <si>
    <t>SRR2059963</t>
  </si>
  <si>
    <t>WildYak03</t>
  </si>
  <si>
    <t>SRR2059965</t>
  </si>
  <si>
    <t>Wisent01</t>
  </si>
  <si>
    <t>Bison bonasus</t>
  </si>
  <si>
    <t>SAMN08323725</t>
  </si>
  <si>
    <t>Wisent</t>
  </si>
  <si>
    <t>Yakutian01</t>
  </si>
  <si>
    <t>Yakutian</t>
  </si>
  <si>
    <t>ERR2734952</t>
  </si>
  <si>
    <t>Siberia</t>
  </si>
  <si>
    <t>Yakutian02</t>
  </si>
  <si>
    <t>ERR2734953</t>
  </si>
  <si>
    <t>Yakutian03</t>
  </si>
  <si>
    <t>ERR2734954</t>
  </si>
  <si>
    <t>Yakutian04</t>
  </si>
  <si>
    <t>ERR2734955</t>
  </si>
  <si>
    <t>Yakutian05</t>
  </si>
  <si>
    <t>ERR2734956</t>
  </si>
  <si>
    <t>Yanbian01</t>
  </si>
  <si>
    <t>Yanbian</t>
  </si>
  <si>
    <t>SRR5507273</t>
  </si>
  <si>
    <t>Yanbian02</t>
  </si>
  <si>
    <t>SRR6234774</t>
  </si>
  <si>
    <t>Accession</t>
  </si>
  <si>
    <t>Haplogroup</t>
  </si>
  <si>
    <t>Country of origin</t>
  </si>
  <si>
    <t>Age</t>
  </si>
  <si>
    <t>Analysis</t>
  </si>
  <si>
    <t>EU177840</t>
  </si>
  <si>
    <t>T7</t>
  </si>
  <si>
    <t>Cabannina</t>
  </si>
  <si>
    <t>modern</t>
  </si>
  <si>
    <t>BEAST, outgroup Maximum Likelihood</t>
  </si>
  <si>
    <t>AY676867</t>
  </si>
  <si>
    <t>T6</t>
  </si>
  <si>
    <t>UK</t>
  </si>
  <si>
    <t>Angus X</t>
  </si>
  <si>
    <t>AY676870</t>
  </si>
  <si>
    <t>EU177862</t>
  </si>
  <si>
    <t>T5</t>
  </si>
  <si>
    <t>Valdostana</t>
  </si>
  <si>
    <t>EU177863</t>
  </si>
  <si>
    <t>MZ901530</t>
  </si>
  <si>
    <t>MZ901633</t>
  </si>
  <si>
    <t>Slavonian Syrmian Podolian</t>
  </si>
  <si>
    <t>MZ901740</t>
  </si>
  <si>
    <t>Albania</t>
  </si>
  <si>
    <t>Skodra Buša</t>
  </si>
  <si>
    <t>AB074963</t>
  </si>
  <si>
    <t>Japanese Black</t>
  </si>
  <si>
    <t>DQ124372</t>
  </si>
  <si>
    <t>Korean cattle</t>
  </si>
  <si>
    <t>DQ124375</t>
  </si>
  <si>
    <t>DQ124377</t>
  </si>
  <si>
    <t>DQ124412</t>
  </si>
  <si>
    <t>MZ901716</t>
  </si>
  <si>
    <t>Prespa Cattle</t>
  </si>
  <si>
    <t>KT184451</t>
  </si>
  <si>
    <t>Egypt</t>
  </si>
  <si>
    <t>Menofi</t>
  </si>
  <si>
    <t>KT184452</t>
  </si>
  <si>
    <t>Domiaty</t>
  </si>
  <si>
    <t>V00654</t>
  </si>
  <si>
    <t>MZ901441</t>
  </si>
  <si>
    <t>Croatia Buša</t>
  </si>
  <si>
    <t>MZ901640</t>
  </si>
  <si>
    <t>Katerini</t>
  </si>
  <si>
    <t>MZ901693</t>
  </si>
  <si>
    <t>Kea Rind</t>
  </si>
  <si>
    <t>JN817304</t>
  </si>
  <si>
    <t>Ethopia</t>
  </si>
  <si>
    <t>Arsi</t>
  </si>
  <si>
    <t>JN817321</t>
  </si>
  <si>
    <t>KF163061</t>
  </si>
  <si>
    <t>South Africa</t>
  </si>
  <si>
    <t>Nguni</t>
  </si>
  <si>
    <t>MZ901385</t>
  </si>
  <si>
    <t>Portugal</t>
  </si>
  <si>
    <t>Barrosa</t>
  </si>
  <si>
    <t>MZ901462</t>
  </si>
  <si>
    <t>MZ901654</t>
  </si>
  <si>
    <t>Greece Shorthorn Rodopi</t>
  </si>
  <si>
    <t>MZ901703</t>
  </si>
  <si>
    <t>North Macedonia</t>
  </si>
  <si>
    <t>Macedonian Buša</t>
  </si>
  <si>
    <t>FJ971087</t>
  </si>
  <si>
    <t>R2</t>
  </si>
  <si>
    <t>Romagnola</t>
  </si>
  <si>
    <t>HQ184045</t>
  </si>
  <si>
    <t>Marchigiana</t>
  </si>
  <si>
    <t>FJ971084</t>
  </si>
  <si>
    <t>R1</t>
  </si>
  <si>
    <t>Agerolese</t>
  </si>
  <si>
    <t>FJ971085</t>
  </si>
  <si>
    <t>Cinisara</t>
  </si>
  <si>
    <t>FJ971086</t>
  </si>
  <si>
    <t>HQ184040</t>
  </si>
  <si>
    <t>HQ184041</t>
  </si>
  <si>
    <t>HQ184042</t>
  </si>
  <si>
    <t>HQ184043</t>
  </si>
  <si>
    <t>HQ184044</t>
  </si>
  <si>
    <t>FJ971081</t>
  </si>
  <si>
    <t>Q2</t>
  </si>
  <si>
    <t>HQ184030</t>
  </si>
  <si>
    <t>MZ901639</t>
  </si>
  <si>
    <t>Q1</t>
  </si>
  <si>
    <t>MZ901646</t>
  </si>
  <si>
    <t>Greece Shorthorn Pindos</t>
  </si>
  <si>
    <t>EU177866</t>
  </si>
  <si>
    <t>EU177867</t>
  </si>
  <si>
    <t>FJ971080</t>
  </si>
  <si>
    <t>FJ971082</t>
  </si>
  <si>
    <t>Italian Red Pied</t>
  </si>
  <si>
    <t>FJ971083</t>
  </si>
  <si>
    <t>HQ184034</t>
  </si>
  <si>
    <t>HQ184035</t>
  </si>
  <si>
    <t>HQ184036</t>
  </si>
  <si>
    <t>Grauvieh (Grey Alpine)</t>
  </si>
  <si>
    <t>HQ184037</t>
  </si>
  <si>
    <t>HQ184038</t>
  </si>
  <si>
    <t>HQ184039</t>
  </si>
  <si>
    <t>KT184471</t>
  </si>
  <si>
    <t>KT184472</t>
  </si>
  <si>
    <t>JQ437479</t>
  </si>
  <si>
    <t>Poland</t>
  </si>
  <si>
    <t>Pisz Forest</t>
  </si>
  <si>
    <t>1500 BP</t>
  </si>
  <si>
    <t>LC537312</t>
  </si>
  <si>
    <t>Japanese Shorthorn</t>
  </si>
  <si>
    <t>MZ901404</t>
  </si>
  <si>
    <t>Austria</t>
  </si>
  <si>
    <t>Murbodner</t>
  </si>
  <si>
    <t>MZ901405</t>
  </si>
  <si>
    <t>MZ901406</t>
  </si>
  <si>
    <t>MZ901407</t>
  </si>
  <si>
    <t>MZ901408</t>
  </si>
  <si>
    <t>DQ124389</t>
  </si>
  <si>
    <t>Beef cattle</t>
  </si>
  <si>
    <t>LC537308</t>
  </si>
  <si>
    <t>LC537309</t>
  </si>
  <si>
    <t>LC537310</t>
  </si>
  <si>
    <t>LC537311</t>
  </si>
  <si>
    <t>LC537313</t>
  </si>
  <si>
    <t>LC537314</t>
  </si>
  <si>
    <t>LC537315</t>
  </si>
  <si>
    <t>LC537316</t>
  </si>
  <si>
    <t>LC537317</t>
  </si>
  <si>
    <t>EU177869</t>
  </si>
  <si>
    <t>Iraqi</t>
  </si>
  <si>
    <t>GU256940</t>
  </si>
  <si>
    <t>I1a</t>
  </si>
  <si>
    <t>Diqin</t>
  </si>
  <si>
    <t>I1</t>
  </si>
  <si>
    <t>AY126697</t>
  </si>
  <si>
    <t>Nellore</t>
  </si>
  <si>
    <t>EU177868</t>
  </si>
  <si>
    <t>FJ971088</t>
  </si>
  <si>
    <t>Mongolia</t>
  </si>
  <si>
    <t>NC_005971</t>
  </si>
  <si>
    <t>KP143771</t>
  </si>
  <si>
    <t>I</t>
  </si>
  <si>
    <t>Americas</t>
  </si>
  <si>
    <t>GU946978</t>
  </si>
  <si>
    <t>USA</t>
  </si>
  <si>
    <t>outgroup Maximum Likelihood</t>
  </si>
  <si>
    <t>GU946988</t>
  </si>
  <si>
    <t>GU946999</t>
  </si>
  <si>
    <t>GU947006</t>
  </si>
  <si>
    <t>NC_012346</t>
  </si>
  <si>
    <t>Canada</t>
  </si>
  <si>
    <t>AB915322</t>
  </si>
  <si>
    <t>Borneo</t>
  </si>
  <si>
    <t>JN632605</t>
  </si>
  <si>
    <t>Cambodia</t>
  </si>
  <si>
    <t>JN632606</t>
  </si>
  <si>
    <t>Indonesia</t>
  </si>
  <si>
    <t>NC_012706</t>
  </si>
  <si>
    <t>KX553933</t>
  </si>
  <si>
    <t>Bison bonasus caucasicus</t>
  </si>
  <si>
    <t>1949AD</t>
  </si>
  <si>
    <t>KX553934</t>
  </si>
  <si>
    <t>5724–5657 BP</t>
  </si>
  <si>
    <t>HQ223450</t>
  </si>
  <si>
    <t>Bb2</t>
  </si>
  <si>
    <t>JN632602</t>
  </si>
  <si>
    <t>KX553930</t>
  </si>
  <si>
    <t>1511–1302 BP</t>
  </si>
  <si>
    <t>KX553931</t>
  </si>
  <si>
    <t>1987–1886 BP</t>
  </si>
  <si>
    <t>KX553932</t>
  </si>
  <si>
    <t>1338-1265 BP</t>
  </si>
  <si>
    <t>KX592175</t>
  </si>
  <si>
    <t>North Caucasus</t>
  </si>
  <si>
    <t>&gt;56300 BP</t>
  </si>
  <si>
    <t>KX592176</t>
  </si>
  <si>
    <t>1911AD</t>
  </si>
  <si>
    <t>KX592179</t>
  </si>
  <si>
    <t>Bb1</t>
  </si>
  <si>
    <t>Ukraine</t>
  </si>
  <si>
    <t>18630 BP</t>
  </si>
  <si>
    <t>KX592182</t>
  </si>
  <si>
    <t>&gt;59400 BP</t>
  </si>
  <si>
    <t>KX592185</t>
  </si>
  <si>
    <t>12565 BP</t>
  </si>
  <si>
    <t>KX592186</t>
  </si>
  <si>
    <t>12505 BP</t>
  </si>
  <si>
    <t>KX592187</t>
  </si>
  <si>
    <t>18880 BP</t>
  </si>
  <si>
    <t>KX592189</t>
  </si>
  <si>
    <t>19010 BP</t>
  </si>
  <si>
    <t>KX773459</t>
  </si>
  <si>
    <t>15310 BP</t>
  </si>
  <si>
    <t>KX898005</t>
  </si>
  <si>
    <t>~46700-34300 BP</t>
  </si>
  <si>
    <t>KX898006</t>
  </si>
  <si>
    <t>KX898007</t>
  </si>
  <si>
    <t>KX898008</t>
  </si>
  <si>
    <t>12100-11700 BP</t>
  </si>
  <si>
    <t>KX898009</t>
  </si>
  <si>
    <t>12400-11800 BP</t>
  </si>
  <si>
    <t>KX898011</t>
  </si>
  <si>
    <t>14300-13800 BP</t>
  </si>
  <si>
    <t>KX898012</t>
  </si>
  <si>
    <t>South Caucasus</t>
  </si>
  <si>
    <t>22500-22100 BP</t>
  </si>
  <si>
    <t>KX898013</t>
  </si>
  <si>
    <t>38500-37000 BP</t>
  </si>
  <si>
    <t>KX898015</t>
  </si>
  <si>
    <t>~46500-44600 BP</t>
  </si>
  <si>
    <t>KX898016</t>
  </si>
  <si>
    <t>~47000-44000 BP</t>
  </si>
  <si>
    <t>KX898017</t>
  </si>
  <si>
    <t>~51000-47700 BP</t>
  </si>
  <si>
    <t>NC_014044</t>
  </si>
  <si>
    <t>KM593920</t>
  </si>
  <si>
    <t>Bison priscus</t>
  </si>
  <si>
    <t>19,390–18,940 calBP</t>
  </si>
  <si>
    <t>KX898010</t>
  </si>
  <si>
    <t>20200-14700 BP</t>
  </si>
  <si>
    <t>KX898014</t>
  </si>
  <si>
    <t>39100-36300 BP</t>
  </si>
  <si>
    <t>KX898018</t>
  </si>
  <si>
    <t>29600-26000 BP</t>
  </si>
  <si>
    <t>KX898019</t>
  </si>
  <si>
    <t>27300-26000 BP</t>
  </si>
  <si>
    <t>KX898020</t>
  </si>
  <si>
    <t>~44000-29600 BP</t>
  </si>
  <si>
    <t>KU886087</t>
  </si>
  <si>
    <t>26360 BP</t>
  </si>
  <si>
    <t>JN632604</t>
  </si>
  <si>
    <t>MK770201</t>
  </si>
  <si>
    <t xml:space="preserve"> Malaysia</t>
  </si>
  <si>
    <t>MF959941</t>
  </si>
  <si>
    <t>MK279400</t>
  </si>
  <si>
    <t>MK279401</t>
  </si>
  <si>
    <t>KM233417</t>
  </si>
  <si>
    <t>KR106993</t>
  </si>
  <si>
    <t>KY829451</t>
  </si>
  <si>
    <t>MK033130</t>
  </si>
  <si>
    <t>NC_025563</t>
  </si>
  <si>
    <t>GQ464250</t>
  </si>
  <si>
    <t>GQ464260</t>
  </si>
  <si>
    <t>GQ464266</t>
  </si>
  <si>
    <t>GQ464267</t>
  </si>
  <si>
    <t>GQ464276</t>
  </si>
  <si>
    <t>GQ464284</t>
  </si>
  <si>
    <t>GQ464302</t>
  </si>
  <si>
    <t>GQ464311</t>
  </si>
  <si>
    <t>MW414140</t>
  </si>
  <si>
    <t>MW414151</t>
  </si>
  <si>
    <t>MW414157</t>
  </si>
  <si>
    <t>MW414195</t>
  </si>
  <si>
    <t>MW414198</t>
  </si>
  <si>
    <t>pop1</t>
  </si>
  <si>
    <t>pop2</t>
  </si>
  <si>
    <t>pop3</t>
  </si>
  <si>
    <t>pop4</t>
  </si>
  <si>
    <t>est</t>
  </si>
  <si>
    <t>se</t>
  </si>
  <si>
    <t>z</t>
  </si>
  <si>
    <t>p</t>
  </si>
  <si>
    <t>n</t>
  </si>
  <si>
    <t>Test</t>
  </si>
  <si>
    <t>SNP set</t>
  </si>
  <si>
    <t>Sex-biassed introgression</t>
  </si>
  <si>
    <t>chrX SNPs</t>
  </si>
  <si>
    <t>Shi2</t>
  </si>
  <si>
    <t>Rhine-Bed3 allele-sharing</t>
  </si>
  <si>
    <t>Bos SNPs</t>
  </si>
  <si>
    <t>Cpc</t>
  </si>
  <si>
    <t>Post-LGM Rhine-Anatolia allele-sharing</t>
  </si>
  <si>
    <t>Domestic introgression</t>
  </si>
  <si>
    <t>southAsia</t>
  </si>
  <si>
    <t>SAC3</t>
  </si>
  <si>
    <t>Shiderti1</t>
  </si>
  <si>
    <t>Shimao5</t>
  </si>
  <si>
    <t>Chromsome</t>
  </si>
  <si>
    <t>Window Start</t>
  </si>
  <si>
    <t>Window End</t>
  </si>
  <si>
    <t>Genes intersecting</t>
  </si>
  <si>
    <t>Genes within 100 KB</t>
  </si>
  <si>
    <t>ST6GAL1</t>
  </si>
  <si>
    <t>MIR2285K-3, ADIPOQ, RFC4</t>
  </si>
  <si>
    <t>NLGN1</t>
  </si>
  <si>
    <t xml:space="preserve"> </t>
  </si>
  <si>
    <t>PPM1L, LOC104970982</t>
  </si>
  <si>
    <t>ARL14</t>
  </si>
  <si>
    <t>IL20RB</t>
  </si>
  <si>
    <t>LOC112448286, NCK1</t>
  </si>
  <si>
    <t>PKNOX1, LOC101906110, CBS, LOC101906172, U2AF1, CRYAA</t>
  </si>
  <si>
    <r>
      <rPr>
        <rFont val="Arial"/>
        <b/>
        <color rgb="FF1F1F1F"/>
        <sz val="8.0"/>
      </rPr>
      <t>AMMECR1L</t>
    </r>
    <r>
      <rPr>
        <rFont val="Arial"/>
        <b/>
        <color rgb="FF1F1F1F"/>
        <sz val="8.0"/>
      </rPr>
      <t>, POLR2D, WDR33</t>
    </r>
  </si>
  <si>
    <r>
      <rPr>
        <rFont val="Arial"/>
        <color rgb="FF1F1F1F"/>
        <sz val="8.0"/>
      </rPr>
      <t xml:space="preserve">LOC112443616, LOC101907729, </t>
    </r>
    <r>
      <rPr>
        <rFont val="Arial"/>
        <b/>
        <color rgb="FF1F1F1F"/>
        <sz val="8.0"/>
      </rPr>
      <t>ACVR1</t>
    </r>
  </si>
  <si>
    <r>
      <rPr>
        <rFont val="Arial"/>
        <b/>
        <color theme="1"/>
        <sz val="8.0"/>
      </rPr>
      <t>GPD2</t>
    </r>
    <r>
      <rPr>
        <rFont val="Arial"/>
        <b/>
        <color theme="1"/>
        <sz val="8.0"/>
      </rPr>
      <t>, LOC112442566, LOC112442205, NR4A2</t>
    </r>
  </si>
  <si>
    <t>C2H2orf76</t>
  </si>
  <si>
    <r>
      <rPr>
        <rFont val="Arial"/>
        <b/>
        <color rgb="FF1F1F1F"/>
        <sz val="8.0"/>
      </rPr>
      <t>STEAP3</t>
    </r>
    <r>
      <rPr>
        <rFont val="Arial"/>
        <b/>
        <color rgb="FF1F1F1F"/>
        <sz val="8.0"/>
      </rPr>
      <t>, DBI, TMEM37, SCTR</t>
    </r>
  </si>
  <si>
    <t>PPP1R9A</t>
  </si>
  <si>
    <t>JAZF1</t>
  </si>
  <si>
    <t>RNF32</t>
  </si>
  <si>
    <t>LMBR1</t>
  </si>
  <si>
    <t>C5H22orf46, MEI1</t>
  </si>
  <si>
    <r>
      <rPr>
        <rFont val="Arial"/>
        <color rgb="FF1F1F1F"/>
        <sz val="8.0"/>
      </rPr>
      <t xml:space="preserve">CSDC2, PMM1, DESI1, XRCC6, SNU13, LOC112446857, LOC785386, CCDC134, </t>
    </r>
    <r>
      <rPr>
        <rFont val="Arial"/>
        <b/>
        <color rgb="FF1F1F1F"/>
        <sz val="8.0"/>
      </rPr>
      <t>SREBF2</t>
    </r>
    <r>
      <rPr>
        <rFont val="Arial"/>
        <color rgb="FF1F1F1F"/>
        <sz val="8.0"/>
      </rPr>
      <t>, LOC112446779</t>
    </r>
  </si>
  <si>
    <t>SLC2A13</t>
  </si>
  <si>
    <t>LOC107132524</t>
  </si>
  <si>
    <t>PRMT8, LOC100847686, LOC112446764, TSPAN11, TSPAN9</t>
  </si>
  <si>
    <t>LOC112447028</t>
  </si>
  <si>
    <r>
      <rPr>
        <rFont val="Arial"/>
        <b/>
        <color rgb="FF1F1F1F"/>
        <sz val="8.0"/>
      </rPr>
      <t>PCDH1</t>
    </r>
    <r>
      <rPr>
        <rFont val="Arial"/>
        <b/>
        <color rgb="FF1F1F1F"/>
        <sz val="8.0"/>
      </rPr>
      <t>, KIAA0141</t>
    </r>
  </si>
  <si>
    <t>LOC104969197, PCDH12, RNF14</t>
  </si>
  <si>
    <t>KDM4C</t>
  </si>
  <si>
    <t>LOC112448080</t>
  </si>
  <si>
    <r>
      <rPr>
        <rFont val="Arial"/>
        <color rgb="FF1F1F1F"/>
        <sz val="8.0"/>
      </rPr>
      <t xml:space="preserve">ZBTB2, RMND1, ARMT1, CCDC170, </t>
    </r>
    <r>
      <rPr>
        <rFont val="Arial"/>
        <b/>
        <color rgb="FF1F1F1F"/>
        <sz val="8.0"/>
      </rPr>
      <t>ESR1</t>
    </r>
  </si>
  <si>
    <t>KCNQ5</t>
  </si>
  <si>
    <t>LOC112448015, LOC112448016</t>
  </si>
  <si>
    <t>ASCC3, SIM1</t>
  </si>
  <si>
    <t>MYO9A</t>
  </si>
  <si>
    <t>LOC112448484</t>
  </si>
  <si>
    <r>
      <rPr>
        <rFont val="Arial"/>
        <color rgb="FF1F1F1F"/>
        <sz val="8.0"/>
      </rPr>
      <t xml:space="preserve">GLDN, </t>
    </r>
    <r>
      <rPr>
        <rFont val="Arial"/>
        <b/>
        <color rgb="FF1F1F1F"/>
        <sz val="8.0"/>
      </rPr>
      <t>CYP19A1</t>
    </r>
  </si>
  <si>
    <t>THADA</t>
  </si>
  <si>
    <t>PPM1B</t>
  </si>
  <si>
    <r>
      <rPr>
        <rFont val="Arial"/>
        <color rgb="FF1F1F1F"/>
        <sz val="8.0"/>
      </rPr>
      <t xml:space="preserve">PLEKHH2, </t>
    </r>
    <r>
      <rPr>
        <rFont val="Arial"/>
        <b/>
        <color rgb="FF1F1F1F"/>
        <sz val="8.0"/>
      </rPr>
      <t>PTPN13</t>
    </r>
    <r>
      <rPr>
        <rFont val="Arial"/>
        <color rgb="FF1F1F1F"/>
        <sz val="8.0"/>
      </rPr>
      <t>, PPM1B, LOC112448972, SLC10A6</t>
    </r>
  </si>
  <si>
    <r>
      <rPr>
        <rFont val="Arial"/>
        <color rgb="FF1F1F1F"/>
        <sz val="8.0"/>
      </rPr>
      <t xml:space="preserve">LOC536660, </t>
    </r>
    <r>
      <rPr>
        <rFont val="Arial"/>
        <b/>
        <color rgb="FF1F1F1F"/>
        <sz val="8.0"/>
      </rPr>
      <t>SHISA2</t>
    </r>
    <r>
      <rPr>
        <rFont val="Arial"/>
        <color rgb="FF1F1F1F"/>
        <sz val="8.0"/>
      </rPr>
      <t>, LOC107133463</t>
    </r>
  </si>
  <si>
    <t>RNF6, LOC107133463</t>
  </si>
  <si>
    <t>PCCA</t>
  </si>
  <si>
    <t>LOC112449157</t>
  </si>
  <si>
    <t>LOC104973714</t>
  </si>
  <si>
    <t>LOC112449252</t>
  </si>
  <si>
    <t>LOC104974169</t>
  </si>
  <si>
    <t>CALCB</t>
  </si>
  <si>
    <t>CYP2R1</t>
  </si>
  <si>
    <t>SPATA17</t>
  </si>
  <si>
    <t>LOC112441932, LOC112441782</t>
  </si>
  <si>
    <t>PEX14</t>
  </si>
  <si>
    <t>DFFA, CORT, CENPS, PGD</t>
  </si>
  <si>
    <t>RERE</t>
  </si>
  <si>
    <t>GORAB</t>
  </si>
  <si>
    <t>MROH9</t>
  </si>
  <si>
    <t>ENO1, LOC112441839, LOC112441936</t>
  </si>
  <si>
    <t>CA6</t>
  </si>
  <si>
    <t>CAMTA1</t>
  </si>
  <si>
    <t>LOC112441841</t>
  </si>
  <si>
    <t>LOC104976573</t>
  </si>
  <si>
    <t>LOC787057, LOC112442214, LOC100848895, LOC101902345, LOC506495</t>
  </si>
  <si>
    <t>NSG2</t>
  </si>
  <si>
    <t>HSP90AA1</t>
  </si>
  <si>
    <r>
      <rPr>
        <rFont val="Arial"/>
        <color rgb="FF1F1F1F"/>
        <sz val="8.0"/>
      </rPr>
      <t xml:space="preserve">DYNC1H1, LOC786914, </t>
    </r>
    <r>
      <rPr>
        <rFont val="Arial"/>
        <b/>
        <color rgb="FF1F1F1F"/>
        <sz val="8.0"/>
      </rPr>
      <t>HSP90AA1</t>
    </r>
    <r>
      <rPr>
        <rFont val="Arial"/>
        <color rgb="FF1F1F1F"/>
        <sz val="8.0"/>
      </rPr>
      <t>, LOC112443173, LOC107131637, WDR20</t>
    </r>
  </si>
  <si>
    <t>LOC112443230, LOC101902083</t>
  </si>
  <si>
    <t>SCAPER</t>
  </si>
  <si>
    <t>RCN2, LOC112443143, PSTPIP1</t>
  </si>
  <si>
    <t>FAM19A4</t>
  </si>
  <si>
    <t>TMF1, EOGT</t>
  </si>
  <si>
    <t>LOC112444477, LOC112444479, ASMTL, LOC112444465, SLC25A6, LGI1</t>
  </si>
  <si>
    <t>LOC112444493</t>
  </si>
  <si>
    <t>LOC112444541, HMX2, HMX3, BUB3, LOC112444548</t>
  </si>
  <si>
    <t>MSR1</t>
  </si>
  <si>
    <t>CSGALNACT1, LOC112444635</t>
  </si>
  <si>
    <t>MUC6</t>
  </si>
  <si>
    <t>MUC2, LOC101903030, AP2A2, MIR2409,  CHID1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</si>
</sst>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yyyy/m"/>
    <numFmt numFmtId="166" formatCode="0.0000"/>
  </numFmts>
  <fonts count="22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sz val="10.0"/>
      <color rgb="FF000000"/>
      <name val="Arial"/>
    </font>
    <font>
      <color rgb="FF000000"/>
      <name val="Arial"/>
    </font>
    <font>
      <i/>
      <sz val="10.0"/>
      <color rgb="FF000000"/>
      <name val="Arial"/>
    </font>
    <font>
      <sz val="9.0"/>
      <color rgb="FF000000"/>
      <name val="Arial"/>
    </font>
    <font>
      <sz val="11.0"/>
      <color theme="1"/>
      <name val="Arial"/>
    </font>
    <font>
      <color theme="1"/>
      <name val="Arial"/>
    </font>
    <font>
      <i/>
      <sz val="11.0"/>
      <color theme="1"/>
      <name val="Arial"/>
    </font>
    <font>
      <b/>
      <color theme="1"/>
      <name val="Arial"/>
    </font>
    <font>
      <i/>
      <color theme="1"/>
      <name val="Arial"/>
    </font>
    <font>
      <sz val="9.0"/>
      <color rgb="FF1F1F1F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u/>
      <sz val="10.0"/>
      <color rgb="FF000000"/>
      <name val="Arial"/>
    </font>
    <font>
      <i/>
      <sz val="9.0"/>
      <color theme="1"/>
      <name val="Arial"/>
    </font>
    <font>
      <sz val="8.0"/>
      <color theme="1"/>
      <name val="Arial"/>
    </font>
    <font>
      <sz val="8.0"/>
      <color rgb="FF1F1F1F"/>
      <name val="Arial"/>
    </font>
    <font>
      <b/>
      <sz val="8.0"/>
      <color rgb="FF1F1F1F"/>
      <name val="Arial"/>
    </font>
    <font>
      <b/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164" xfId="0" applyAlignment="1" applyFont="1" applyNumberFormat="1">
      <alignment horizontal="center" shrinkToFit="0" vertical="bottom" wrapText="1"/>
    </xf>
    <xf borderId="0" fillId="0" fontId="1" numFmtId="2" xfId="0" applyAlignment="1" applyFont="1" applyNumberFormat="1">
      <alignment horizontal="center" shrinkToFit="0" vertical="bottom" wrapText="1"/>
    </xf>
    <xf borderId="0" fillId="0" fontId="2" numFmtId="2" xfId="0" applyAlignment="1" applyFont="1" applyNumberForma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/>
    </xf>
    <xf borderId="0" fillId="0" fontId="3" numFmtId="2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3" numFmtId="1" xfId="0" applyAlignment="1" applyFont="1" applyNumberFormat="1">
      <alignment horizontal="center"/>
    </xf>
    <xf borderId="0" fillId="0" fontId="3" numFmtId="0" xfId="0" applyAlignment="1" applyFont="1">
      <alignment horizontal="center" shrinkToFit="0" vertical="bottom" wrapText="0"/>
    </xf>
    <xf borderId="0" fillId="0" fontId="3" numFmtId="0" xfId="0" applyFont="1"/>
    <xf borderId="0" fillId="0" fontId="3" numFmtId="2" xfId="0" applyAlignment="1" applyFont="1" applyNumberFormat="1">
      <alignment horizontal="center" shrinkToFit="0" wrapText="1"/>
    </xf>
    <xf borderId="0" fillId="0" fontId="3" numFmtId="1" xfId="0" applyAlignment="1" applyFont="1" applyNumberFormat="1">
      <alignment horizontal="center" vertical="bottom"/>
    </xf>
    <xf borderId="0" fillId="0" fontId="6" numFmtId="0" xfId="0" applyAlignment="1" applyFont="1">
      <alignment horizontal="center"/>
    </xf>
    <xf borderId="0" fillId="0" fontId="3" numFmtId="1" xfId="0" applyAlignment="1" applyFont="1" applyNumberFormat="1">
      <alignment horizontal="center" shrinkToFit="0" vertical="bottom" wrapText="0"/>
    </xf>
    <xf borderId="0" fillId="0" fontId="3" numFmtId="165" xfId="0" applyAlignment="1" applyFont="1" applyNumberFormat="1">
      <alignment horizontal="center" vertical="bottom"/>
    </xf>
    <xf borderId="0" fillId="0" fontId="3" numFmtId="49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2" xfId="0" applyAlignment="1" applyFont="1" applyNumberFormat="1">
      <alignment horizontal="center"/>
    </xf>
    <xf borderId="0" fillId="0" fontId="7" numFmtId="2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/>
    </xf>
    <xf borderId="0" fillId="0" fontId="8" numFmtId="164" xfId="0" applyAlignment="1" applyFont="1" applyNumberFormat="1">
      <alignment horizontal="center"/>
    </xf>
    <xf borderId="0" fillId="0" fontId="8" numFmtId="2" xfId="0" applyAlignment="1" applyFont="1" applyNumberFormat="1">
      <alignment horizontal="center"/>
    </xf>
    <xf borderId="0" fillId="0" fontId="10" numFmtId="0" xfId="0" applyAlignment="1" applyFont="1">
      <alignment horizontal="center"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4" xfId="0" applyAlignment="1" applyFont="1" applyNumberForma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8" numFmtId="1" xfId="0" applyAlignment="1" applyFont="1" applyNumberFormat="1">
      <alignment horizontal="center" vertical="bottom"/>
    </xf>
    <xf borderId="0" fillId="0" fontId="8" numFmtId="4" xfId="0" applyAlignment="1" applyFont="1" applyNumberFormat="1">
      <alignment horizontal="center" shrinkToFit="0" vertical="bottom" wrapText="1"/>
    </xf>
    <xf borderId="0" fillId="0" fontId="8" numFmtId="2" xfId="0" applyAlignment="1" applyFont="1" applyNumberFormat="1">
      <alignment horizontal="center" vertical="bottom"/>
    </xf>
    <xf borderId="0" fillId="0" fontId="8" numFmtId="49" xfId="0" applyAlignment="1" applyFont="1" applyNumberFormat="1">
      <alignment horizontal="center" vertical="bottom"/>
    </xf>
    <xf borderId="0" fillId="2" fontId="12" numFmtId="0" xfId="0" applyAlignment="1" applyFill="1" applyFont="1">
      <alignment horizontal="center"/>
    </xf>
    <xf borderId="0" fillId="0" fontId="8" numFmtId="4" xfId="0" applyAlignment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3" numFmtId="166" xfId="0" applyAlignment="1" applyFont="1" applyNumberFormat="1">
      <alignment horizontal="center" vertical="bottom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8" numFmtId="0" xfId="0" applyFont="1"/>
    <xf borderId="0" fillId="0" fontId="16" numFmtId="0" xfId="0" applyAlignment="1" applyFont="1">
      <alignment horizontal="center" readingOrder="0" vertical="bottom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center" readingOrder="0" vertical="bottom"/>
    </xf>
    <xf borderId="0" fillId="0" fontId="17" numFmtId="0" xfId="0" applyAlignment="1" applyFont="1">
      <alignment horizontal="center" vertical="bottom"/>
    </xf>
    <xf borderId="0" fillId="0" fontId="3" numFmtId="0" xfId="0" applyFont="1"/>
    <xf borderId="0" fillId="0" fontId="10" numFmtId="0" xfId="0" applyAlignment="1" applyFont="1">
      <alignment horizontal="center" vertical="bottom"/>
    </xf>
    <xf borderId="0" fillId="0" fontId="8" numFmtId="165" xfId="0" applyAlignment="1" applyFont="1" applyNumberFormat="1">
      <alignment horizontal="center" vertical="bottom"/>
    </xf>
    <xf borderId="0" fillId="2" fontId="8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8" numFmtId="11" xfId="0" applyAlignment="1" applyFont="1" applyNumberFormat="1">
      <alignment horizontal="center" vertical="bottom"/>
    </xf>
    <xf borderId="0" fillId="0" fontId="4" numFmtId="11" xfId="0" applyAlignment="1" applyFont="1" applyNumberFormat="1">
      <alignment horizontal="center"/>
    </xf>
    <xf borderId="0" fillId="0" fontId="18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0" fillId="0" fontId="2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11/eva.12770" TargetMode="External"/><Relationship Id="rId2" Type="http://schemas.openxmlformats.org/officeDocument/2006/relationships/hyperlink" Target="https://doi.org/10.1111/eva.12770" TargetMode="External"/><Relationship Id="rId3" Type="http://schemas.openxmlformats.org/officeDocument/2006/relationships/hyperlink" Target="https://doi.org/10.1111/eva.12770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63"/>
    <col customWidth="1" min="2" max="2" width="16.75"/>
    <col customWidth="1" min="3" max="3" width="21.88"/>
    <col customWidth="1" min="4" max="4" width="13.75"/>
    <col customWidth="1" min="5" max="5" width="12.63"/>
    <col customWidth="1" min="6" max="6" width="17.0"/>
    <col customWidth="1" min="7" max="7" width="15.75"/>
    <col customWidth="1" min="8" max="8" width="17.63"/>
    <col customWidth="1" min="9" max="9" width="11.38"/>
    <col customWidth="1" min="10" max="10" width="14.13"/>
    <col customWidth="1" min="11" max="11" width="15.75"/>
    <col customWidth="1" min="12" max="12" width="14.0"/>
    <col customWidth="1" min="13" max="13" width="16.0"/>
    <col customWidth="1" min="14" max="14" width="14.13"/>
    <col customWidth="1" min="15" max="15" width="13.88"/>
    <col customWidth="1" min="16" max="16" width="14.5"/>
    <col customWidth="1" min="17" max="17" width="11.0"/>
    <col customWidth="1" min="18" max="18" width="14.13"/>
    <col customWidth="1" min="19" max="19" width="10.88"/>
    <col customWidth="1" min="20" max="20" width="14.0"/>
    <col customWidth="1" min="22" max="22" width="13.25"/>
    <col customWidth="1" min="23" max="23" width="20.5"/>
    <col customWidth="1" min="24" max="24" width="18.38"/>
    <col customWidth="1" min="25" max="25" width="29.25"/>
    <col customWidth="1" min="26" max="26" width="34.88"/>
    <col customWidth="1" min="27" max="27" width="28.5"/>
    <col customWidth="1" min="28" max="28" width="17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4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1" t="s">
        <v>27</v>
      </c>
    </row>
    <row r="2" ht="15.75" customHeight="1">
      <c r="A2" s="6" t="s">
        <v>28</v>
      </c>
      <c r="B2" s="6" t="s">
        <v>29</v>
      </c>
      <c r="C2" s="7" t="s">
        <v>30</v>
      </c>
      <c r="D2" s="7" t="s">
        <v>31</v>
      </c>
      <c r="E2" s="6" t="s">
        <v>32</v>
      </c>
      <c r="F2" s="6" t="s">
        <v>33</v>
      </c>
      <c r="G2" s="8">
        <v>49.145275</v>
      </c>
      <c r="H2" s="8">
        <v>8.221805</v>
      </c>
      <c r="I2" s="6"/>
      <c r="J2" s="6"/>
      <c r="K2" s="7"/>
      <c r="L2" s="7"/>
      <c r="M2" s="6" t="s">
        <v>34</v>
      </c>
      <c r="N2" s="7" t="s">
        <v>35</v>
      </c>
      <c r="O2" s="7" t="s">
        <v>36</v>
      </c>
      <c r="P2" s="9">
        <v>22.0</v>
      </c>
      <c r="Q2" s="10">
        <v>22.47</v>
      </c>
      <c r="R2" s="9">
        <v>2529.15</v>
      </c>
      <c r="S2" s="11">
        <v>0.37812</v>
      </c>
      <c r="T2" s="12" t="s">
        <v>37</v>
      </c>
      <c r="U2" s="7" t="s">
        <v>38</v>
      </c>
      <c r="V2" s="6" t="s">
        <v>39</v>
      </c>
      <c r="W2" s="7" t="s">
        <v>40</v>
      </c>
      <c r="X2" s="7">
        <v>5696.0</v>
      </c>
      <c r="Y2" s="6" t="s">
        <v>41</v>
      </c>
      <c r="Z2" s="13" t="s">
        <v>42</v>
      </c>
      <c r="AA2" s="11"/>
      <c r="AB2" s="11" t="s">
        <v>43</v>
      </c>
    </row>
    <row r="3" ht="15.75" customHeight="1">
      <c r="A3" s="6" t="s">
        <v>44</v>
      </c>
      <c r="B3" s="6">
        <v>11139.0</v>
      </c>
      <c r="C3" s="7" t="s">
        <v>45</v>
      </c>
      <c r="D3" s="7" t="s">
        <v>31</v>
      </c>
      <c r="E3" s="6" t="s">
        <v>46</v>
      </c>
      <c r="F3" s="6" t="s">
        <v>47</v>
      </c>
      <c r="G3" s="8">
        <v>41.1320112833211</v>
      </c>
      <c r="H3" s="8">
        <v>43.8712544488537</v>
      </c>
      <c r="I3" s="6" t="s">
        <v>48</v>
      </c>
      <c r="J3" s="6" t="s">
        <v>49</v>
      </c>
      <c r="K3" s="7" t="s">
        <v>50</v>
      </c>
      <c r="L3" s="7" t="s">
        <v>51</v>
      </c>
      <c r="M3" s="6"/>
      <c r="N3" s="7" t="s">
        <v>35</v>
      </c>
      <c r="O3" s="7" t="s">
        <v>36</v>
      </c>
      <c r="P3" s="9">
        <v>56.95077172</v>
      </c>
      <c r="Q3" s="10">
        <v>17.65</v>
      </c>
      <c r="R3" s="9">
        <v>1393.3</v>
      </c>
      <c r="S3" s="11">
        <v>0.34928</v>
      </c>
      <c r="T3" s="12" t="s">
        <v>37</v>
      </c>
      <c r="U3" s="7" t="s">
        <v>52</v>
      </c>
      <c r="V3" s="6" t="s">
        <v>53</v>
      </c>
      <c r="W3" s="7"/>
      <c r="X3" s="7">
        <f>(14023+13789)/2</f>
        <v>13906</v>
      </c>
      <c r="Y3" s="6" t="s">
        <v>54</v>
      </c>
      <c r="Z3" s="11" t="s">
        <v>55</v>
      </c>
      <c r="AA3" s="11"/>
      <c r="AB3" s="7"/>
    </row>
    <row r="4" ht="15.75" customHeight="1">
      <c r="A4" s="6" t="s">
        <v>56</v>
      </c>
      <c r="B4" s="6" t="s">
        <v>57</v>
      </c>
      <c r="C4" s="7" t="s">
        <v>58</v>
      </c>
      <c r="D4" s="7" t="s">
        <v>59</v>
      </c>
      <c r="E4" s="6" t="s">
        <v>60</v>
      </c>
      <c r="F4" s="6" t="s">
        <v>61</v>
      </c>
      <c r="G4" s="8">
        <v>43.0719383129431</v>
      </c>
      <c r="H4" s="8">
        <v>-8.66097028062168</v>
      </c>
      <c r="I4" s="6" t="s">
        <v>62</v>
      </c>
      <c r="J4" s="6" t="s">
        <v>63</v>
      </c>
      <c r="K4" s="7" t="s">
        <v>64</v>
      </c>
      <c r="L4" s="7" t="s">
        <v>65</v>
      </c>
      <c r="M4" s="6" t="s">
        <v>66</v>
      </c>
      <c r="N4" s="7" t="s">
        <v>35</v>
      </c>
      <c r="O4" s="7" t="s">
        <v>36</v>
      </c>
      <c r="P4" s="9">
        <v>54.87845693852355</v>
      </c>
      <c r="Q4" s="10">
        <v>14.5</v>
      </c>
      <c r="R4" s="9">
        <v>939.1349</v>
      </c>
      <c r="S4" s="11">
        <v>0.39736</v>
      </c>
      <c r="T4" s="12" t="s">
        <v>37</v>
      </c>
      <c r="U4" s="7" t="s">
        <v>52</v>
      </c>
      <c r="V4" s="6" t="s">
        <v>39</v>
      </c>
      <c r="W4" s="7"/>
      <c r="X4" s="14">
        <f>(9464+9035)/2</f>
        <v>9249.5</v>
      </c>
      <c r="Y4" s="6" t="s">
        <v>67</v>
      </c>
      <c r="Z4" s="13" t="s">
        <v>42</v>
      </c>
      <c r="AA4" s="11" t="s">
        <v>43</v>
      </c>
      <c r="AB4" s="11" t="s">
        <v>43</v>
      </c>
    </row>
    <row r="5" ht="15.75" customHeight="1">
      <c r="A5" s="6" t="s">
        <v>68</v>
      </c>
      <c r="B5" s="6">
        <v>13611.0</v>
      </c>
      <c r="C5" s="7" t="s">
        <v>45</v>
      </c>
      <c r="D5" s="7" t="s">
        <v>31</v>
      </c>
      <c r="E5" s="6" t="s">
        <v>69</v>
      </c>
      <c r="F5" s="6" t="s">
        <v>70</v>
      </c>
      <c r="G5" s="8">
        <v>51.4966093549618</v>
      </c>
      <c r="H5" s="8">
        <v>104.037519968685</v>
      </c>
      <c r="I5" s="6" t="s">
        <v>71</v>
      </c>
      <c r="J5" s="6" t="s">
        <v>72</v>
      </c>
      <c r="K5" s="7" t="s">
        <v>73</v>
      </c>
      <c r="L5" s="7" t="s">
        <v>74</v>
      </c>
      <c r="M5" s="6"/>
      <c r="N5" s="7" t="s">
        <v>35</v>
      </c>
      <c r="O5" s="7" t="s">
        <v>36</v>
      </c>
      <c r="P5" s="9">
        <v>56.61</v>
      </c>
      <c r="Q5" s="7">
        <v>13.92</v>
      </c>
      <c r="R5" s="9">
        <v>1697.96</v>
      </c>
      <c r="S5" s="11">
        <v>0.34196</v>
      </c>
      <c r="T5" s="12" t="s">
        <v>37</v>
      </c>
      <c r="U5" s="7" t="s">
        <v>52</v>
      </c>
      <c r="V5" s="6" t="s">
        <v>75</v>
      </c>
      <c r="W5" s="7"/>
      <c r="X5" s="6">
        <f>(12455+11941)/2</f>
        <v>12198</v>
      </c>
      <c r="Y5" s="6" t="s">
        <v>76</v>
      </c>
      <c r="Z5" s="11" t="s">
        <v>55</v>
      </c>
      <c r="AA5" s="11" t="s">
        <v>77</v>
      </c>
      <c r="AB5" s="7"/>
    </row>
    <row r="6" ht="15.75" customHeight="1">
      <c r="A6" s="6" t="s">
        <v>78</v>
      </c>
      <c r="B6" s="6" t="s">
        <v>79</v>
      </c>
      <c r="C6" s="7" t="s">
        <v>80</v>
      </c>
      <c r="D6" s="7" t="s">
        <v>31</v>
      </c>
      <c r="E6" s="6" t="s">
        <v>81</v>
      </c>
      <c r="F6" s="6" t="s">
        <v>82</v>
      </c>
      <c r="G6" s="8">
        <v>42.9726491502666</v>
      </c>
      <c r="H6" s="8">
        <v>24.118494664326</v>
      </c>
      <c r="I6" s="6" t="s">
        <v>83</v>
      </c>
      <c r="J6" s="6" t="s">
        <v>84</v>
      </c>
      <c r="K6" s="7" t="s">
        <v>85</v>
      </c>
      <c r="L6" s="7" t="s">
        <v>86</v>
      </c>
      <c r="M6" s="6" t="s">
        <v>34</v>
      </c>
      <c r="N6" s="7" t="s">
        <v>35</v>
      </c>
      <c r="O6" s="7" t="s">
        <v>36</v>
      </c>
      <c r="P6" s="9">
        <v>51.80486570634806</v>
      </c>
      <c r="Q6" s="10">
        <v>8.45</v>
      </c>
      <c r="R6" s="9">
        <v>1036.5525</v>
      </c>
      <c r="S6" s="11">
        <v>0.41184</v>
      </c>
      <c r="T6" s="12" t="s">
        <v>37</v>
      </c>
      <c r="U6" s="7" t="s">
        <v>52</v>
      </c>
      <c r="V6" s="6" t="s">
        <v>39</v>
      </c>
      <c r="W6" s="7"/>
      <c r="X6" s="6">
        <f>(6184+5932)/2</f>
        <v>6058</v>
      </c>
      <c r="Y6" s="6" t="s">
        <v>87</v>
      </c>
      <c r="Z6" s="11"/>
      <c r="AA6" s="11"/>
      <c r="AB6" s="11" t="s">
        <v>43</v>
      </c>
    </row>
    <row r="7" ht="15.75" customHeight="1">
      <c r="A7" s="6" t="s">
        <v>88</v>
      </c>
      <c r="B7" s="6" t="s">
        <v>89</v>
      </c>
      <c r="C7" s="7" t="s">
        <v>90</v>
      </c>
      <c r="D7" s="7" t="s">
        <v>31</v>
      </c>
      <c r="E7" s="6" t="s">
        <v>69</v>
      </c>
      <c r="F7" s="6" t="s">
        <v>91</v>
      </c>
      <c r="G7" s="8">
        <v>51.6301587756887</v>
      </c>
      <c r="H7" s="8">
        <v>49.6658507598358</v>
      </c>
      <c r="I7" s="6" t="s">
        <v>92</v>
      </c>
      <c r="J7" s="6" t="s">
        <v>93</v>
      </c>
      <c r="K7" s="7" t="s">
        <v>94</v>
      </c>
      <c r="L7" s="7" t="s">
        <v>95</v>
      </c>
      <c r="M7" s="6"/>
      <c r="N7" s="7" t="s">
        <v>35</v>
      </c>
      <c r="O7" s="7" t="s">
        <v>36</v>
      </c>
      <c r="P7" s="9">
        <v>52.666697734196035</v>
      </c>
      <c r="Q7" s="10">
        <v>8.25</v>
      </c>
      <c r="R7" s="9">
        <v>2469.005</v>
      </c>
      <c r="S7" s="11">
        <v>0.39296</v>
      </c>
      <c r="T7" s="12" t="s">
        <v>37</v>
      </c>
      <c r="U7" s="7" t="s">
        <v>52</v>
      </c>
      <c r="V7" s="6" t="s">
        <v>53</v>
      </c>
      <c r="W7" s="7"/>
      <c r="X7" s="7">
        <f>(7412+7164)/2</f>
        <v>7288</v>
      </c>
      <c r="Y7" s="6" t="s">
        <v>96</v>
      </c>
      <c r="Z7" s="11"/>
      <c r="AA7" s="11"/>
      <c r="AB7" s="7"/>
    </row>
    <row r="8" ht="18.0" customHeight="1">
      <c r="A8" s="6" t="s">
        <v>97</v>
      </c>
      <c r="B8" s="6" t="s">
        <v>98</v>
      </c>
      <c r="C8" s="7" t="s">
        <v>99</v>
      </c>
      <c r="D8" s="7" t="s">
        <v>31</v>
      </c>
      <c r="E8" s="6" t="s">
        <v>100</v>
      </c>
      <c r="F8" s="6" t="s">
        <v>101</v>
      </c>
      <c r="G8" s="8">
        <v>54.1101</v>
      </c>
      <c r="H8" s="8">
        <v>-2.2914</v>
      </c>
      <c r="I8" s="6" t="s">
        <v>102</v>
      </c>
      <c r="J8" s="6" t="s">
        <v>103</v>
      </c>
      <c r="K8" s="7" t="s">
        <v>104</v>
      </c>
      <c r="L8" s="7" t="s">
        <v>105</v>
      </c>
      <c r="M8" s="6" t="s">
        <v>34</v>
      </c>
      <c r="N8" s="7" t="s">
        <v>35</v>
      </c>
      <c r="O8" s="7" t="s">
        <v>36</v>
      </c>
      <c r="P8" s="9">
        <v>42.68533262</v>
      </c>
      <c r="Q8" s="10">
        <v>6.28</v>
      </c>
      <c r="R8" s="9">
        <v>463.56</v>
      </c>
      <c r="S8" s="11">
        <v>0.34645</v>
      </c>
      <c r="T8" s="12" t="s">
        <v>37</v>
      </c>
      <c r="U8" s="7" t="s">
        <v>38</v>
      </c>
      <c r="V8" s="6" t="s">
        <v>106</v>
      </c>
      <c r="W8" s="7"/>
      <c r="X8" s="14">
        <f>(4835+4584)/2</f>
        <v>4709.5</v>
      </c>
      <c r="Y8" s="6" t="s">
        <v>107</v>
      </c>
      <c r="Z8" s="11" t="s">
        <v>42</v>
      </c>
      <c r="AA8" s="11"/>
      <c r="AB8" s="11" t="s">
        <v>43</v>
      </c>
    </row>
    <row r="9" ht="15.75" customHeight="1">
      <c r="A9" s="6" t="s">
        <v>108</v>
      </c>
      <c r="B9" s="6" t="s">
        <v>109</v>
      </c>
      <c r="C9" s="7" t="s">
        <v>90</v>
      </c>
      <c r="D9" s="7" t="s">
        <v>31</v>
      </c>
      <c r="E9" s="6" t="s">
        <v>69</v>
      </c>
      <c r="F9" s="6" t="s">
        <v>91</v>
      </c>
      <c r="G9" s="8">
        <v>51.6301587756887</v>
      </c>
      <c r="H9" s="8">
        <v>49.6658507598358</v>
      </c>
      <c r="I9" s="6" t="s">
        <v>110</v>
      </c>
      <c r="J9" s="6" t="s">
        <v>111</v>
      </c>
      <c r="K9" s="7" t="s">
        <v>112</v>
      </c>
      <c r="L9" s="7" t="s">
        <v>113</v>
      </c>
      <c r="M9" s="6"/>
      <c r="N9" s="7" t="s">
        <v>35</v>
      </c>
      <c r="O9" s="7" t="s">
        <v>36</v>
      </c>
      <c r="P9" s="10">
        <v>31.50535716735489</v>
      </c>
      <c r="Q9" s="10">
        <v>4.45</v>
      </c>
      <c r="R9" s="9">
        <v>367.71</v>
      </c>
      <c r="S9" s="11">
        <v>0.45573</v>
      </c>
      <c r="T9" s="12" t="s">
        <v>37</v>
      </c>
      <c r="U9" s="7" t="s">
        <v>52</v>
      </c>
      <c r="V9" s="6" t="s">
        <v>114</v>
      </c>
      <c r="W9" s="7"/>
      <c r="X9" s="14">
        <f>(7567+7426)/2</f>
        <v>7496.5</v>
      </c>
      <c r="Y9" s="6" t="s">
        <v>96</v>
      </c>
      <c r="Z9" s="11"/>
      <c r="AA9" s="11"/>
      <c r="AB9" s="7"/>
    </row>
    <row r="10" ht="15.75" customHeight="1">
      <c r="A10" s="6" t="s">
        <v>115</v>
      </c>
      <c r="B10" s="6" t="s">
        <v>116</v>
      </c>
      <c r="C10" s="7" t="s">
        <v>45</v>
      </c>
      <c r="D10" s="7" t="s">
        <v>31</v>
      </c>
      <c r="E10" s="6" t="s">
        <v>69</v>
      </c>
      <c r="F10" s="6" t="s">
        <v>117</v>
      </c>
      <c r="G10" s="8">
        <v>54.1927677001745</v>
      </c>
      <c r="H10" s="8">
        <v>37.6054675840347</v>
      </c>
      <c r="I10" s="6" t="s">
        <v>118</v>
      </c>
      <c r="J10" s="6" t="s">
        <v>119</v>
      </c>
      <c r="K10" s="7" t="s">
        <v>120</v>
      </c>
      <c r="L10" s="7" t="s">
        <v>121</v>
      </c>
      <c r="M10" s="6"/>
      <c r="N10" s="7" t="s">
        <v>35</v>
      </c>
      <c r="O10" s="7" t="s">
        <v>36</v>
      </c>
      <c r="P10" s="9">
        <v>45.49</v>
      </c>
      <c r="Q10" s="10">
        <v>3.47</v>
      </c>
      <c r="R10" s="9">
        <v>2443.07</v>
      </c>
      <c r="S10" s="11">
        <v>0.31162</v>
      </c>
      <c r="T10" s="12" t="s">
        <v>37</v>
      </c>
      <c r="U10" s="7" t="s">
        <v>52</v>
      </c>
      <c r="V10" s="6" t="s">
        <v>75</v>
      </c>
      <c r="W10" s="7"/>
      <c r="X10" s="15">
        <f>(42386+40672)/2</f>
        <v>41529</v>
      </c>
      <c r="Y10" s="6" t="s">
        <v>122</v>
      </c>
      <c r="Z10" s="11" t="s">
        <v>55</v>
      </c>
      <c r="AA10" s="11"/>
      <c r="AB10" s="7"/>
    </row>
    <row r="11" ht="15.75" customHeight="1">
      <c r="A11" s="6" t="s">
        <v>123</v>
      </c>
      <c r="B11" s="6" t="s">
        <v>124</v>
      </c>
      <c r="C11" s="7" t="s">
        <v>125</v>
      </c>
      <c r="D11" s="7" t="s">
        <v>31</v>
      </c>
      <c r="E11" s="6" t="s">
        <v>126</v>
      </c>
      <c r="F11" s="6" t="s">
        <v>127</v>
      </c>
      <c r="G11" s="8">
        <v>51.6188100745602</v>
      </c>
      <c r="H11" s="8">
        <v>9.66938943552029</v>
      </c>
      <c r="I11" s="16"/>
      <c r="J11" s="16"/>
      <c r="K11" s="7"/>
      <c r="L11" s="7"/>
      <c r="M11" s="6"/>
      <c r="N11" s="7" t="s">
        <v>35</v>
      </c>
      <c r="O11" s="7" t="s">
        <v>36</v>
      </c>
      <c r="P11" s="9">
        <v>57.9414521735734</v>
      </c>
      <c r="Q11" s="10">
        <v>3.03</v>
      </c>
      <c r="R11" s="9">
        <v>1075.22</v>
      </c>
      <c r="S11" s="11">
        <v>0.35775</v>
      </c>
      <c r="T11" s="12" t="s">
        <v>37</v>
      </c>
      <c r="U11" s="7" t="s">
        <v>52</v>
      </c>
      <c r="V11" s="6" t="s">
        <v>39</v>
      </c>
      <c r="W11" s="7" t="s">
        <v>128</v>
      </c>
      <c r="X11" s="7">
        <v>12390.0</v>
      </c>
      <c r="Y11" s="6" t="s">
        <v>129</v>
      </c>
      <c r="Z11" s="11" t="s">
        <v>42</v>
      </c>
      <c r="AA11" s="11"/>
      <c r="AB11" s="11" t="s">
        <v>43</v>
      </c>
    </row>
    <row r="12" ht="15.75" customHeight="1">
      <c r="A12" s="6" t="s">
        <v>130</v>
      </c>
      <c r="B12" s="6" t="s">
        <v>131</v>
      </c>
      <c r="C12" s="7" t="s">
        <v>58</v>
      </c>
      <c r="D12" s="7" t="s">
        <v>132</v>
      </c>
      <c r="E12" s="6" t="s">
        <v>60</v>
      </c>
      <c r="F12" s="6" t="s">
        <v>61</v>
      </c>
      <c r="G12" s="8">
        <v>43.0719383129431</v>
      </c>
      <c r="H12" s="8">
        <v>-8.66097028062168</v>
      </c>
      <c r="I12" s="6" t="s">
        <v>133</v>
      </c>
      <c r="J12" s="6" t="s">
        <v>134</v>
      </c>
      <c r="K12" s="7" t="s">
        <v>135</v>
      </c>
      <c r="L12" s="7" t="s">
        <v>136</v>
      </c>
      <c r="M12" s="6" t="s">
        <v>66</v>
      </c>
      <c r="N12" s="7" t="s">
        <v>35</v>
      </c>
      <c r="O12" s="7" t="s">
        <v>36</v>
      </c>
      <c r="P12" s="9">
        <v>38.93919844060119</v>
      </c>
      <c r="Q12" s="10">
        <v>2.72</v>
      </c>
      <c r="R12" s="9">
        <v>1445.041</v>
      </c>
      <c r="S12" s="11">
        <v>0.40238</v>
      </c>
      <c r="T12" s="12" t="s">
        <v>37</v>
      </c>
      <c r="U12" s="7" t="s">
        <v>52</v>
      </c>
      <c r="V12" s="6" t="s">
        <v>39</v>
      </c>
      <c r="W12" s="7"/>
      <c r="X12" s="14">
        <f>(9474+9039)/2</f>
        <v>9256.5</v>
      </c>
      <c r="Y12" s="6" t="s">
        <v>67</v>
      </c>
      <c r="Z12" s="13" t="s">
        <v>42</v>
      </c>
      <c r="AA12" s="11"/>
      <c r="AB12" s="11" t="s">
        <v>43</v>
      </c>
    </row>
    <row r="13" ht="15.75" customHeight="1">
      <c r="A13" s="6" t="s">
        <v>137</v>
      </c>
      <c r="B13" s="6" t="s">
        <v>138</v>
      </c>
      <c r="C13" s="7" t="s">
        <v>139</v>
      </c>
      <c r="D13" s="7" t="s">
        <v>31</v>
      </c>
      <c r="E13" s="6" t="s">
        <v>140</v>
      </c>
      <c r="F13" s="6" t="s">
        <v>141</v>
      </c>
      <c r="G13" s="8">
        <v>41.9268766840193</v>
      </c>
      <c r="H13" s="8">
        <v>12.1784197861236</v>
      </c>
      <c r="I13" s="6" t="s">
        <v>142</v>
      </c>
      <c r="J13" s="6" t="s">
        <v>143</v>
      </c>
      <c r="K13" s="7" t="s">
        <v>144</v>
      </c>
      <c r="L13" s="7" t="s">
        <v>145</v>
      </c>
      <c r="M13" s="6" t="s">
        <v>146</v>
      </c>
      <c r="N13" s="7" t="s">
        <v>35</v>
      </c>
      <c r="O13" s="7" t="s">
        <v>36</v>
      </c>
      <c r="P13" s="9">
        <v>43.35190686579653</v>
      </c>
      <c r="Q13" s="10">
        <v>2.54</v>
      </c>
      <c r="R13" s="9">
        <v>670.03</v>
      </c>
      <c r="S13" s="11">
        <v>0.51835</v>
      </c>
      <c r="T13" s="12" t="s">
        <v>37</v>
      </c>
      <c r="U13" s="7" t="s">
        <v>38</v>
      </c>
      <c r="V13" s="6" t="s">
        <v>39</v>
      </c>
      <c r="W13" s="7"/>
      <c r="X13" s="7">
        <f>(18236+17798)/2</f>
        <v>18017</v>
      </c>
      <c r="Y13" s="6" t="s">
        <v>147</v>
      </c>
      <c r="Z13" s="11" t="s">
        <v>140</v>
      </c>
      <c r="AA13" s="11"/>
      <c r="AB13" s="11" t="s">
        <v>43</v>
      </c>
    </row>
    <row r="14" ht="15.75" customHeight="1">
      <c r="A14" s="6" t="s">
        <v>148</v>
      </c>
      <c r="B14" s="6" t="s">
        <v>149</v>
      </c>
      <c r="C14" s="7" t="s">
        <v>150</v>
      </c>
      <c r="D14" s="7" t="s">
        <v>31</v>
      </c>
      <c r="E14" s="6" t="s">
        <v>69</v>
      </c>
      <c r="F14" s="6" t="s">
        <v>151</v>
      </c>
      <c r="G14" s="8">
        <v>53.8012560972502</v>
      </c>
      <c r="H14" s="8">
        <v>86.1090272392484</v>
      </c>
      <c r="I14" s="6" t="s">
        <v>152</v>
      </c>
      <c r="J14" s="6" t="s">
        <v>153</v>
      </c>
      <c r="K14" s="7" t="s">
        <v>154</v>
      </c>
      <c r="L14" s="7" t="s">
        <v>155</v>
      </c>
      <c r="M14" s="6" t="s">
        <v>156</v>
      </c>
      <c r="N14" s="7" t="s">
        <v>35</v>
      </c>
      <c r="O14" s="7" t="s">
        <v>36</v>
      </c>
      <c r="P14" s="17">
        <v>57.83</v>
      </c>
      <c r="Q14" s="10">
        <v>2.43</v>
      </c>
      <c r="R14" s="9">
        <v>395.78</v>
      </c>
      <c r="S14" s="11">
        <v>0.2801</v>
      </c>
      <c r="T14" s="12" t="s">
        <v>157</v>
      </c>
      <c r="U14" s="7" t="s">
        <v>38</v>
      </c>
      <c r="V14" s="6" t="s">
        <v>106</v>
      </c>
      <c r="W14" s="7"/>
      <c r="X14" s="14">
        <f>(4138+3905)/2</f>
        <v>4021.5</v>
      </c>
      <c r="Y14" s="6" t="s">
        <v>158</v>
      </c>
      <c r="Z14" s="11"/>
      <c r="AA14" s="11"/>
      <c r="AB14" s="7"/>
    </row>
    <row r="15" ht="15.75" customHeight="1">
      <c r="A15" s="6" t="s">
        <v>159</v>
      </c>
      <c r="B15" s="6" t="s">
        <v>160</v>
      </c>
      <c r="C15" s="7" t="s">
        <v>150</v>
      </c>
      <c r="D15" s="7" t="s">
        <v>31</v>
      </c>
      <c r="E15" s="6" t="s">
        <v>69</v>
      </c>
      <c r="F15" s="6" t="s">
        <v>161</v>
      </c>
      <c r="G15" s="8">
        <v>53.4166910194178</v>
      </c>
      <c r="H15" s="8">
        <v>80.4840275147169</v>
      </c>
      <c r="I15" s="15" t="s">
        <v>162</v>
      </c>
      <c r="J15" s="15" t="s">
        <v>163</v>
      </c>
      <c r="K15" s="7" t="s">
        <v>164</v>
      </c>
      <c r="L15" s="15" t="s">
        <v>165</v>
      </c>
      <c r="M15" s="6" t="s">
        <v>156</v>
      </c>
      <c r="N15" s="7" t="s">
        <v>35</v>
      </c>
      <c r="O15" s="7" t="s">
        <v>36</v>
      </c>
      <c r="P15" s="17">
        <v>35.8862559242</v>
      </c>
      <c r="Q15" s="10">
        <v>2.28</v>
      </c>
      <c r="R15" s="9">
        <v>174.17</v>
      </c>
      <c r="S15" s="11">
        <v>0.29082</v>
      </c>
      <c r="T15" s="12" t="s">
        <v>157</v>
      </c>
      <c r="U15" s="7" t="s">
        <v>38</v>
      </c>
      <c r="V15" s="6" t="s">
        <v>114</v>
      </c>
      <c r="W15" s="7"/>
      <c r="X15" s="14">
        <f>(4148+3927)/2</f>
        <v>4037.5</v>
      </c>
      <c r="Y15" s="6" t="s">
        <v>158</v>
      </c>
      <c r="Z15" s="11"/>
      <c r="AA15" s="11"/>
      <c r="AB15" s="7"/>
    </row>
    <row r="16" ht="15.75" customHeight="1">
      <c r="A16" s="6" t="s">
        <v>166</v>
      </c>
      <c r="B16" s="6"/>
      <c r="C16" s="7" t="s">
        <v>167</v>
      </c>
      <c r="D16" s="7" t="s">
        <v>31</v>
      </c>
      <c r="E16" s="6" t="s">
        <v>126</v>
      </c>
      <c r="F16" s="6" t="s">
        <v>168</v>
      </c>
      <c r="G16" s="8">
        <v>51.1072285985126</v>
      </c>
      <c r="H16" s="8">
        <v>6.46428381971451</v>
      </c>
      <c r="I16" s="6" t="s">
        <v>169</v>
      </c>
      <c r="J16" s="6" t="s">
        <v>170</v>
      </c>
      <c r="K16" s="7" t="s">
        <v>171</v>
      </c>
      <c r="L16" s="7" t="s">
        <v>172</v>
      </c>
      <c r="M16" s="6" t="s">
        <v>66</v>
      </c>
      <c r="N16" s="7" t="s">
        <v>35</v>
      </c>
      <c r="O16" s="7" t="s">
        <v>36</v>
      </c>
      <c r="P16" s="9">
        <v>30.72</v>
      </c>
      <c r="Q16" s="7">
        <v>2.24</v>
      </c>
      <c r="R16" s="9">
        <v>702.44</v>
      </c>
      <c r="S16" s="11">
        <v>0.34028</v>
      </c>
      <c r="T16" s="12" t="s">
        <v>37</v>
      </c>
      <c r="U16" s="7" t="s">
        <v>38</v>
      </c>
      <c r="V16" s="6" t="s">
        <v>39</v>
      </c>
      <c r="W16" s="7"/>
      <c r="X16" s="14">
        <f>(11875+11402)/2</f>
        <v>11638.5</v>
      </c>
      <c r="Y16" s="6" t="s">
        <v>41</v>
      </c>
      <c r="Z16" s="13" t="s">
        <v>42</v>
      </c>
      <c r="AA16" s="11"/>
      <c r="AB16" s="11" t="s">
        <v>43</v>
      </c>
    </row>
    <row r="17" ht="15.75" customHeight="1">
      <c r="A17" s="6" t="s">
        <v>173</v>
      </c>
      <c r="B17" s="6"/>
      <c r="C17" s="7" t="s">
        <v>174</v>
      </c>
      <c r="D17" s="7" t="s">
        <v>175</v>
      </c>
      <c r="E17" s="6" t="s">
        <v>32</v>
      </c>
      <c r="F17" s="6" t="s">
        <v>176</v>
      </c>
      <c r="G17" s="8">
        <v>49.75</v>
      </c>
      <c r="H17" s="8">
        <v>6.633333</v>
      </c>
      <c r="I17" s="6" t="s">
        <v>177</v>
      </c>
      <c r="J17" s="6" t="s">
        <v>178</v>
      </c>
      <c r="K17" s="7" t="s">
        <v>179</v>
      </c>
      <c r="L17" s="7" t="s">
        <v>180</v>
      </c>
      <c r="M17" s="6" t="s">
        <v>66</v>
      </c>
      <c r="N17" s="7" t="s">
        <v>35</v>
      </c>
      <c r="O17" s="7" t="s">
        <v>36</v>
      </c>
      <c r="P17" s="9">
        <v>24.0</v>
      </c>
      <c r="Q17" s="10">
        <v>2.24</v>
      </c>
      <c r="R17" s="9">
        <v>907.19</v>
      </c>
      <c r="S17" s="11">
        <v>0.50158</v>
      </c>
      <c r="T17" s="12" t="s">
        <v>37</v>
      </c>
      <c r="U17" s="7" t="s">
        <v>52</v>
      </c>
      <c r="V17" s="6" t="s">
        <v>39</v>
      </c>
      <c r="W17" s="7"/>
      <c r="X17" s="14">
        <f>(10217+9902)/2</f>
        <v>10059.5</v>
      </c>
      <c r="Y17" s="6" t="s">
        <v>41</v>
      </c>
      <c r="Z17" s="11" t="s">
        <v>42</v>
      </c>
      <c r="AA17" s="11"/>
      <c r="AB17" s="11" t="s">
        <v>43</v>
      </c>
    </row>
    <row r="18" ht="15.75" customHeight="1">
      <c r="A18" s="6" t="s">
        <v>181</v>
      </c>
      <c r="B18" s="6" t="s">
        <v>182</v>
      </c>
      <c r="C18" s="7" t="s">
        <v>125</v>
      </c>
      <c r="D18" s="7" t="s">
        <v>31</v>
      </c>
      <c r="E18" s="6" t="s">
        <v>126</v>
      </c>
      <c r="F18" s="6" t="s">
        <v>127</v>
      </c>
      <c r="G18" s="8">
        <v>51.6188100745602</v>
      </c>
      <c r="H18" s="8">
        <v>9.66938943552029</v>
      </c>
      <c r="I18" s="6" t="s">
        <v>183</v>
      </c>
      <c r="J18" s="6" t="s">
        <v>184</v>
      </c>
      <c r="K18" s="7" t="s">
        <v>185</v>
      </c>
      <c r="L18" s="7" t="s">
        <v>186</v>
      </c>
      <c r="M18" s="6"/>
      <c r="N18" s="7" t="s">
        <v>35</v>
      </c>
      <c r="O18" s="7" t="s">
        <v>36</v>
      </c>
      <c r="P18" s="9">
        <v>28.348654104438598</v>
      </c>
      <c r="Q18" s="10">
        <v>2.09</v>
      </c>
      <c r="R18" s="9">
        <v>1582.56</v>
      </c>
      <c r="S18" s="11">
        <v>0.46641</v>
      </c>
      <c r="T18" s="12" t="s">
        <v>37</v>
      </c>
      <c r="U18" s="7" t="s">
        <v>52</v>
      </c>
      <c r="V18" s="6" t="s">
        <v>187</v>
      </c>
      <c r="W18" s="7"/>
      <c r="X18" s="18">
        <f>(46935+45238)/2</f>
        <v>46086.5</v>
      </c>
      <c r="Y18" s="6" t="s">
        <v>188</v>
      </c>
      <c r="Z18" s="11" t="s">
        <v>189</v>
      </c>
      <c r="AA18" s="11"/>
      <c r="AB18" s="7"/>
    </row>
    <row r="19" ht="15.75" customHeight="1">
      <c r="A19" s="6" t="s">
        <v>190</v>
      </c>
      <c r="B19" s="6">
        <v>12888.0</v>
      </c>
      <c r="C19" s="7" t="s">
        <v>45</v>
      </c>
      <c r="D19" s="7" t="s">
        <v>31</v>
      </c>
      <c r="E19" s="6" t="s">
        <v>191</v>
      </c>
      <c r="F19" s="6" t="s">
        <v>192</v>
      </c>
      <c r="G19" s="8" t="s">
        <v>191</v>
      </c>
      <c r="H19" s="8" t="s">
        <v>191</v>
      </c>
      <c r="I19" s="6" t="s">
        <v>193</v>
      </c>
      <c r="J19" s="6" t="s">
        <v>194</v>
      </c>
      <c r="K19" s="7" t="s">
        <v>195</v>
      </c>
      <c r="L19" s="7" t="s">
        <v>196</v>
      </c>
      <c r="M19" s="6"/>
      <c r="N19" s="7" t="s">
        <v>35</v>
      </c>
      <c r="O19" s="7" t="s">
        <v>36</v>
      </c>
      <c r="P19" s="10">
        <v>49.0</v>
      </c>
      <c r="Q19" s="10">
        <v>2.09</v>
      </c>
      <c r="R19" s="9">
        <v>308.28</v>
      </c>
      <c r="S19" s="11">
        <v>0.35446</v>
      </c>
      <c r="T19" s="12" t="s">
        <v>37</v>
      </c>
      <c r="U19" s="7" t="s">
        <v>52</v>
      </c>
      <c r="V19" s="6" t="s">
        <v>106</v>
      </c>
      <c r="W19" s="7"/>
      <c r="X19" s="7">
        <f>(4525+4305)/2</f>
        <v>4415</v>
      </c>
      <c r="Y19" s="6" t="s">
        <v>197</v>
      </c>
      <c r="Z19" s="11"/>
      <c r="AA19" s="11"/>
      <c r="AB19" s="7"/>
    </row>
    <row r="20" ht="15.75" customHeight="1">
      <c r="A20" s="6" t="s">
        <v>198</v>
      </c>
      <c r="B20" s="6" t="s">
        <v>199</v>
      </c>
      <c r="C20" s="7" t="s">
        <v>139</v>
      </c>
      <c r="D20" s="7" t="s">
        <v>31</v>
      </c>
      <c r="E20" s="6" t="s">
        <v>140</v>
      </c>
      <c r="F20" s="6" t="s">
        <v>200</v>
      </c>
      <c r="G20" s="8">
        <v>37.5934202669809</v>
      </c>
      <c r="H20" s="8">
        <v>13.8526139597698</v>
      </c>
      <c r="I20" s="6" t="s">
        <v>201</v>
      </c>
      <c r="J20" s="6" t="s">
        <v>202</v>
      </c>
      <c r="K20" s="7" t="s">
        <v>203</v>
      </c>
      <c r="L20" s="7" t="s">
        <v>204</v>
      </c>
      <c r="M20" s="6" t="s">
        <v>66</v>
      </c>
      <c r="N20" s="7" t="s">
        <v>35</v>
      </c>
      <c r="O20" s="7" t="s">
        <v>36</v>
      </c>
      <c r="P20" s="9">
        <v>44.95151280692572</v>
      </c>
      <c r="Q20" s="10">
        <v>1.97</v>
      </c>
      <c r="R20" s="9">
        <v>486.4895</v>
      </c>
      <c r="S20" s="11">
        <v>0.49456</v>
      </c>
      <c r="T20" s="12" t="s">
        <v>37</v>
      </c>
      <c r="U20" s="7" t="s">
        <v>52</v>
      </c>
      <c r="V20" s="6" t="s">
        <v>39</v>
      </c>
      <c r="W20" s="7"/>
      <c r="X20" s="14">
        <f>(9542+9429)/2</f>
        <v>9485.5</v>
      </c>
      <c r="Y20" s="6" t="s">
        <v>205</v>
      </c>
      <c r="Z20" s="11" t="s">
        <v>140</v>
      </c>
      <c r="AA20" s="11"/>
      <c r="AB20" s="11" t="s">
        <v>43</v>
      </c>
    </row>
    <row r="21" ht="15.75" customHeight="1">
      <c r="A21" s="6" t="s">
        <v>206</v>
      </c>
      <c r="B21" s="6" t="s">
        <v>207</v>
      </c>
      <c r="C21" s="7" t="s">
        <v>150</v>
      </c>
      <c r="D21" s="7" t="s">
        <v>31</v>
      </c>
      <c r="E21" s="6" t="s">
        <v>69</v>
      </c>
      <c r="F21" s="6" t="s">
        <v>151</v>
      </c>
      <c r="G21" s="8">
        <v>53.8012560972502</v>
      </c>
      <c r="H21" s="8">
        <v>86.1090272392484</v>
      </c>
      <c r="I21" s="6" t="s">
        <v>208</v>
      </c>
      <c r="J21" s="6" t="s">
        <v>209</v>
      </c>
      <c r="K21" s="7" t="s">
        <v>210</v>
      </c>
      <c r="L21" s="7" t="s">
        <v>211</v>
      </c>
      <c r="M21" s="6" t="s">
        <v>156</v>
      </c>
      <c r="N21" s="7" t="s">
        <v>35</v>
      </c>
      <c r="O21" s="7" t="s">
        <v>36</v>
      </c>
      <c r="P21" s="17">
        <v>56.21</v>
      </c>
      <c r="Q21" s="10">
        <v>1.94</v>
      </c>
      <c r="R21" s="9">
        <v>185.32</v>
      </c>
      <c r="S21" s="11">
        <v>0.27973</v>
      </c>
      <c r="T21" s="12" t="s">
        <v>157</v>
      </c>
      <c r="U21" s="7" t="s">
        <v>38</v>
      </c>
      <c r="V21" s="6" t="s">
        <v>106</v>
      </c>
      <c r="W21" s="7"/>
      <c r="X21" s="14">
        <f>(4086+3893)/2</f>
        <v>3989.5</v>
      </c>
      <c r="Y21" s="6" t="s">
        <v>158</v>
      </c>
      <c r="Z21" s="11"/>
      <c r="AA21" s="11"/>
      <c r="AB21" s="7"/>
    </row>
    <row r="22" ht="15.75" customHeight="1">
      <c r="A22" s="6" t="s">
        <v>212</v>
      </c>
      <c r="B22" s="6">
        <v>21998.0</v>
      </c>
      <c r="C22" s="7" t="s">
        <v>45</v>
      </c>
      <c r="D22" s="7" t="s">
        <v>31</v>
      </c>
      <c r="E22" s="6" t="s">
        <v>191</v>
      </c>
      <c r="F22" s="6" t="s">
        <v>192</v>
      </c>
      <c r="G22" s="8" t="s">
        <v>191</v>
      </c>
      <c r="H22" s="8" t="s">
        <v>191</v>
      </c>
      <c r="I22" s="6" t="s">
        <v>213</v>
      </c>
      <c r="J22" s="6" t="s">
        <v>214</v>
      </c>
      <c r="K22" s="7" t="s">
        <v>215</v>
      </c>
      <c r="L22" s="7" t="s">
        <v>216</v>
      </c>
      <c r="M22" s="6"/>
      <c r="N22" s="7" t="s">
        <v>35</v>
      </c>
      <c r="O22" s="7" t="s">
        <v>36</v>
      </c>
      <c r="P22" s="10">
        <v>45.0</v>
      </c>
      <c r="Q22" s="10">
        <v>1.79</v>
      </c>
      <c r="R22" s="9">
        <v>1406.86</v>
      </c>
      <c r="S22" s="11">
        <v>0.2676</v>
      </c>
      <c r="T22" s="12" t="s">
        <v>37</v>
      </c>
      <c r="U22" s="7" t="s">
        <v>52</v>
      </c>
      <c r="V22" s="6" t="s">
        <v>106</v>
      </c>
      <c r="W22" s="7"/>
      <c r="X22" s="7">
        <f>(4068+3840)/2</f>
        <v>3954</v>
      </c>
      <c r="Y22" s="6" t="s">
        <v>197</v>
      </c>
      <c r="Z22" s="11"/>
      <c r="AA22" s="11"/>
      <c r="AB22" s="7"/>
    </row>
    <row r="23" ht="15.75" customHeight="1">
      <c r="A23" s="6" t="s">
        <v>217</v>
      </c>
      <c r="B23" s="6" t="s">
        <v>218</v>
      </c>
      <c r="C23" s="7" t="s">
        <v>219</v>
      </c>
      <c r="D23" s="7" t="s">
        <v>220</v>
      </c>
      <c r="E23" s="6" t="s">
        <v>221</v>
      </c>
      <c r="F23" s="6" t="s">
        <v>222</v>
      </c>
      <c r="G23" s="8">
        <v>52.040164667297</v>
      </c>
      <c r="H23" s="8">
        <v>77.7272383993485</v>
      </c>
      <c r="I23" s="6" t="s">
        <v>223</v>
      </c>
      <c r="J23" s="6" t="s">
        <v>224</v>
      </c>
      <c r="K23" s="7" t="s">
        <v>225</v>
      </c>
      <c r="L23" s="7" t="s">
        <v>226</v>
      </c>
      <c r="M23" s="6" t="s">
        <v>227</v>
      </c>
      <c r="N23" s="7" t="s">
        <v>35</v>
      </c>
      <c r="O23" s="7" t="s">
        <v>36</v>
      </c>
      <c r="P23" s="9">
        <v>8.815276997306567</v>
      </c>
      <c r="Q23" s="6">
        <v>1.7</v>
      </c>
      <c r="R23" s="9">
        <v>931.3</v>
      </c>
      <c r="S23" s="11">
        <v>0.32274</v>
      </c>
      <c r="T23" s="12" t="s">
        <v>37</v>
      </c>
      <c r="U23" s="7" t="s">
        <v>52</v>
      </c>
      <c r="V23" s="6" t="s">
        <v>75</v>
      </c>
      <c r="W23" s="7"/>
      <c r="X23" s="7">
        <f>(5025+4839)/2</f>
        <v>4932</v>
      </c>
      <c r="Y23" s="6" t="s">
        <v>228</v>
      </c>
      <c r="Z23" s="11"/>
      <c r="AA23" s="11"/>
      <c r="AB23" s="7"/>
    </row>
    <row r="24" ht="15.75" customHeight="1">
      <c r="A24" s="6" t="s">
        <v>229</v>
      </c>
      <c r="B24" s="6" t="s">
        <v>230</v>
      </c>
      <c r="C24" s="7" t="s">
        <v>125</v>
      </c>
      <c r="D24" s="7" t="s">
        <v>31</v>
      </c>
      <c r="E24" s="6" t="s">
        <v>126</v>
      </c>
      <c r="F24" s="6" t="s">
        <v>127</v>
      </c>
      <c r="G24" s="8">
        <v>51.6188100745602</v>
      </c>
      <c r="H24" s="8">
        <v>9.66938943552029</v>
      </c>
      <c r="I24" s="6" t="s">
        <v>231</v>
      </c>
      <c r="J24" s="6" t="s">
        <v>232</v>
      </c>
      <c r="K24" s="7"/>
      <c r="L24" s="7"/>
      <c r="M24" s="6"/>
      <c r="N24" s="7" t="s">
        <v>35</v>
      </c>
      <c r="O24" s="7" t="s">
        <v>36</v>
      </c>
      <c r="P24" s="9">
        <v>45.94700397245593</v>
      </c>
      <c r="Q24" s="10">
        <v>1.52</v>
      </c>
      <c r="R24" s="9">
        <v>1222.79</v>
      </c>
      <c r="S24" s="11">
        <v>0.52739</v>
      </c>
      <c r="T24" s="12" t="s">
        <v>37</v>
      </c>
      <c r="U24" s="7" t="s">
        <v>52</v>
      </c>
      <c r="V24" s="6" t="s">
        <v>187</v>
      </c>
      <c r="W24" s="7" t="s">
        <v>233</v>
      </c>
      <c r="X24" s="7">
        <v>51080.0</v>
      </c>
      <c r="Y24" s="6" t="s">
        <v>188</v>
      </c>
      <c r="Z24" s="11" t="s">
        <v>189</v>
      </c>
      <c r="AA24" s="11"/>
      <c r="AB24" s="7"/>
    </row>
    <row r="25" ht="15.75" customHeight="1">
      <c r="A25" s="6" t="s">
        <v>234</v>
      </c>
      <c r="B25" s="6" t="s">
        <v>235</v>
      </c>
      <c r="C25" s="7" t="s">
        <v>80</v>
      </c>
      <c r="D25" s="7" t="s">
        <v>31</v>
      </c>
      <c r="E25" s="6" t="s">
        <v>81</v>
      </c>
      <c r="F25" s="6" t="s">
        <v>82</v>
      </c>
      <c r="G25" s="8">
        <v>42.9726491502666</v>
      </c>
      <c r="H25" s="8">
        <v>24.118494664326</v>
      </c>
      <c r="I25" s="6"/>
      <c r="J25" s="6"/>
      <c r="K25" s="7"/>
      <c r="L25" s="7"/>
      <c r="M25" s="6" t="s">
        <v>34</v>
      </c>
      <c r="N25" s="7" t="s">
        <v>35</v>
      </c>
      <c r="O25" s="7" t="s">
        <v>36</v>
      </c>
      <c r="P25" s="9">
        <v>49.32596434939309</v>
      </c>
      <c r="Q25" s="10">
        <v>0.93</v>
      </c>
      <c r="R25" s="9">
        <v>86.998</v>
      </c>
      <c r="S25" s="11">
        <v>0.39205</v>
      </c>
      <c r="T25" s="12" t="s">
        <v>37</v>
      </c>
      <c r="U25" s="7" t="s">
        <v>52</v>
      </c>
      <c r="V25" s="6" t="s">
        <v>39</v>
      </c>
      <c r="W25" s="7" t="s">
        <v>236</v>
      </c>
      <c r="X25" s="6">
        <v>6130.0</v>
      </c>
      <c r="Y25" s="6" t="s">
        <v>87</v>
      </c>
      <c r="Z25" s="11"/>
      <c r="AA25" s="11"/>
      <c r="AB25" s="19"/>
    </row>
    <row r="26" ht="15.75" customHeight="1">
      <c r="A26" s="6" t="s">
        <v>237</v>
      </c>
      <c r="B26" s="6" t="s">
        <v>238</v>
      </c>
      <c r="C26" s="7" t="s">
        <v>239</v>
      </c>
      <c r="D26" s="7" t="s">
        <v>31</v>
      </c>
      <c r="E26" s="6" t="s">
        <v>240</v>
      </c>
      <c r="F26" s="6" t="s">
        <v>241</v>
      </c>
      <c r="G26" s="8">
        <v>57.2407065497517</v>
      </c>
      <c r="H26" s="8">
        <v>9.8686973853874</v>
      </c>
      <c r="I26" s="6" t="s">
        <v>242</v>
      </c>
      <c r="J26" s="6" t="s">
        <v>243</v>
      </c>
      <c r="K26" s="7" t="s">
        <v>244</v>
      </c>
      <c r="L26" s="7" t="s">
        <v>245</v>
      </c>
      <c r="M26" s="6"/>
      <c r="N26" s="7" t="s">
        <v>35</v>
      </c>
      <c r="O26" s="7" t="s">
        <v>36</v>
      </c>
      <c r="P26" s="9">
        <v>16.18295838576943</v>
      </c>
      <c r="Q26" s="10">
        <v>0.87</v>
      </c>
      <c r="R26" s="9">
        <v>354.5411</v>
      </c>
      <c r="S26" s="11">
        <v>0.41446</v>
      </c>
      <c r="T26" s="12" t="s">
        <v>37</v>
      </c>
      <c r="U26" s="7" t="s">
        <v>52</v>
      </c>
      <c r="V26" s="6" t="s">
        <v>39</v>
      </c>
      <c r="W26" s="7"/>
      <c r="X26" s="14">
        <f>(8173+7976)/2</f>
        <v>8074.5</v>
      </c>
      <c r="Y26" s="6" t="s">
        <v>246</v>
      </c>
      <c r="Z26" s="13" t="s">
        <v>42</v>
      </c>
      <c r="AA26" s="11"/>
      <c r="AB26" s="7"/>
    </row>
    <row r="27" ht="15.75" customHeight="1">
      <c r="A27" s="6" t="s">
        <v>247</v>
      </c>
      <c r="B27" s="6" t="s">
        <v>248</v>
      </c>
      <c r="C27" s="7" t="s">
        <v>150</v>
      </c>
      <c r="D27" s="7" t="s">
        <v>31</v>
      </c>
      <c r="E27" s="6" t="s">
        <v>69</v>
      </c>
      <c r="F27" s="6" t="s">
        <v>161</v>
      </c>
      <c r="G27" s="8">
        <v>53.4166910194178</v>
      </c>
      <c r="H27" s="8">
        <v>80.4840275147169</v>
      </c>
      <c r="I27" s="15" t="s">
        <v>249</v>
      </c>
      <c r="J27" s="15" t="s">
        <v>250</v>
      </c>
      <c r="K27" s="7" t="s">
        <v>251</v>
      </c>
      <c r="L27" s="7" t="s">
        <v>252</v>
      </c>
      <c r="M27" s="6" t="s">
        <v>156</v>
      </c>
      <c r="N27" s="7" t="s">
        <v>35</v>
      </c>
      <c r="O27" s="7" t="s">
        <v>36</v>
      </c>
      <c r="P27" s="17">
        <v>61.6909726407</v>
      </c>
      <c r="Q27" s="10">
        <v>0.71</v>
      </c>
      <c r="R27" s="9">
        <v>111.76</v>
      </c>
      <c r="S27" s="11">
        <v>0.34667</v>
      </c>
      <c r="T27" s="12" t="s">
        <v>157</v>
      </c>
      <c r="U27" s="7" t="s">
        <v>38</v>
      </c>
      <c r="V27" s="6" t="s">
        <v>106</v>
      </c>
      <c r="W27" s="7"/>
      <c r="X27" s="14">
        <f>(3982+3831)/2</f>
        <v>3906.5</v>
      </c>
      <c r="Y27" s="6" t="s">
        <v>158</v>
      </c>
      <c r="Z27" s="11"/>
      <c r="AA27" s="11"/>
      <c r="AB27" s="7"/>
    </row>
    <row r="28" ht="15.75" customHeight="1">
      <c r="A28" s="6" t="s">
        <v>253</v>
      </c>
      <c r="B28" s="6" t="s">
        <v>254</v>
      </c>
      <c r="C28" s="7" t="s">
        <v>255</v>
      </c>
      <c r="D28" s="7" t="s">
        <v>31</v>
      </c>
      <c r="E28" s="6" t="s">
        <v>256</v>
      </c>
      <c r="F28" s="6" t="s">
        <v>257</v>
      </c>
      <c r="G28" s="8">
        <v>37.7</v>
      </c>
      <c r="H28" s="8">
        <v>66.8</v>
      </c>
      <c r="I28" s="6"/>
      <c r="J28" s="6"/>
      <c r="K28" s="7"/>
      <c r="L28" s="7"/>
      <c r="M28" s="6" t="s">
        <v>156</v>
      </c>
      <c r="N28" s="7" t="s">
        <v>35</v>
      </c>
      <c r="O28" s="7" t="s">
        <v>36</v>
      </c>
      <c r="P28" s="9">
        <v>34.63793122119026</v>
      </c>
      <c r="Q28" s="7">
        <v>0.61</v>
      </c>
      <c r="R28" s="9">
        <v>84.82</v>
      </c>
      <c r="S28" s="11">
        <v>0.38932</v>
      </c>
      <c r="T28" s="12" t="s">
        <v>258</v>
      </c>
      <c r="U28" s="7" t="s">
        <v>38</v>
      </c>
      <c r="V28" s="6" t="s">
        <v>106</v>
      </c>
      <c r="W28" s="7" t="s">
        <v>259</v>
      </c>
      <c r="X28" s="7">
        <v>3800.0</v>
      </c>
      <c r="Y28" s="6" t="s">
        <v>260</v>
      </c>
      <c r="Z28" s="11"/>
      <c r="AA28" s="11"/>
      <c r="AB28" s="7"/>
    </row>
    <row r="29" ht="15.75" customHeight="1">
      <c r="A29" s="6" t="s">
        <v>261</v>
      </c>
      <c r="B29" s="6" t="s">
        <v>262</v>
      </c>
      <c r="C29" s="7" t="s">
        <v>255</v>
      </c>
      <c r="D29" s="7" t="s">
        <v>31</v>
      </c>
      <c r="E29" s="6" t="s">
        <v>263</v>
      </c>
      <c r="F29" s="6" t="s">
        <v>264</v>
      </c>
      <c r="G29" s="8">
        <v>36.848528</v>
      </c>
      <c r="H29" s="8">
        <v>60.418056</v>
      </c>
      <c r="I29" s="6" t="s">
        <v>265</v>
      </c>
      <c r="J29" s="6" t="s">
        <v>266</v>
      </c>
      <c r="K29" s="7" t="s">
        <v>267</v>
      </c>
      <c r="L29" s="7" t="s">
        <v>268</v>
      </c>
      <c r="M29" s="6" t="s">
        <v>269</v>
      </c>
      <c r="N29" s="7" t="s">
        <v>35</v>
      </c>
      <c r="O29" s="7" t="s">
        <v>36</v>
      </c>
      <c r="P29" s="9">
        <v>10.89715515346803</v>
      </c>
      <c r="Q29" s="10">
        <v>0.49</v>
      </c>
      <c r="R29" s="9">
        <v>286.19</v>
      </c>
      <c r="S29" s="11">
        <v>0.49924</v>
      </c>
      <c r="T29" s="12" t="s">
        <v>157</v>
      </c>
      <c r="U29" s="7" t="s">
        <v>38</v>
      </c>
      <c r="V29" s="6" t="s">
        <v>270</v>
      </c>
      <c r="W29" s="7"/>
      <c r="X29" s="20">
        <f>(6442+6299)/2</f>
        <v>6370.5</v>
      </c>
      <c r="Y29" s="6" t="s">
        <v>271</v>
      </c>
      <c r="Z29" s="11"/>
      <c r="AA29" s="11"/>
      <c r="AB29" s="7"/>
    </row>
    <row r="30" ht="15.75" customHeight="1">
      <c r="A30" s="6" t="s">
        <v>272</v>
      </c>
      <c r="B30" s="6" t="s">
        <v>273</v>
      </c>
      <c r="C30" s="7" t="s">
        <v>58</v>
      </c>
      <c r="D30" s="7" t="s">
        <v>132</v>
      </c>
      <c r="E30" s="6" t="s">
        <v>60</v>
      </c>
      <c r="F30" s="6" t="s">
        <v>61</v>
      </c>
      <c r="G30" s="8">
        <v>43.0719383129431</v>
      </c>
      <c r="H30" s="8">
        <v>-8.66097028062168</v>
      </c>
      <c r="I30" s="6" t="s">
        <v>274</v>
      </c>
      <c r="J30" s="6" t="s">
        <v>275</v>
      </c>
      <c r="K30" s="7" t="s">
        <v>276</v>
      </c>
      <c r="L30" s="7" t="s">
        <v>277</v>
      </c>
      <c r="M30" s="6" t="s">
        <v>66</v>
      </c>
      <c r="N30" s="7" t="s">
        <v>35</v>
      </c>
      <c r="O30" s="7" t="s">
        <v>36</v>
      </c>
      <c r="P30" s="9">
        <v>21.102752779916443</v>
      </c>
      <c r="Q30" s="10">
        <v>0.46</v>
      </c>
      <c r="R30" s="9">
        <v>151.5248</v>
      </c>
      <c r="S30" s="11">
        <v>0.2902</v>
      </c>
      <c r="T30" s="12" t="s">
        <v>37</v>
      </c>
      <c r="U30" s="7" t="s">
        <v>52</v>
      </c>
      <c r="V30" s="6" t="s">
        <v>39</v>
      </c>
      <c r="W30" s="7"/>
      <c r="X30" s="14">
        <f>(9407+9026)/2</f>
        <v>9216.5</v>
      </c>
      <c r="Y30" s="6" t="s">
        <v>67</v>
      </c>
      <c r="Z30" s="13" t="s">
        <v>42</v>
      </c>
      <c r="AA30" s="11"/>
      <c r="AB30" s="7"/>
    </row>
    <row r="31" ht="15.75" customHeight="1">
      <c r="A31" s="16" t="s">
        <v>278</v>
      </c>
      <c r="B31" s="6" t="s">
        <v>279</v>
      </c>
      <c r="C31" s="7" t="s">
        <v>219</v>
      </c>
      <c r="D31" s="7" t="s">
        <v>220</v>
      </c>
      <c r="E31" s="6" t="s">
        <v>221</v>
      </c>
      <c r="F31" s="6" t="s">
        <v>280</v>
      </c>
      <c r="G31" s="8">
        <v>51.7205224398256</v>
      </c>
      <c r="H31" s="8">
        <v>74.6440863754894</v>
      </c>
      <c r="I31" s="6" t="s">
        <v>281</v>
      </c>
      <c r="J31" s="6" t="s">
        <v>282</v>
      </c>
      <c r="K31" s="7" t="s">
        <v>283</v>
      </c>
      <c r="L31" s="15" t="s">
        <v>284</v>
      </c>
      <c r="M31" s="6" t="s">
        <v>285</v>
      </c>
      <c r="N31" s="7" t="s">
        <v>35</v>
      </c>
      <c r="O31" s="7" t="s">
        <v>36</v>
      </c>
      <c r="P31" s="9">
        <v>28.327723303575787</v>
      </c>
      <c r="Q31" s="10">
        <v>0.46</v>
      </c>
      <c r="R31" s="9">
        <v>100.23</v>
      </c>
      <c r="S31" s="11">
        <v>0.33693</v>
      </c>
      <c r="T31" s="12" t="s">
        <v>157</v>
      </c>
      <c r="U31" s="7" t="s">
        <v>38</v>
      </c>
      <c r="V31" s="6" t="s">
        <v>106</v>
      </c>
      <c r="W31" s="7"/>
      <c r="X31" s="20">
        <f>(3909+3698)/2</f>
        <v>3803.5</v>
      </c>
      <c r="Y31" s="6" t="s">
        <v>158</v>
      </c>
      <c r="Z31" s="11"/>
      <c r="AA31" s="11"/>
      <c r="AB31" s="7"/>
    </row>
    <row r="32" ht="15.75" customHeight="1">
      <c r="A32" s="6" t="s">
        <v>286</v>
      </c>
      <c r="B32" s="6" t="s">
        <v>287</v>
      </c>
      <c r="C32" s="7" t="s">
        <v>255</v>
      </c>
      <c r="D32" s="7" t="s">
        <v>31</v>
      </c>
      <c r="E32" s="6" t="s">
        <v>263</v>
      </c>
      <c r="F32" s="6" t="s">
        <v>264</v>
      </c>
      <c r="G32" s="8">
        <v>36.848528</v>
      </c>
      <c r="H32" s="8">
        <v>60.418056</v>
      </c>
      <c r="I32" s="6"/>
      <c r="J32" s="6"/>
      <c r="K32" s="7"/>
      <c r="L32" s="7"/>
      <c r="M32" s="6" t="s">
        <v>269</v>
      </c>
      <c r="N32" s="7" t="s">
        <v>35</v>
      </c>
      <c r="O32" s="7" t="s">
        <v>36</v>
      </c>
      <c r="P32" s="9">
        <v>18.199024649546352</v>
      </c>
      <c r="Q32" s="10">
        <v>0.44</v>
      </c>
      <c r="R32" s="9">
        <v>114.7</v>
      </c>
      <c r="S32" s="11">
        <v>0.51299</v>
      </c>
      <c r="T32" s="12" t="s">
        <v>157</v>
      </c>
      <c r="U32" s="7" t="s">
        <v>38</v>
      </c>
      <c r="V32" s="6" t="s">
        <v>106</v>
      </c>
      <c r="W32" s="7" t="s">
        <v>288</v>
      </c>
      <c r="X32" s="7">
        <v>6804.0</v>
      </c>
      <c r="Y32" s="6" t="s">
        <v>271</v>
      </c>
      <c r="Z32" s="11"/>
      <c r="AA32" s="11"/>
      <c r="AB32" s="7"/>
    </row>
    <row r="33" ht="15.75" customHeight="1">
      <c r="A33" s="6" t="s">
        <v>289</v>
      </c>
      <c r="B33" s="6" t="s">
        <v>290</v>
      </c>
      <c r="C33" s="7" t="s">
        <v>291</v>
      </c>
      <c r="D33" s="7" t="s">
        <v>31</v>
      </c>
      <c r="E33" s="6" t="s">
        <v>292</v>
      </c>
      <c r="F33" s="6" t="s">
        <v>293</v>
      </c>
      <c r="G33" s="8">
        <v>55.8476269883224</v>
      </c>
      <c r="H33" s="8">
        <v>13.8093770947441</v>
      </c>
      <c r="I33" s="6" t="s">
        <v>294</v>
      </c>
      <c r="J33" s="6" t="s">
        <v>295</v>
      </c>
      <c r="K33" s="7" t="s">
        <v>296</v>
      </c>
      <c r="L33" s="7" t="s">
        <v>297</v>
      </c>
      <c r="M33" s="6" t="s">
        <v>66</v>
      </c>
      <c r="N33" s="7" t="s">
        <v>35</v>
      </c>
      <c r="O33" s="7" t="s">
        <v>36</v>
      </c>
      <c r="P33" s="9">
        <v>34.02643464892219</v>
      </c>
      <c r="Q33" s="10">
        <v>0.38</v>
      </c>
      <c r="R33" s="9">
        <v>1105.77</v>
      </c>
      <c r="S33" s="11">
        <v>0.29753</v>
      </c>
      <c r="T33" s="12" t="s">
        <v>37</v>
      </c>
      <c r="U33" s="7" t="s">
        <v>52</v>
      </c>
      <c r="V33" s="6" t="s">
        <v>39</v>
      </c>
      <c r="W33" s="7"/>
      <c r="X33" s="14">
        <f>(9657+9434)/2</f>
        <v>9545.5</v>
      </c>
      <c r="Y33" s="6" t="s">
        <v>246</v>
      </c>
      <c r="Z33" s="13" t="s">
        <v>42</v>
      </c>
      <c r="AA33" s="11"/>
      <c r="AB33" s="7"/>
    </row>
    <row r="34" ht="15.75" customHeight="1">
      <c r="A34" s="6" t="s">
        <v>298</v>
      </c>
      <c r="B34" s="6" t="s">
        <v>299</v>
      </c>
      <c r="C34" s="7" t="s">
        <v>291</v>
      </c>
      <c r="D34" s="7" t="s">
        <v>31</v>
      </c>
      <c r="E34" s="6" t="s">
        <v>292</v>
      </c>
      <c r="F34" s="6" t="s">
        <v>300</v>
      </c>
      <c r="G34" s="8">
        <v>55.6219</v>
      </c>
      <c r="H34" s="8">
        <v>13.2297</v>
      </c>
      <c r="I34" s="7" t="s">
        <v>301</v>
      </c>
      <c r="J34" s="6" t="s">
        <v>302</v>
      </c>
      <c r="K34" s="7" t="s">
        <v>303</v>
      </c>
      <c r="L34" s="7" t="s">
        <v>304</v>
      </c>
      <c r="M34" s="6" t="s">
        <v>66</v>
      </c>
      <c r="N34" s="7" t="s">
        <v>35</v>
      </c>
      <c r="O34" s="7" t="s">
        <v>36</v>
      </c>
      <c r="P34" s="9">
        <v>30.23462029153358</v>
      </c>
      <c r="Q34" s="10">
        <v>0.37</v>
      </c>
      <c r="R34" s="9">
        <v>588.17</v>
      </c>
      <c r="S34" s="11">
        <v>0.3775</v>
      </c>
      <c r="T34" s="12" t="s">
        <v>37</v>
      </c>
      <c r="U34" s="7" t="s">
        <v>52</v>
      </c>
      <c r="V34" s="6" t="s">
        <v>39</v>
      </c>
      <c r="W34" s="7"/>
      <c r="X34" s="14">
        <f>(9536+9133)/2</f>
        <v>9334.5</v>
      </c>
      <c r="Y34" s="6" t="s">
        <v>246</v>
      </c>
      <c r="Z34" s="13" t="s">
        <v>42</v>
      </c>
      <c r="AA34" s="11"/>
      <c r="AB34" s="7"/>
    </row>
    <row r="35" ht="15.75" customHeight="1">
      <c r="A35" s="6" t="s">
        <v>305</v>
      </c>
      <c r="B35" s="6" t="s">
        <v>306</v>
      </c>
      <c r="C35" s="7" t="s">
        <v>219</v>
      </c>
      <c r="D35" s="7" t="s">
        <v>220</v>
      </c>
      <c r="E35" s="6" t="s">
        <v>221</v>
      </c>
      <c r="F35" s="6" t="s">
        <v>307</v>
      </c>
      <c r="G35" s="8">
        <v>52.4169612479559</v>
      </c>
      <c r="H35" s="8">
        <v>70.5154622297201</v>
      </c>
      <c r="I35" s="6" t="s">
        <v>308</v>
      </c>
      <c r="J35" s="6" t="s">
        <v>309</v>
      </c>
      <c r="K35" s="7" t="s">
        <v>310</v>
      </c>
      <c r="L35" s="7" t="s">
        <v>311</v>
      </c>
      <c r="M35" s="6" t="s">
        <v>312</v>
      </c>
      <c r="N35" s="7" t="s">
        <v>35</v>
      </c>
      <c r="O35" s="7" t="s">
        <v>36</v>
      </c>
      <c r="P35" s="9">
        <v>9.960328256784374</v>
      </c>
      <c r="Q35" s="6">
        <v>0.29</v>
      </c>
      <c r="R35" s="9">
        <v>221.1</v>
      </c>
      <c r="S35" s="11">
        <v>0.3781</v>
      </c>
      <c r="T35" s="12" t="s">
        <v>37</v>
      </c>
      <c r="U35" s="7" t="s">
        <v>52</v>
      </c>
      <c r="V35" s="6" t="s">
        <v>53</v>
      </c>
      <c r="W35" s="7"/>
      <c r="X35" s="14">
        <f>(6666+6447)/2</f>
        <v>6556.5</v>
      </c>
      <c r="Y35" s="6" t="s">
        <v>228</v>
      </c>
      <c r="Z35" s="11"/>
      <c r="AA35" s="11"/>
      <c r="AB35" s="7"/>
    </row>
    <row r="36" ht="15.75" customHeight="1">
      <c r="A36" s="6" t="s">
        <v>313</v>
      </c>
      <c r="B36" s="6" t="s">
        <v>314</v>
      </c>
      <c r="C36" s="7" t="s">
        <v>315</v>
      </c>
      <c r="D36" s="7" t="s">
        <v>31</v>
      </c>
      <c r="E36" s="6" t="s">
        <v>240</v>
      </c>
      <c r="F36" s="6" t="s">
        <v>316</v>
      </c>
      <c r="G36" s="8">
        <v>55.3584015935903</v>
      </c>
      <c r="H36" s="8">
        <v>11.3931303537925</v>
      </c>
      <c r="I36" s="6"/>
      <c r="J36" s="6"/>
      <c r="K36" s="7"/>
      <c r="L36" s="7"/>
      <c r="M36" s="6" t="s">
        <v>66</v>
      </c>
      <c r="N36" s="7" t="s">
        <v>35</v>
      </c>
      <c r="O36" s="7" t="s">
        <v>36</v>
      </c>
      <c r="P36" s="9">
        <v>6.111419423692636</v>
      </c>
      <c r="Q36" s="10">
        <v>0.2</v>
      </c>
      <c r="R36" s="9">
        <v>66.29</v>
      </c>
      <c r="S36" s="11">
        <v>0.45137</v>
      </c>
      <c r="T36" s="12" t="s">
        <v>37</v>
      </c>
      <c r="U36" s="7" t="s">
        <v>38</v>
      </c>
      <c r="V36" s="6" t="s">
        <v>39</v>
      </c>
      <c r="W36" s="7" t="s">
        <v>317</v>
      </c>
      <c r="X36" s="7">
        <v>7302.0</v>
      </c>
      <c r="Y36" s="6" t="s">
        <v>246</v>
      </c>
      <c r="Z36" s="13" t="s">
        <v>42</v>
      </c>
      <c r="AA36" s="11"/>
      <c r="AB36" s="7"/>
    </row>
    <row r="37" ht="15.75" customHeight="1">
      <c r="A37" s="6" t="s">
        <v>318</v>
      </c>
      <c r="B37" s="6" t="s">
        <v>218</v>
      </c>
      <c r="C37" s="7" t="s">
        <v>219</v>
      </c>
      <c r="D37" s="7" t="s">
        <v>220</v>
      </c>
      <c r="E37" s="6" t="s">
        <v>221</v>
      </c>
      <c r="F37" s="6" t="s">
        <v>222</v>
      </c>
      <c r="G37" s="8">
        <v>52.040164667297</v>
      </c>
      <c r="H37" s="8">
        <v>77.7272383993485</v>
      </c>
      <c r="I37" s="6" t="s">
        <v>319</v>
      </c>
      <c r="J37" s="6" t="s">
        <v>320</v>
      </c>
      <c r="K37" s="7" t="s">
        <v>321</v>
      </c>
      <c r="L37" s="7" t="s">
        <v>322</v>
      </c>
      <c r="M37" s="6" t="s">
        <v>227</v>
      </c>
      <c r="N37" s="7" t="s">
        <v>35</v>
      </c>
      <c r="O37" s="7" t="s">
        <v>36</v>
      </c>
      <c r="P37" s="9">
        <v>11.095125028615236</v>
      </c>
      <c r="Q37" s="6">
        <v>0.19</v>
      </c>
      <c r="R37" s="9">
        <v>80.36</v>
      </c>
      <c r="S37" s="11">
        <v>0.37684</v>
      </c>
      <c r="T37" s="12" t="s">
        <v>37</v>
      </c>
      <c r="U37" s="7" t="s">
        <v>38</v>
      </c>
      <c r="V37" s="6" t="s">
        <v>39</v>
      </c>
      <c r="W37" s="7"/>
      <c r="X37" s="7">
        <f>(5041+4851)/2</f>
        <v>4946</v>
      </c>
      <c r="Y37" s="6" t="s">
        <v>228</v>
      </c>
      <c r="Z37" s="11"/>
      <c r="AA37" s="11"/>
      <c r="AB37" s="7"/>
    </row>
    <row r="38" ht="15.75" customHeight="1">
      <c r="A38" s="6" t="s">
        <v>323</v>
      </c>
      <c r="B38" s="6" t="s">
        <v>324</v>
      </c>
      <c r="C38" s="7" t="s">
        <v>325</v>
      </c>
      <c r="D38" s="7" t="s">
        <v>31</v>
      </c>
      <c r="E38" s="6" t="s">
        <v>140</v>
      </c>
      <c r="F38" s="6" t="s">
        <v>326</v>
      </c>
      <c r="G38" s="8">
        <v>45.1581560673906</v>
      </c>
      <c r="H38" s="8">
        <v>10.793506163037</v>
      </c>
      <c r="I38" s="6" t="s">
        <v>327</v>
      </c>
      <c r="J38" s="6" t="s">
        <v>328</v>
      </c>
      <c r="K38" s="7" t="s">
        <v>329</v>
      </c>
      <c r="L38" s="7" t="s">
        <v>330</v>
      </c>
      <c r="M38" s="6"/>
      <c r="N38" s="7" t="s">
        <v>35</v>
      </c>
      <c r="O38" s="7" t="s">
        <v>36</v>
      </c>
      <c r="P38" s="9">
        <v>10.678686577003766</v>
      </c>
      <c r="Q38" s="10">
        <v>0.17</v>
      </c>
      <c r="R38" s="9">
        <v>69.2555</v>
      </c>
      <c r="S38" s="11">
        <v>0.56363</v>
      </c>
      <c r="T38" s="12" t="s">
        <v>37</v>
      </c>
      <c r="U38" s="7" t="s">
        <v>52</v>
      </c>
      <c r="V38" s="6" t="s">
        <v>39</v>
      </c>
      <c r="W38" s="7"/>
      <c r="X38" s="14">
        <f>(13172+12931)/2</f>
        <v>13051.5</v>
      </c>
      <c r="Y38" s="6" t="s">
        <v>147</v>
      </c>
      <c r="Z38" s="11" t="s">
        <v>140</v>
      </c>
      <c r="AA38" s="11"/>
      <c r="AB38" s="7"/>
    </row>
    <row r="39" ht="15.75" customHeight="1">
      <c r="A39" s="6" t="s">
        <v>331</v>
      </c>
      <c r="B39" s="6" t="s">
        <v>332</v>
      </c>
      <c r="C39" s="7" t="s">
        <v>333</v>
      </c>
      <c r="D39" s="7" t="s">
        <v>31</v>
      </c>
      <c r="E39" s="6" t="s">
        <v>140</v>
      </c>
      <c r="F39" s="6" t="s">
        <v>334</v>
      </c>
      <c r="G39" s="8">
        <v>45.406241207952</v>
      </c>
      <c r="H39" s="8">
        <v>11.8823169512564</v>
      </c>
      <c r="I39" s="6" t="s">
        <v>335</v>
      </c>
      <c r="J39" s="6" t="s">
        <v>336</v>
      </c>
      <c r="K39" s="7" t="s">
        <v>337</v>
      </c>
      <c r="L39" s="7" t="s">
        <v>338</v>
      </c>
      <c r="M39" s="6"/>
      <c r="N39" s="7" t="s">
        <v>35</v>
      </c>
      <c r="O39" s="7" t="s">
        <v>36</v>
      </c>
      <c r="P39" s="9">
        <v>17.897110278880277</v>
      </c>
      <c r="Q39" s="10">
        <v>0.16</v>
      </c>
      <c r="R39" s="9">
        <v>45.37</v>
      </c>
      <c r="S39" s="11">
        <v>0.49398</v>
      </c>
      <c r="T39" s="12" t="s">
        <v>37</v>
      </c>
      <c r="U39" s="7" t="s">
        <v>52</v>
      </c>
      <c r="V39" s="6" t="s">
        <v>39</v>
      </c>
      <c r="W39" s="7"/>
      <c r="X39" s="14">
        <f>(14216+13793)/2</f>
        <v>14004.5</v>
      </c>
      <c r="Y39" s="6" t="s">
        <v>147</v>
      </c>
      <c r="Z39" s="11" t="s">
        <v>140</v>
      </c>
      <c r="AA39" s="11"/>
      <c r="AB39" s="7"/>
    </row>
    <row r="40" ht="15.75" customHeight="1">
      <c r="A40" s="6" t="s">
        <v>339</v>
      </c>
      <c r="B40" s="6" t="s">
        <v>339</v>
      </c>
      <c r="C40" s="7" t="s">
        <v>340</v>
      </c>
      <c r="D40" s="7" t="s">
        <v>341</v>
      </c>
      <c r="E40" s="6" t="s">
        <v>221</v>
      </c>
      <c r="F40" s="6" t="s">
        <v>342</v>
      </c>
      <c r="G40" s="8">
        <v>54.1452769675404</v>
      </c>
      <c r="H40" s="8">
        <v>69.1937753660588</v>
      </c>
      <c r="I40" s="6" t="s">
        <v>343</v>
      </c>
      <c r="J40" s="6" t="s">
        <v>344</v>
      </c>
      <c r="K40" s="7" t="s">
        <v>345</v>
      </c>
      <c r="L40" s="7" t="s">
        <v>346</v>
      </c>
      <c r="M40" s="6" t="s">
        <v>227</v>
      </c>
      <c r="N40" s="7" t="s">
        <v>35</v>
      </c>
      <c r="O40" s="7" t="s">
        <v>36</v>
      </c>
      <c r="P40" s="9">
        <v>1.5724746549291544</v>
      </c>
      <c r="Q40" s="10">
        <v>0.09</v>
      </c>
      <c r="R40" s="9">
        <v>7.3441</v>
      </c>
      <c r="S40" s="11">
        <v>0.2453</v>
      </c>
      <c r="T40" s="12" t="s">
        <v>37</v>
      </c>
      <c r="U40" s="6" t="s">
        <v>38</v>
      </c>
      <c r="V40" s="6" t="s">
        <v>75</v>
      </c>
      <c r="W40" s="7"/>
      <c r="X40" s="7">
        <f>(5465+5307)/2</f>
        <v>5386</v>
      </c>
      <c r="Y40" s="6" t="s">
        <v>228</v>
      </c>
      <c r="Z40" s="11"/>
      <c r="AA40" s="11"/>
      <c r="AB40" s="7"/>
    </row>
    <row r="41" ht="15.75" customHeight="1">
      <c r="A41" s="6" t="s">
        <v>347</v>
      </c>
      <c r="B41" s="6" t="s">
        <v>348</v>
      </c>
      <c r="C41" s="7" t="s">
        <v>315</v>
      </c>
      <c r="D41" s="7" t="s">
        <v>31</v>
      </c>
      <c r="E41" s="6" t="s">
        <v>240</v>
      </c>
      <c r="F41" s="6" t="s">
        <v>316</v>
      </c>
      <c r="G41" s="8">
        <v>55.3584015935903</v>
      </c>
      <c r="H41" s="8">
        <v>11.3931303537925</v>
      </c>
      <c r="I41" s="6"/>
      <c r="J41" s="6"/>
      <c r="K41" s="7"/>
      <c r="L41" s="7"/>
      <c r="M41" s="6" t="s">
        <v>66</v>
      </c>
      <c r="N41" s="7" t="s">
        <v>35</v>
      </c>
      <c r="O41" s="7" t="s">
        <v>36</v>
      </c>
      <c r="P41" s="9">
        <v>4.07857971886687</v>
      </c>
      <c r="Q41" s="10">
        <v>0.06</v>
      </c>
      <c r="R41" s="9">
        <v>19.87</v>
      </c>
      <c r="S41" s="11">
        <v>0.40378</v>
      </c>
      <c r="T41" s="12" t="s">
        <v>37</v>
      </c>
      <c r="U41" s="7" t="s">
        <v>52</v>
      </c>
      <c r="V41" s="6" t="s">
        <v>39</v>
      </c>
      <c r="W41" s="7" t="s">
        <v>349</v>
      </c>
      <c r="X41" s="7">
        <v>7296.0</v>
      </c>
      <c r="Y41" s="6" t="s">
        <v>246</v>
      </c>
      <c r="Z41" s="13" t="s">
        <v>42</v>
      </c>
      <c r="AA41" s="11"/>
      <c r="AB41" s="7"/>
    </row>
    <row r="42" ht="15.75" customHeight="1">
      <c r="A42" s="6" t="s">
        <v>350</v>
      </c>
      <c r="B42" s="6" t="s">
        <v>351</v>
      </c>
      <c r="C42" s="7" t="s">
        <v>150</v>
      </c>
      <c r="D42" s="7" t="s">
        <v>31</v>
      </c>
      <c r="E42" s="6" t="s">
        <v>69</v>
      </c>
      <c r="F42" s="6" t="s">
        <v>352</v>
      </c>
      <c r="G42" s="8">
        <v>51.669</v>
      </c>
      <c r="H42" s="8">
        <v>81.911</v>
      </c>
      <c r="I42" s="6" t="s">
        <v>353</v>
      </c>
      <c r="J42" s="6" t="s">
        <v>354</v>
      </c>
      <c r="K42" s="7" t="s">
        <v>355</v>
      </c>
      <c r="L42" s="7" t="s">
        <v>356</v>
      </c>
      <c r="M42" s="6" t="s">
        <v>156</v>
      </c>
      <c r="N42" s="7" t="s">
        <v>35</v>
      </c>
      <c r="O42" s="7" t="s">
        <v>36</v>
      </c>
      <c r="P42" s="17">
        <v>3.08</v>
      </c>
      <c r="Q42" s="10">
        <v>0.06</v>
      </c>
      <c r="R42" s="9">
        <v>51.36</v>
      </c>
      <c r="S42" s="11">
        <v>0.3794</v>
      </c>
      <c r="T42" s="12" t="s">
        <v>37</v>
      </c>
      <c r="U42" s="7" t="s">
        <v>38</v>
      </c>
      <c r="V42" s="6" t="s">
        <v>75</v>
      </c>
      <c r="W42" s="7"/>
      <c r="X42" s="14">
        <f>(5300+5041)/2</f>
        <v>5170.5</v>
      </c>
      <c r="Y42" s="6" t="s">
        <v>228</v>
      </c>
      <c r="Z42" s="11"/>
      <c r="AA42" s="11"/>
      <c r="AB42" s="7"/>
    </row>
    <row r="43" ht="15.75" customHeight="1">
      <c r="A43" s="6" t="s">
        <v>357</v>
      </c>
      <c r="B43" s="6" t="s">
        <v>358</v>
      </c>
      <c r="C43" s="7" t="s">
        <v>90</v>
      </c>
      <c r="D43" s="6" t="s">
        <v>359</v>
      </c>
      <c r="E43" s="6" t="s">
        <v>221</v>
      </c>
      <c r="F43" s="6" t="s">
        <v>360</v>
      </c>
      <c r="G43" s="8">
        <v>51.2309114639256</v>
      </c>
      <c r="H43" s="8">
        <v>51.3777185929244</v>
      </c>
      <c r="I43" s="6"/>
      <c r="J43" s="6"/>
      <c r="K43" s="7"/>
      <c r="L43" s="7"/>
      <c r="M43" s="6"/>
      <c r="N43" s="7" t="s">
        <v>35</v>
      </c>
      <c r="O43" s="7" t="s">
        <v>36</v>
      </c>
      <c r="P43" s="9">
        <v>0.49</v>
      </c>
      <c r="Q43" s="10">
        <v>0.01</v>
      </c>
      <c r="R43" s="9">
        <v>5.209</v>
      </c>
      <c r="S43" s="11">
        <v>0.20092</v>
      </c>
      <c r="T43" s="12" t="s">
        <v>37</v>
      </c>
      <c r="U43" s="7" t="s">
        <v>52</v>
      </c>
      <c r="V43" s="6" t="s">
        <v>53</v>
      </c>
      <c r="W43" s="7"/>
      <c r="X43" s="7"/>
      <c r="Y43" s="6" t="s">
        <v>96</v>
      </c>
      <c r="Z43" s="11"/>
      <c r="AA43" s="11"/>
      <c r="AB43" s="7"/>
    </row>
    <row r="44" ht="15.75" customHeight="1">
      <c r="A44" s="6" t="s">
        <v>361</v>
      </c>
      <c r="B44" s="6" t="s">
        <v>362</v>
      </c>
      <c r="C44" s="7" t="s">
        <v>363</v>
      </c>
      <c r="D44" s="7" t="s">
        <v>31</v>
      </c>
      <c r="E44" s="6" t="s">
        <v>240</v>
      </c>
      <c r="F44" s="6" t="s">
        <v>364</v>
      </c>
      <c r="G44" s="8">
        <v>55.9346647197838</v>
      </c>
      <c r="H44" s="8">
        <v>12.3010578233008</v>
      </c>
      <c r="I44" s="6" t="s">
        <v>365</v>
      </c>
      <c r="J44" s="6" t="s">
        <v>366</v>
      </c>
      <c r="K44" s="7" t="s">
        <v>367</v>
      </c>
      <c r="L44" s="7" t="s">
        <v>368</v>
      </c>
      <c r="M44" s="6"/>
      <c r="N44" s="7" t="s">
        <v>35</v>
      </c>
      <c r="O44" s="7" t="s">
        <v>369</v>
      </c>
      <c r="P44" s="9">
        <v>0.575750493955682</v>
      </c>
      <c r="Q44" s="7">
        <v>0.0</v>
      </c>
      <c r="R44" s="9">
        <v>24.75</v>
      </c>
      <c r="S44" s="11" t="s">
        <v>370</v>
      </c>
      <c r="T44" s="12" t="s">
        <v>37</v>
      </c>
      <c r="U44" s="7" t="s">
        <v>52</v>
      </c>
      <c r="V44" s="6" t="s">
        <v>39</v>
      </c>
      <c r="W44" s="7"/>
      <c r="X44" s="14">
        <f>(10751+10422)/2</f>
        <v>10586.5</v>
      </c>
      <c r="Y44" s="6" t="s">
        <v>246</v>
      </c>
      <c r="Z44" s="11"/>
      <c r="AA44" s="11"/>
      <c r="AB44" s="7"/>
    </row>
    <row r="45" ht="15.75" customHeight="1">
      <c r="A45" s="6" t="s">
        <v>371</v>
      </c>
      <c r="B45" s="6" t="s">
        <v>372</v>
      </c>
      <c r="C45" s="7" t="s">
        <v>373</v>
      </c>
      <c r="D45" s="7" t="s">
        <v>31</v>
      </c>
      <c r="E45" s="6" t="s">
        <v>100</v>
      </c>
      <c r="F45" s="6" t="s">
        <v>374</v>
      </c>
      <c r="G45" s="8">
        <v>56.3504408721604</v>
      </c>
      <c r="H45" s="8">
        <v>-3.24089523045923</v>
      </c>
      <c r="I45" s="6" t="s">
        <v>375</v>
      </c>
      <c r="J45" s="6" t="s">
        <v>376</v>
      </c>
      <c r="K45" s="7" t="s">
        <v>377</v>
      </c>
      <c r="L45" s="7" t="s">
        <v>378</v>
      </c>
      <c r="M45" s="6"/>
      <c r="N45" s="7" t="s">
        <v>35</v>
      </c>
      <c r="O45" s="7" t="s">
        <v>369</v>
      </c>
      <c r="P45" s="9">
        <v>8.46</v>
      </c>
      <c r="Q45" s="7">
        <v>0.0</v>
      </c>
      <c r="R45" s="9">
        <v>52.3034</v>
      </c>
      <c r="S45" s="11" t="s">
        <v>370</v>
      </c>
      <c r="T45" s="12" t="s">
        <v>37</v>
      </c>
      <c r="U45" s="7" t="s">
        <v>52</v>
      </c>
      <c r="V45" s="6" t="s">
        <v>39</v>
      </c>
      <c r="W45" s="7"/>
      <c r="X45" s="14">
        <f>(10560+10203)/2</f>
        <v>10381.5</v>
      </c>
      <c r="Y45" s="6" t="s">
        <v>107</v>
      </c>
      <c r="Z45" s="11"/>
      <c r="AA45" s="11"/>
      <c r="AB45" s="7"/>
    </row>
    <row r="46" ht="15.75" customHeight="1">
      <c r="A46" s="6" t="s">
        <v>379</v>
      </c>
      <c r="B46" s="6" t="s">
        <v>379</v>
      </c>
      <c r="C46" s="7" t="s">
        <v>340</v>
      </c>
      <c r="D46" s="7" t="s">
        <v>341</v>
      </c>
      <c r="E46" s="6" t="s">
        <v>221</v>
      </c>
      <c r="F46" s="6" t="s">
        <v>342</v>
      </c>
      <c r="G46" s="8">
        <v>54.1452769675404</v>
      </c>
      <c r="H46" s="8">
        <v>69.1937753660588</v>
      </c>
      <c r="I46" s="6" t="s">
        <v>380</v>
      </c>
      <c r="J46" s="6" t="s">
        <v>381</v>
      </c>
      <c r="K46" s="7" t="s">
        <v>382</v>
      </c>
      <c r="L46" s="7" t="s">
        <v>383</v>
      </c>
      <c r="M46" s="6" t="s">
        <v>227</v>
      </c>
      <c r="N46" s="7" t="s">
        <v>35</v>
      </c>
      <c r="O46" s="7" t="s">
        <v>36</v>
      </c>
      <c r="P46" s="10">
        <v>0.21839299151456795</v>
      </c>
      <c r="Q46" s="10">
        <v>0.0</v>
      </c>
      <c r="R46" s="9">
        <v>3.68</v>
      </c>
      <c r="S46" s="11" t="s">
        <v>370</v>
      </c>
      <c r="T46" s="12" t="s">
        <v>37</v>
      </c>
      <c r="U46" s="6" t="s">
        <v>52</v>
      </c>
      <c r="V46" s="6" t="s">
        <v>75</v>
      </c>
      <c r="W46" s="7"/>
      <c r="X46" s="14">
        <f>(5465+5298)/2</f>
        <v>5381.5</v>
      </c>
      <c r="Y46" s="6" t="s">
        <v>228</v>
      </c>
      <c r="Z46" s="11"/>
      <c r="AA46" s="11"/>
      <c r="AB46" s="7"/>
    </row>
    <row r="47" ht="15.75" customHeight="1">
      <c r="A47" s="6" t="s">
        <v>384</v>
      </c>
      <c r="B47" s="6" t="s">
        <v>385</v>
      </c>
      <c r="C47" s="7" t="s">
        <v>150</v>
      </c>
      <c r="D47" s="7" t="s">
        <v>31</v>
      </c>
      <c r="E47" s="6" t="s">
        <v>69</v>
      </c>
      <c r="F47" s="6" t="s">
        <v>352</v>
      </c>
      <c r="G47" s="8">
        <v>51.669</v>
      </c>
      <c r="H47" s="8">
        <v>81.911</v>
      </c>
      <c r="I47" s="6" t="s">
        <v>386</v>
      </c>
      <c r="J47" s="6" t="s">
        <v>387</v>
      </c>
      <c r="K47" s="7" t="s">
        <v>388</v>
      </c>
      <c r="L47" s="7" t="s">
        <v>389</v>
      </c>
      <c r="M47" s="6" t="s">
        <v>156</v>
      </c>
      <c r="N47" s="7" t="s">
        <v>35</v>
      </c>
      <c r="O47" s="7" t="s">
        <v>36</v>
      </c>
      <c r="P47" s="17">
        <v>3.14</v>
      </c>
      <c r="Q47" s="10">
        <v>0.0</v>
      </c>
      <c r="R47" s="9">
        <v>10.94</v>
      </c>
      <c r="S47" s="11">
        <v>0.25954</v>
      </c>
      <c r="T47" s="12" t="s">
        <v>37</v>
      </c>
      <c r="U47" s="7" t="s">
        <v>38</v>
      </c>
      <c r="V47" s="6" t="s">
        <v>75</v>
      </c>
      <c r="W47" s="7"/>
      <c r="X47" s="7">
        <f>(5308+4990)/2</f>
        <v>5149</v>
      </c>
      <c r="Y47" s="6" t="s">
        <v>228</v>
      </c>
      <c r="Z47" s="11"/>
      <c r="AA47" s="11"/>
      <c r="AB47" s="7"/>
    </row>
    <row r="48" ht="15.75" customHeight="1">
      <c r="A48" s="6" t="s">
        <v>390</v>
      </c>
      <c r="B48" s="6" t="s">
        <v>391</v>
      </c>
      <c r="C48" s="7" t="s">
        <v>219</v>
      </c>
      <c r="D48" s="7" t="s">
        <v>220</v>
      </c>
      <c r="E48" s="6" t="s">
        <v>221</v>
      </c>
      <c r="F48" s="6" t="s">
        <v>392</v>
      </c>
      <c r="G48" s="8">
        <v>53.1072638548171</v>
      </c>
      <c r="H48" s="8">
        <v>76.3443135581425</v>
      </c>
      <c r="I48" s="6"/>
      <c r="J48" s="6"/>
      <c r="K48" s="7"/>
      <c r="L48" s="7"/>
      <c r="M48" s="6" t="s">
        <v>285</v>
      </c>
      <c r="N48" s="7" t="s">
        <v>35</v>
      </c>
      <c r="O48" s="7" t="s">
        <v>36</v>
      </c>
      <c r="P48" s="10">
        <v>1.12</v>
      </c>
      <c r="Q48" s="10">
        <v>0.0</v>
      </c>
      <c r="R48" s="9">
        <v>76.14</v>
      </c>
      <c r="S48" s="11" t="s">
        <v>370</v>
      </c>
      <c r="T48" s="12" t="s">
        <v>157</v>
      </c>
      <c r="U48" s="7" t="s">
        <v>38</v>
      </c>
      <c r="V48" s="6" t="s">
        <v>393</v>
      </c>
      <c r="W48" s="7" t="s">
        <v>394</v>
      </c>
      <c r="X48" s="7">
        <v>4041.0</v>
      </c>
      <c r="Y48" s="6" t="s">
        <v>158</v>
      </c>
      <c r="Z48" s="11"/>
      <c r="AA48" s="11"/>
      <c r="AB48" s="7"/>
    </row>
    <row r="49" ht="15.75" customHeight="1">
      <c r="A49" s="6" t="s">
        <v>395</v>
      </c>
      <c r="B49" s="21">
        <v>353923.0</v>
      </c>
      <c r="C49" s="7" t="s">
        <v>90</v>
      </c>
      <c r="D49" s="7" t="s">
        <v>31</v>
      </c>
      <c r="E49" s="6" t="s">
        <v>221</v>
      </c>
      <c r="F49" s="6" t="s">
        <v>396</v>
      </c>
      <c r="G49" s="8">
        <v>49.1934098560113</v>
      </c>
      <c r="H49" s="8">
        <v>84.4736176677042</v>
      </c>
      <c r="I49" s="6"/>
      <c r="J49" s="6"/>
      <c r="K49" s="7"/>
      <c r="L49" s="7"/>
      <c r="M49" s="21"/>
      <c r="N49" s="7" t="s">
        <v>35</v>
      </c>
      <c r="O49" s="7" t="s">
        <v>36</v>
      </c>
      <c r="P49" s="9">
        <v>1.1180011963215264</v>
      </c>
      <c r="Q49" s="7">
        <v>0.0</v>
      </c>
      <c r="R49" s="9">
        <v>1.97</v>
      </c>
      <c r="S49" s="11" t="s">
        <v>370</v>
      </c>
      <c r="T49" s="12" t="s">
        <v>37</v>
      </c>
      <c r="U49" s="7" t="s">
        <v>38</v>
      </c>
      <c r="V49" s="6" t="s">
        <v>75</v>
      </c>
      <c r="W49" s="7"/>
      <c r="X49" s="7"/>
      <c r="Y49" s="6"/>
      <c r="Z49" s="11"/>
      <c r="AA49" s="11"/>
      <c r="AB49" s="7"/>
    </row>
    <row r="50" ht="15.75" customHeight="1">
      <c r="A50" s="6" t="s">
        <v>397</v>
      </c>
      <c r="B50" s="6" t="s">
        <v>398</v>
      </c>
      <c r="C50" s="7" t="s">
        <v>333</v>
      </c>
      <c r="D50" s="7" t="s">
        <v>31</v>
      </c>
      <c r="E50" s="6" t="s">
        <v>140</v>
      </c>
      <c r="F50" s="6" t="s">
        <v>334</v>
      </c>
      <c r="G50" s="8">
        <v>45.406241207952</v>
      </c>
      <c r="H50" s="8">
        <v>11.8823169512564</v>
      </c>
      <c r="I50" s="6"/>
      <c r="J50" s="6"/>
      <c r="K50" s="7"/>
      <c r="L50" s="7"/>
      <c r="M50" s="6"/>
      <c r="N50" s="7" t="s">
        <v>35</v>
      </c>
      <c r="O50" s="7" t="s">
        <v>36</v>
      </c>
      <c r="P50" s="9">
        <v>2.9358764974772127</v>
      </c>
      <c r="Q50" s="7">
        <v>0.0</v>
      </c>
      <c r="R50" s="9">
        <v>1.75</v>
      </c>
      <c r="S50" s="11" t="s">
        <v>370</v>
      </c>
      <c r="T50" s="12" t="s">
        <v>37</v>
      </c>
      <c r="U50" s="7" t="s">
        <v>52</v>
      </c>
      <c r="V50" s="6" t="s">
        <v>39</v>
      </c>
      <c r="W50" s="7"/>
      <c r="X50" s="7"/>
      <c r="Y50" s="6" t="s">
        <v>147</v>
      </c>
      <c r="Z50" s="11"/>
      <c r="AA50" s="11"/>
      <c r="AB50" s="7"/>
    </row>
    <row r="51" ht="15.75" customHeight="1">
      <c r="A51" s="22" t="s">
        <v>399</v>
      </c>
      <c r="B51" s="6" t="s">
        <v>400</v>
      </c>
      <c r="C51" s="7" t="s">
        <v>90</v>
      </c>
      <c r="D51" s="7" t="s">
        <v>31</v>
      </c>
      <c r="E51" s="6" t="s">
        <v>69</v>
      </c>
      <c r="F51" s="6" t="s">
        <v>91</v>
      </c>
      <c r="G51" s="8">
        <v>51.6301587756887</v>
      </c>
      <c r="H51" s="8">
        <v>49.6658507598358</v>
      </c>
      <c r="I51" s="6"/>
      <c r="J51" s="6"/>
      <c r="K51" s="7"/>
      <c r="L51" s="7"/>
      <c r="M51" s="6"/>
      <c r="N51" s="7" t="s">
        <v>35</v>
      </c>
      <c r="O51" s="7" t="s">
        <v>36</v>
      </c>
      <c r="P51" s="9">
        <v>0.32</v>
      </c>
      <c r="Q51" s="10">
        <v>0.0</v>
      </c>
      <c r="R51" s="9">
        <v>0.61</v>
      </c>
      <c r="S51" s="11" t="s">
        <v>370</v>
      </c>
      <c r="T51" s="12" t="s">
        <v>37</v>
      </c>
      <c r="U51" s="7" t="s">
        <v>401</v>
      </c>
      <c r="V51" s="6" t="s">
        <v>39</v>
      </c>
      <c r="W51" s="7"/>
      <c r="X51" s="7"/>
      <c r="Y51" s="6" t="s">
        <v>96</v>
      </c>
      <c r="Z51" s="11"/>
      <c r="AA51" s="11"/>
      <c r="AB51" s="7"/>
    </row>
    <row r="52" ht="15.75" customHeight="1">
      <c r="A52" s="23"/>
      <c r="B52" s="23"/>
      <c r="C52" s="24"/>
      <c r="D52" s="24"/>
      <c r="E52" s="23"/>
      <c r="F52" s="23"/>
      <c r="G52" s="25"/>
      <c r="H52" s="25"/>
      <c r="I52" s="23"/>
      <c r="J52" s="23"/>
      <c r="K52" s="23"/>
      <c r="L52" s="24"/>
      <c r="M52" s="23"/>
      <c r="N52" s="24"/>
      <c r="O52" s="24"/>
      <c r="P52" s="26"/>
      <c r="Q52" s="27"/>
      <c r="R52" s="26"/>
      <c r="S52" s="28"/>
      <c r="T52" s="29"/>
      <c r="U52" s="24"/>
      <c r="V52" s="30"/>
      <c r="W52" s="24"/>
      <c r="X52" s="24"/>
      <c r="Y52" s="24"/>
      <c r="Z52" s="24"/>
      <c r="AA52" s="24"/>
      <c r="AB52" s="24"/>
    </row>
    <row r="53" ht="15.75" customHeight="1">
      <c r="A53" s="24"/>
      <c r="B53" s="24"/>
      <c r="C53" s="24"/>
      <c r="D53" s="24"/>
      <c r="E53" s="23"/>
      <c r="F53" s="23"/>
      <c r="G53" s="25"/>
      <c r="H53" s="25"/>
      <c r="I53" s="24"/>
      <c r="J53" s="24"/>
      <c r="K53" s="24"/>
      <c r="L53" s="24"/>
      <c r="M53" s="24"/>
      <c r="N53" s="24"/>
      <c r="O53" s="24"/>
      <c r="P53" s="26"/>
      <c r="Q53" s="27"/>
      <c r="R53" s="26"/>
      <c r="S53" s="28"/>
      <c r="T53" s="29"/>
      <c r="U53" s="24"/>
      <c r="V53" s="30"/>
      <c r="W53" s="24"/>
      <c r="X53" s="24"/>
      <c r="Y53" s="24"/>
      <c r="Z53" s="24"/>
      <c r="AA53" s="24"/>
      <c r="AB53" s="24"/>
    </row>
    <row r="54" ht="15.75" customHeight="1">
      <c r="A54" s="23"/>
      <c r="B54" s="24"/>
      <c r="C54" s="24"/>
      <c r="D54" s="24"/>
      <c r="E54" s="23"/>
      <c r="F54" s="23"/>
      <c r="G54" s="25"/>
      <c r="H54" s="25"/>
      <c r="I54" s="24"/>
      <c r="J54" s="24"/>
      <c r="K54" s="24"/>
      <c r="L54" s="24"/>
      <c r="M54" s="24"/>
      <c r="N54" s="24"/>
      <c r="O54" s="24"/>
      <c r="P54" s="26"/>
      <c r="Q54" s="24"/>
      <c r="R54" s="26"/>
      <c r="S54" s="28"/>
      <c r="T54" s="29"/>
      <c r="U54" s="24"/>
      <c r="V54" s="30"/>
      <c r="W54" s="24"/>
      <c r="X54" s="24"/>
      <c r="Y54" s="24"/>
      <c r="Z54" s="24"/>
      <c r="AA54" s="24"/>
      <c r="AB54" s="24"/>
    </row>
    <row r="55" ht="15.75" customHeight="1">
      <c r="A55" s="23"/>
      <c r="B55" s="24"/>
      <c r="C55" s="24"/>
      <c r="D55" s="24"/>
      <c r="E55" s="23"/>
      <c r="F55" s="23"/>
      <c r="G55" s="25"/>
      <c r="H55" s="25"/>
      <c r="I55" s="24"/>
      <c r="J55" s="24"/>
      <c r="K55" s="24"/>
      <c r="L55" s="24"/>
      <c r="M55" s="24"/>
      <c r="N55" s="24"/>
      <c r="O55" s="24"/>
      <c r="P55" s="26"/>
      <c r="Q55" s="24"/>
      <c r="R55" s="26"/>
      <c r="S55" s="28"/>
      <c r="T55" s="29"/>
      <c r="U55" s="24"/>
      <c r="V55" s="30"/>
      <c r="W55" s="24"/>
      <c r="X55" s="24"/>
      <c r="Y55" s="24"/>
      <c r="Z55" s="24"/>
      <c r="AA55" s="24"/>
      <c r="AB55" s="24"/>
    </row>
    <row r="56" ht="15.75" customHeight="1">
      <c r="A56" s="24"/>
      <c r="B56" s="24"/>
      <c r="C56" s="24"/>
      <c r="D56" s="24"/>
      <c r="E56" s="24"/>
      <c r="F56" s="24"/>
      <c r="G56" s="25"/>
      <c r="H56" s="25"/>
      <c r="I56" s="24"/>
      <c r="J56" s="24"/>
      <c r="K56" s="24"/>
      <c r="L56" s="24"/>
      <c r="M56" s="24"/>
      <c r="N56" s="24"/>
      <c r="O56" s="24"/>
      <c r="P56" s="26"/>
      <c r="Q56" s="24"/>
      <c r="R56" s="26"/>
      <c r="S56" s="28"/>
      <c r="T56" s="24"/>
      <c r="U56" s="24"/>
      <c r="V56" s="30"/>
      <c r="W56" s="24"/>
      <c r="X56" s="24"/>
      <c r="Y56" s="24"/>
      <c r="Z56" s="24"/>
      <c r="AA56" s="24"/>
      <c r="AB56" s="24"/>
    </row>
    <row r="57" ht="15.75" customHeight="1">
      <c r="A57" s="24"/>
      <c r="B57" s="24"/>
      <c r="C57" s="24"/>
      <c r="D57" s="24"/>
      <c r="E57" s="24"/>
      <c r="F57" s="24"/>
      <c r="G57" s="25"/>
      <c r="H57" s="25"/>
      <c r="I57" s="24"/>
      <c r="J57" s="24"/>
      <c r="K57" s="24"/>
      <c r="L57" s="24"/>
      <c r="M57" s="24"/>
      <c r="N57" s="24"/>
      <c r="O57" s="24"/>
      <c r="P57" s="26"/>
      <c r="Q57" s="24"/>
      <c r="R57" s="26"/>
      <c r="S57" s="28"/>
      <c r="T57" s="24"/>
      <c r="U57" s="24"/>
      <c r="V57" s="30"/>
      <c r="W57" s="24"/>
      <c r="X57" s="24"/>
      <c r="Y57" s="24"/>
      <c r="Z57" s="24"/>
      <c r="AA57" s="24"/>
      <c r="AB57" s="24"/>
    </row>
    <row r="58" ht="15.75" customHeight="1">
      <c r="A58" s="24"/>
      <c r="B58" s="24"/>
      <c r="C58" s="24"/>
      <c r="D58" s="24"/>
      <c r="E58" s="24"/>
      <c r="F58" s="24"/>
      <c r="G58" s="25"/>
      <c r="H58" s="25"/>
      <c r="I58" s="24"/>
      <c r="J58" s="24"/>
      <c r="K58" s="24"/>
      <c r="L58" s="24"/>
      <c r="M58" s="24"/>
      <c r="N58" s="24"/>
      <c r="O58" s="24"/>
      <c r="P58" s="26"/>
      <c r="Q58" s="24"/>
      <c r="R58" s="26"/>
      <c r="S58" s="28"/>
      <c r="T58" s="24"/>
      <c r="U58" s="24"/>
      <c r="V58" s="30"/>
      <c r="W58" s="24"/>
      <c r="X58" s="24"/>
      <c r="Y58" s="24"/>
      <c r="Z58" s="24"/>
      <c r="AA58" s="24"/>
      <c r="AB58" s="24"/>
    </row>
    <row r="59" ht="15.75" customHeight="1">
      <c r="A59" s="24"/>
      <c r="B59" s="24"/>
      <c r="C59" s="24"/>
      <c r="D59" s="24"/>
      <c r="E59" s="24"/>
      <c r="F59" s="24"/>
      <c r="G59" s="25"/>
      <c r="H59" s="25"/>
      <c r="I59" s="24"/>
      <c r="J59" s="24"/>
      <c r="K59" s="24"/>
      <c r="L59" s="24"/>
      <c r="M59" s="24"/>
      <c r="N59" s="24"/>
      <c r="O59" s="24"/>
      <c r="P59" s="26"/>
      <c r="Q59" s="24"/>
      <c r="R59" s="26"/>
      <c r="S59" s="28"/>
      <c r="T59" s="24"/>
      <c r="U59" s="24"/>
      <c r="V59" s="30"/>
      <c r="W59" s="24"/>
      <c r="X59" s="24"/>
      <c r="Y59" s="24"/>
      <c r="Z59" s="24"/>
      <c r="AA59" s="24"/>
      <c r="AB59" s="24"/>
    </row>
    <row r="60" ht="15.75" customHeight="1">
      <c r="A60" s="24"/>
      <c r="B60" s="24"/>
      <c r="C60" s="24"/>
      <c r="D60" s="24"/>
      <c r="E60" s="24"/>
      <c r="F60" s="24"/>
      <c r="G60" s="25"/>
      <c r="H60" s="25"/>
      <c r="I60" s="24"/>
      <c r="J60" s="24"/>
      <c r="K60" s="24"/>
      <c r="L60" s="24"/>
      <c r="M60" s="24"/>
      <c r="N60" s="24"/>
      <c r="O60" s="24"/>
      <c r="P60" s="26"/>
      <c r="Q60" s="24"/>
      <c r="R60" s="26"/>
      <c r="S60" s="28"/>
      <c r="T60" s="24"/>
      <c r="U60" s="24"/>
      <c r="V60" s="30"/>
      <c r="W60" s="24"/>
      <c r="X60" s="24"/>
      <c r="Y60" s="24"/>
      <c r="Z60" s="24"/>
      <c r="AA60" s="24"/>
      <c r="AB60" s="24"/>
    </row>
    <row r="61" ht="15.75" customHeight="1">
      <c r="A61" s="24"/>
      <c r="B61" s="24"/>
      <c r="C61" s="24"/>
      <c r="D61" s="24"/>
      <c r="E61" s="24"/>
      <c r="F61" s="24"/>
      <c r="G61" s="25"/>
      <c r="H61" s="25"/>
      <c r="I61" s="24"/>
      <c r="J61" s="24"/>
      <c r="K61" s="24"/>
      <c r="L61" s="24"/>
      <c r="M61" s="24"/>
      <c r="N61" s="24"/>
      <c r="O61" s="24"/>
      <c r="P61" s="26"/>
      <c r="Q61" s="24"/>
      <c r="R61" s="26"/>
      <c r="S61" s="28"/>
      <c r="T61" s="24"/>
      <c r="U61" s="24"/>
      <c r="V61" s="30"/>
      <c r="W61" s="24"/>
      <c r="X61" s="24"/>
      <c r="Y61" s="24"/>
      <c r="Z61" s="24"/>
      <c r="AA61" s="24"/>
      <c r="AB61" s="24"/>
    </row>
    <row r="62" ht="15.75" customHeight="1">
      <c r="A62" s="24"/>
      <c r="B62" s="24"/>
      <c r="C62" s="24"/>
      <c r="D62" s="24"/>
      <c r="E62" s="24"/>
      <c r="F62" s="24"/>
      <c r="G62" s="25"/>
      <c r="H62" s="25"/>
      <c r="I62" s="24"/>
      <c r="J62" s="24"/>
      <c r="K62" s="24"/>
      <c r="L62" s="24"/>
      <c r="M62" s="24"/>
      <c r="N62" s="24"/>
      <c r="O62" s="24"/>
      <c r="P62" s="26"/>
      <c r="Q62" s="24"/>
      <c r="R62" s="26"/>
      <c r="S62" s="28"/>
      <c r="T62" s="24"/>
      <c r="U62" s="24"/>
      <c r="V62" s="30"/>
      <c r="W62" s="24"/>
      <c r="X62" s="24"/>
      <c r="Y62" s="24"/>
      <c r="Z62" s="24"/>
      <c r="AA62" s="24"/>
      <c r="AB62" s="24"/>
    </row>
    <row r="63" ht="15.75" customHeight="1">
      <c r="A63" s="24"/>
      <c r="B63" s="24"/>
      <c r="C63" s="24"/>
      <c r="D63" s="24"/>
      <c r="E63" s="24"/>
      <c r="F63" s="24"/>
      <c r="G63" s="25"/>
      <c r="H63" s="25"/>
      <c r="I63" s="24"/>
      <c r="J63" s="24"/>
      <c r="K63" s="24"/>
      <c r="L63" s="24"/>
      <c r="M63" s="24"/>
      <c r="N63" s="24"/>
      <c r="O63" s="24"/>
      <c r="P63" s="26"/>
      <c r="Q63" s="24"/>
      <c r="R63" s="26"/>
      <c r="S63" s="28"/>
      <c r="T63" s="24"/>
      <c r="U63" s="24"/>
      <c r="V63" s="30"/>
      <c r="W63" s="24"/>
      <c r="X63" s="24"/>
      <c r="Y63" s="24"/>
      <c r="Z63" s="24"/>
      <c r="AA63" s="24"/>
      <c r="AB63" s="24"/>
    </row>
    <row r="64" ht="15.75" customHeight="1">
      <c r="A64" s="24"/>
      <c r="B64" s="24"/>
      <c r="C64" s="24"/>
      <c r="D64" s="24"/>
      <c r="E64" s="24"/>
      <c r="F64" s="24"/>
      <c r="G64" s="25"/>
      <c r="H64" s="25"/>
      <c r="I64" s="24"/>
      <c r="J64" s="24"/>
      <c r="K64" s="24"/>
      <c r="L64" s="24"/>
      <c r="M64" s="24"/>
      <c r="N64" s="24"/>
      <c r="O64" s="24"/>
      <c r="P64" s="26"/>
      <c r="Q64" s="24"/>
      <c r="R64" s="26"/>
      <c r="S64" s="28"/>
      <c r="T64" s="24"/>
      <c r="U64" s="24"/>
      <c r="V64" s="30"/>
      <c r="W64" s="24"/>
      <c r="X64" s="24"/>
      <c r="Y64" s="24"/>
      <c r="Z64" s="24"/>
      <c r="AA64" s="24"/>
      <c r="AB64" s="24"/>
    </row>
    <row r="65" ht="15.75" customHeight="1">
      <c r="A65" s="24"/>
      <c r="B65" s="24"/>
      <c r="C65" s="24"/>
      <c r="D65" s="24"/>
      <c r="E65" s="24"/>
      <c r="F65" s="24"/>
      <c r="G65" s="25"/>
      <c r="H65" s="25"/>
      <c r="I65" s="24"/>
      <c r="J65" s="24"/>
      <c r="K65" s="24"/>
      <c r="L65" s="24"/>
      <c r="M65" s="24"/>
      <c r="N65" s="24"/>
      <c r="O65" s="24"/>
      <c r="P65" s="26"/>
      <c r="Q65" s="24"/>
      <c r="R65" s="26"/>
      <c r="S65" s="28"/>
      <c r="T65" s="24"/>
      <c r="U65" s="24"/>
      <c r="V65" s="30"/>
      <c r="W65" s="24"/>
      <c r="X65" s="24"/>
      <c r="Y65" s="24"/>
      <c r="Z65" s="24"/>
      <c r="AA65" s="24"/>
      <c r="AB65" s="24"/>
    </row>
    <row r="66" ht="15.75" customHeight="1">
      <c r="A66" s="24"/>
      <c r="B66" s="24"/>
      <c r="C66" s="24"/>
      <c r="D66" s="24"/>
      <c r="E66" s="24"/>
      <c r="F66" s="24"/>
      <c r="G66" s="25"/>
      <c r="H66" s="25"/>
      <c r="I66" s="24"/>
      <c r="J66" s="24"/>
      <c r="K66" s="24"/>
      <c r="L66" s="24"/>
      <c r="M66" s="24"/>
      <c r="N66" s="24"/>
      <c r="O66" s="24"/>
      <c r="P66" s="26"/>
      <c r="Q66" s="24"/>
      <c r="R66" s="26"/>
      <c r="S66" s="28"/>
      <c r="T66" s="24"/>
      <c r="U66" s="24"/>
      <c r="V66" s="30"/>
      <c r="W66" s="24"/>
      <c r="X66" s="24"/>
      <c r="Y66" s="24"/>
      <c r="Z66" s="24"/>
      <c r="AA66" s="24"/>
      <c r="AB66" s="24"/>
    </row>
    <row r="67" ht="15.75" customHeight="1">
      <c r="A67" s="24"/>
      <c r="B67" s="24"/>
      <c r="C67" s="24"/>
      <c r="D67" s="24"/>
      <c r="E67" s="24"/>
      <c r="F67" s="24"/>
      <c r="G67" s="25"/>
      <c r="H67" s="25"/>
      <c r="I67" s="24"/>
      <c r="J67" s="24"/>
      <c r="K67" s="24"/>
      <c r="L67" s="24"/>
      <c r="M67" s="24"/>
      <c r="N67" s="24"/>
      <c r="O67" s="24"/>
      <c r="P67" s="26"/>
      <c r="Q67" s="24"/>
      <c r="R67" s="26"/>
      <c r="S67" s="28"/>
      <c r="T67" s="24"/>
      <c r="U67" s="24"/>
      <c r="V67" s="30"/>
      <c r="W67" s="24"/>
      <c r="X67" s="24"/>
      <c r="Y67" s="24"/>
      <c r="Z67" s="24"/>
      <c r="AA67" s="24"/>
      <c r="AB67" s="24"/>
    </row>
    <row r="68" ht="15.75" customHeight="1">
      <c r="A68" s="24"/>
      <c r="B68" s="24"/>
      <c r="C68" s="24"/>
      <c r="D68" s="24"/>
      <c r="E68" s="24"/>
      <c r="F68" s="24"/>
      <c r="G68" s="25"/>
      <c r="H68" s="25"/>
      <c r="I68" s="24"/>
      <c r="J68" s="24"/>
      <c r="K68" s="24"/>
      <c r="L68" s="24"/>
      <c r="M68" s="24"/>
      <c r="N68" s="24"/>
      <c r="O68" s="24"/>
      <c r="P68" s="26"/>
      <c r="Q68" s="24"/>
      <c r="R68" s="26"/>
      <c r="S68" s="28"/>
      <c r="T68" s="24"/>
      <c r="U68" s="24"/>
      <c r="V68" s="30"/>
      <c r="W68" s="24"/>
      <c r="X68" s="24"/>
      <c r="Y68" s="24"/>
      <c r="Z68" s="24"/>
      <c r="AA68" s="24"/>
      <c r="AB68" s="24"/>
    </row>
    <row r="69" ht="15.75" customHeight="1">
      <c r="A69" s="24"/>
      <c r="B69" s="24"/>
      <c r="C69" s="24"/>
      <c r="D69" s="24"/>
      <c r="E69" s="24"/>
      <c r="F69" s="24"/>
      <c r="G69" s="25"/>
      <c r="H69" s="25"/>
      <c r="I69" s="24"/>
      <c r="J69" s="24"/>
      <c r="K69" s="24"/>
      <c r="L69" s="24"/>
      <c r="M69" s="24"/>
      <c r="N69" s="24"/>
      <c r="O69" s="24"/>
      <c r="P69" s="26"/>
      <c r="Q69" s="24"/>
      <c r="R69" s="26"/>
      <c r="S69" s="28"/>
      <c r="T69" s="24"/>
      <c r="U69" s="24"/>
      <c r="V69" s="30"/>
      <c r="W69" s="24"/>
      <c r="X69" s="24"/>
      <c r="Y69" s="24"/>
      <c r="Z69" s="24"/>
      <c r="AA69" s="24"/>
      <c r="AB69" s="24"/>
    </row>
    <row r="70" ht="15.75" customHeight="1">
      <c r="A70" s="24"/>
      <c r="B70" s="24"/>
      <c r="C70" s="24"/>
      <c r="D70" s="24"/>
      <c r="E70" s="24"/>
      <c r="F70" s="24"/>
      <c r="G70" s="25"/>
      <c r="H70" s="25"/>
      <c r="I70" s="24"/>
      <c r="J70" s="24"/>
      <c r="K70" s="24"/>
      <c r="L70" s="24"/>
      <c r="M70" s="24"/>
      <c r="N70" s="24"/>
      <c r="O70" s="24"/>
      <c r="P70" s="26"/>
      <c r="Q70" s="24"/>
      <c r="R70" s="26"/>
      <c r="S70" s="28"/>
      <c r="T70" s="24"/>
      <c r="U70" s="24"/>
      <c r="V70" s="30"/>
      <c r="W70" s="24"/>
      <c r="X70" s="24"/>
      <c r="Y70" s="24"/>
      <c r="Z70" s="24"/>
      <c r="AA70" s="24"/>
      <c r="AB70" s="24"/>
    </row>
    <row r="71" ht="15.75" customHeight="1">
      <c r="A71" s="31"/>
      <c r="B71" s="31"/>
      <c r="C71" s="31"/>
      <c r="D71" s="31"/>
      <c r="E71" s="31"/>
      <c r="F71" s="31"/>
      <c r="G71" s="32"/>
      <c r="H71" s="32"/>
      <c r="I71" s="24"/>
      <c r="J71" s="24"/>
      <c r="K71" s="31"/>
      <c r="L71" s="31"/>
      <c r="M71" s="31"/>
      <c r="N71" s="31"/>
      <c r="O71" s="31"/>
      <c r="P71" s="33"/>
      <c r="Q71" s="31"/>
      <c r="R71" s="33"/>
      <c r="S71" s="28"/>
      <c r="T71" s="31"/>
      <c r="U71" s="31"/>
      <c r="V71" s="30"/>
      <c r="W71" s="31"/>
      <c r="X71" s="31"/>
      <c r="Y71" s="31"/>
      <c r="Z71" s="31"/>
      <c r="AA71" s="31"/>
      <c r="AB71" s="31"/>
    </row>
    <row r="72" ht="15.75" customHeight="1">
      <c r="A72" s="31"/>
      <c r="B72" s="31"/>
      <c r="C72" s="31"/>
      <c r="D72" s="31"/>
      <c r="E72" s="31"/>
      <c r="F72" s="31"/>
      <c r="G72" s="32"/>
      <c r="H72" s="32"/>
      <c r="I72" s="24"/>
      <c r="J72" s="24"/>
      <c r="K72" s="31"/>
      <c r="L72" s="31"/>
      <c r="M72" s="31"/>
      <c r="N72" s="31"/>
      <c r="O72" s="31"/>
      <c r="P72" s="33"/>
      <c r="Q72" s="31"/>
      <c r="R72" s="33"/>
      <c r="S72" s="28"/>
      <c r="T72" s="31"/>
      <c r="U72" s="31"/>
      <c r="V72" s="30"/>
      <c r="W72" s="31"/>
      <c r="X72" s="31"/>
      <c r="Y72" s="31"/>
      <c r="Z72" s="31"/>
      <c r="AA72" s="31"/>
      <c r="AB72" s="31"/>
    </row>
    <row r="73" ht="15.75" customHeight="1">
      <c r="A73" s="31"/>
      <c r="B73" s="31"/>
      <c r="C73" s="31"/>
      <c r="D73" s="31"/>
      <c r="E73" s="31"/>
      <c r="F73" s="31"/>
      <c r="G73" s="32"/>
      <c r="H73" s="32"/>
      <c r="I73" s="24"/>
      <c r="J73" s="24"/>
      <c r="K73" s="31"/>
      <c r="L73" s="31"/>
      <c r="M73" s="31"/>
      <c r="N73" s="31"/>
      <c r="O73" s="31"/>
      <c r="P73" s="33"/>
      <c r="Q73" s="31"/>
      <c r="R73" s="33"/>
      <c r="S73" s="28"/>
      <c r="T73" s="31"/>
      <c r="U73" s="31"/>
      <c r="V73" s="30"/>
      <c r="W73" s="31"/>
      <c r="X73" s="31"/>
      <c r="Y73" s="31"/>
      <c r="Z73" s="31"/>
      <c r="AA73" s="31"/>
      <c r="AB73" s="31"/>
    </row>
    <row r="74" ht="15.75" customHeight="1">
      <c r="A74" s="31"/>
      <c r="B74" s="31"/>
      <c r="C74" s="31"/>
      <c r="D74" s="31"/>
      <c r="E74" s="31"/>
      <c r="F74" s="31"/>
      <c r="G74" s="32"/>
      <c r="H74" s="32"/>
      <c r="I74" s="24"/>
      <c r="J74" s="24"/>
      <c r="K74" s="31"/>
      <c r="L74" s="31"/>
      <c r="M74" s="31"/>
      <c r="N74" s="31"/>
      <c r="O74" s="31"/>
      <c r="P74" s="33"/>
      <c r="Q74" s="31"/>
      <c r="R74" s="33"/>
      <c r="S74" s="28"/>
      <c r="T74" s="31"/>
      <c r="U74" s="31"/>
      <c r="V74" s="30"/>
      <c r="W74" s="31"/>
      <c r="X74" s="31"/>
      <c r="Y74" s="31"/>
      <c r="Z74" s="31"/>
      <c r="AA74" s="31"/>
      <c r="AB74" s="31"/>
    </row>
    <row r="75" ht="15.75" customHeight="1">
      <c r="A75" s="31"/>
      <c r="B75" s="31"/>
      <c r="C75" s="31"/>
      <c r="D75" s="31"/>
      <c r="E75" s="31"/>
      <c r="F75" s="31"/>
      <c r="G75" s="32"/>
      <c r="H75" s="32"/>
      <c r="I75" s="24"/>
      <c r="J75" s="24"/>
      <c r="K75" s="31"/>
      <c r="L75" s="31"/>
      <c r="M75" s="31"/>
      <c r="N75" s="31"/>
      <c r="O75" s="31"/>
      <c r="P75" s="33"/>
      <c r="Q75" s="31"/>
      <c r="R75" s="33"/>
      <c r="S75" s="28"/>
      <c r="T75" s="31"/>
      <c r="U75" s="31"/>
      <c r="V75" s="30"/>
      <c r="W75" s="31"/>
      <c r="X75" s="31"/>
      <c r="Y75" s="31"/>
      <c r="Z75" s="31"/>
      <c r="AA75" s="31"/>
      <c r="AB75" s="31"/>
    </row>
    <row r="76" ht="15.75" customHeight="1">
      <c r="A76" s="31"/>
      <c r="B76" s="31"/>
      <c r="C76" s="31"/>
      <c r="D76" s="31"/>
      <c r="E76" s="31"/>
      <c r="F76" s="31"/>
      <c r="G76" s="32"/>
      <c r="H76" s="32"/>
      <c r="I76" s="24"/>
      <c r="J76" s="24"/>
      <c r="K76" s="31"/>
      <c r="L76" s="31"/>
      <c r="M76" s="31"/>
      <c r="N76" s="31"/>
      <c r="O76" s="31"/>
      <c r="P76" s="33"/>
      <c r="Q76" s="31"/>
      <c r="R76" s="33"/>
      <c r="S76" s="28"/>
      <c r="T76" s="31"/>
      <c r="U76" s="31"/>
      <c r="V76" s="30"/>
      <c r="W76" s="31"/>
      <c r="X76" s="31"/>
      <c r="Y76" s="31"/>
      <c r="Z76" s="31"/>
      <c r="AA76" s="31"/>
      <c r="AB76" s="31"/>
    </row>
    <row r="77" ht="15.75" customHeight="1">
      <c r="A77" s="31"/>
      <c r="B77" s="31"/>
      <c r="C77" s="31"/>
      <c r="D77" s="31"/>
      <c r="E77" s="31"/>
      <c r="F77" s="31"/>
      <c r="G77" s="32"/>
      <c r="H77" s="32"/>
      <c r="I77" s="24"/>
      <c r="J77" s="24"/>
      <c r="K77" s="31"/>
      <c r="L77" s="31"/>
      <c r="M77" s="31"/>
      <c r="N77" s="31"/>
      <c r="O77" s="31"/>
      <c r="P77" s="33"/>
      <c r="Q77" s="31"/>
      <c r="R77" s="33"/>
      <c r="S77" s="28"/>
      <c r="T77" s="31"/>
      <c r="U77" s="31"/>
      <c r="V77" s="30"/>
      <c r="W77" s="31"/>
      <c r="X77" s="31"/>
      <c r="Y77" s="31"/>
      <c r="Z77" s="31"/>
      <c r="AA77" s="31"/>
      <c r="AB77" s="31"/>
    </row>
    <row r="78" ht="15.75" customHeight="1">
      <c r="A78" s="31"/>
      <c r="B78" s="31"/>
      <c r="C78" s="31"/>
      <c r="D78" s="31"/>
      <c r="E78" s="31"/>
      <c r="F78" s="31"/>
      <c r="G78" s="32"/>
      <c r="H78" s="32"/>
      <c r="I78" s="24"/>
      <c r="J78" s="24"/>
      <c r="K78" s="31"/>
      <c r="L78" s="31"/>
      <c r="M78" s="31"/>
      <c r="N78" s="31"/>
      <c r="O78" s="31"/>
      <c r="P78" s="33"/>
      <c r="Q78" s="31"/>
      <c r="R78" s="33"/>
      <c r="S78" s="28"/>
      <c r="T78" s="31"/>
      <c r="U78" s="31"/>
      <c r="V78" s="30"/>
      <c r="W78" s="31"/>
      <c r="X78" s="31"/>
      <c r="Y78" s="31"/>
      <c r="Z78" s="31"/>
      <c r="AA78" s="31"/>
      <c r="AB78" s="31"/>
    </row>
    <row r="79" ht="15.75" customHeight="1">
      <c r="A79" s="31"/>
      <c r="B79" s="31"/>
      <c r="C79" s="31"/>
      <c r="D79" s="31"/>
      <c r="E79" s="31"/>
      <c r="F79" s="31"/>
      <c r="G79" s="32"/>
      <c r="H79" s="32"/>
      <c r="I79" s="24"/>
      <c r="J79" s="24"/>
      <c r="K79" s="31"/>
      <c r="L79" s="31"/>
      <c r="M79" s="31"/>
      <c r="N79" s="31"/>
      <c r="O79" s="31"/>
      <c r="P79" s="33"/>
      <c r="Q79" s="31"/>
      <c r="R79" s="33"/>
      <c r="S79" s="28"/>
      <c r="T79" s="31"/>
      <c r="U79" s="31"/>
      <c r="V79" s="30"/>
      <c r="W79" s="31"/>
      <c r="X79" s="31"/>
      <c r="Y79" s="31"/>
      <c r="Z79" s="31"/>
      <c r="AA79" s="31"/>
      <c r="AB79" s="31"/>
    </row>
    <row r="80" ht="15.75" customHeight="1">
      <c r="A80" s="31"/>
      <c r="B80" s="31"/>
      <c r="C80" s="31"/>
      <c r="D80" s="31"/>
      <c r="E80" s="31"/>
      <c r="F80" s="31"/>
      <c r="G80" s="32"/>
      <c r="H80" s="32"/>
      <c r="I80" s="24"/>
      <c r="J80" s="24"/>
      <c r="K80" s="31"/>
      <c r="L80" s="31"/>
      <c r="M80" s="31"/>
      <c r="N80" s="31"/>
      <c r="O80" s="31"/>
      <c r="P80" s="33"/>
      <c r="Q80" s="31"/>
      <c r="R80" s="33"/>
      <c r="S80" s="28"/>
      <c r="T80" s="31"/>
      <c r="U80" s="31"/>
      <c r="V80" s="30"/>
      <c r="W80" s="31"/>
      <c r="X80" s="31"/>
      <c r="Y80" s="31"/>
      <c r="Z80" s="31"/>
      <c r="AA80" s="31"/>
      <c r="AB80" s="31"/>
    </row>
    <row r="81" ht="15.75" customHeight="1">
      <c r="A81" s="31"/>
      <c r="B81" s="31"/>
      <c r="C81" s="31"/>
      <c r="D81" s="31"/>
      <c r="E81" s="31"/>
      <c r="F81" s="31"/>
      <c r="G81" s="32"/>
      <c r="H81" s="32"/>
      <c r="I81" s="24"/>
      <c r="J81" s="24"/>
      <c r="K81" s="31"/>
      <c r="L81" s="31"/>
      <c r="M81" s="31"/>
      <c r="N81" s="31"/>
      <c r="O81" s="31"/>
      <c r="P81" s="33"/>
      <c r="Q81" s="31"/>
      <c r="R81" s="33"/>
      <c r="S81" s="28"/>
      <c r="T81" s="31"/>
      <c r="U81" s="31"/>
      <c r="V81" s="30"/>
      <c r="W81" s="31"/>
      <c r="X81" s="31"/>
      <c r="Y81" s="31"/>
      <c r="Z81" s="31"/>
      <c r="AA81" s="31"/>
      <c r="AB81" s="31"/>
    </row>
    <row r="82" ht="15.75" customHeight="1">
      <c r="A82" s="31"/>
      <c r="B82" s="31"/>
      <c r="C82" s="31"/>
      <c r="D82" s="31"/>
      <c r="E82" s="31"/>
      <c r="F82" s="31"/>
      <c r="G82" s="32"/>
      <c r="H82" s="32"/>
      <c r="I82" s="24"/>
      <c r="J82" s="24"/>
      <c r="K82" s="31"/>
      <c r="L82" s="31"/>
      <c r="M82" s="31"/>
      <c r="N82" s="31"/>
      <c r="O82" s="31"/>
      <c r="P82" s="33"/>
      <c r="Q82" s="31"/>
      <c r="R82" s="33"/>
      <c r="S82" s="28"/>
      <c r="T82" s="31"/>
      <c r="U82" s="31"/>
      <c r="V82" s="30"/>
      <c r="W82" s="31"/>
      <c r="X82" s="31"/>
      <c r="Y82" s="31"/>
      <c r="Z82" s="31"/>
      <c r="AA82" s="31"/>
      <c r="AB82" s="31"/>
    </row>
    <row r="83" ht="15.75" customHeight="1">
      <c r="A83" s="31"/>
      <c r="B83" s="31"/>
      <c r="C83" s="31"/>
      <c r="D83" s="31"/>
      <c r="E83" s="31"/>
      <c r="F83" s="31"/>
      <c r="G83" s="32"/>
      <c r="H83" s="32"/>
      <c r="I83" s="24"/>
      <c r="J83" s="24"/>
      <c r="K83" s="31"/>
      <c r="L83" s="31"/>
      <c r="M83" s="31"/>
      <c r="N83" s="31"/>
      <c r="O83" s="31"/>
      <c r="P83" s="33"/>
      <c r="Q83" s="31"/>
      <c r="R83" s="33"/>
      <c r="S83" s="28"/>
      <c r="T83" s="31"/>
      <c r="U83" s="31"/>
      <c r="V83" s="30"/>
      <c r="W83" s="31"/>
      <c r="X83" s="31"/>
      <c r="Y83" s="31"/>
      <c r="Z83" s="31"/>
      <c r="AA83" s="31"/>
      <c r="AB83" s="31"/>
    </row>
    <row r="84" ht="15.75" customHeight="1">
      <c r="A84" s="31"/>
      <c r="B84" s="31"/>
      <c r="C84" s="31"/>
      <c r="D84" s="31"/>
      <c r="E84" s="31"/>
      <c r="F84" s="31"/>
      <c r="G84" s="32"/>
      <c r="H84" s="32"/>
      <c r="I84" s="24"/>
      <c r="J84" s="24"/>
      <c r="K84" s="31"/>
      <c r="L84" s="31"/>
      <c r="M84" s="31"/>
      <c r="N84" s="31"/>
      <c r="O84" s="31"/>
      <c r="P84" s="33"/>
      <c r="Q84" s="31"/>
      <c r="R84" s="33"/>
      <c r="S84" s="28"/>
      <c r="T84" s="31"/>
      <c r="U84" s="31"/>
      <c r="V84" s="30"/>
      <c r="W84" s="31"/>
      <c r="X84" s="31"/>
      <c r="Y84" s="31"/>
      <c r="Z84" s="31"/>
      <c r="AA84" s="31"/>
      <c r="AB84" s="31"/>
    </row>
    <row r="85" ht="15.75" customHeight="1">
      <c r="A85" s="31"/>
      <c r="B85" s="31"/>
      <c r="C85" s="31"/>
      <c r="D85" s="31"/>
      <c r="E85" s="31"/>
      <c r="F85" s="31"/>
      <c r="G85" s="32"/>
      <c r="H85" s="32"/>
      <c r="I85" s="24"/>
      <c r="J85" s="24"/>
      <c r="K85" s="31"/>
      <c r="L85" s="31"/>
      <c r="M85" s="31"/>
      <c r="N85" s="31"/>
      <c r="O85" s="31"/>
      <c r="P85" s="33"/>
      <c r="Q85" s="31"/>
      <c r="R85" s="33"/>
      <c r="S85" s="28"/>
      <c r="T85" s="31"/>
      <c r="U85" s="31"/>
      <c r="V85" s="30"/>
      <c r="W85" s="31"/>
      <c r="X85" s="31"/>
      <c r="Y85" s="31"/>
      <c r="Z85" s="31"/>
      <c r="AA85" s="31"/>
      <c r="AB85" s="31"/>
    </row>
    <row r="86" ht="15.75" customHeight="1">
      <c r="A86" s="31"/>
      <c r="B86" s="31"/>
      <c r="C86" s="31"/>
      <c r="D86" s="31"/>
      <c r="E86" s="31"/>
      <c r="F86" s="31"/>
      <c r="G86" s="32"/>
      <c r="H86" s="32"/>
      <c r="I86" s="24"/>
      <c r="J86" s="24"/>
      <c r="K86" s="31"/>
      <c r="L86" s="31"/>
      <c r="M86" s="31"/>
      <c r="N86" s="31"/>
      <c r="O86" s="31"/>
      <c r="P86" s="33"/>
      <c r="Q86" s="31"/>
      <c r="R86" s="33"/>
      <c r="S86" s="28"/>
      <c r="T86" s="31"/>
      <c r="U86" s="31"/>
      <c r="V86" s="30"/>
      <c r="W86" s="31"/>
      <c r="X86" s="31"/>
      <c r="Y86" s="31"/>
      <c r="Z86" s="31"/>
      <c r="AA86" s="31"/>
      <c r="AB86" s="31"/>
    </row>
    <row r="87" ht="15.75" customHeight="1">
      <c r="A87" s="31"/>
      <c r="B87" s="31"/>
      <c r="C87" s="31"/>
      <c r="D87" s="31"/>
      <c r="E87" s="31"/>
      <c r="F87" s="31"/>
      <c r="G87" s="32"/>
      <c r="H87" s="32"/>
      <c r="I87" s="24"/>
      <c r="J87" s="24"/>
      <c r="K87" s="31"/>
      <c r="L87" s="31"/>
      <c r="M87" s="31"/>
      <c r="N87" s="31"/>
      <c r="O87" s="31"/>
      <c r="P87" s="33"/>
      <c r="Q87" s="31"/>
      <c r="R87" s="33"/>
      <c r="S87" s="28"/>
      <c r="T87" s="31"/>
      <c r="U87" s="31"/>
      <c r="V87" s="30"/>
      <c r="W87" s="31"/>
      <c r="X87" s="31"/>
      <c r="Y87" s="31"/>
      <c r="Z87" s="31"/>
      <c r="AA87" s="31"/>
      <c r="AB87" s="31"/>
    </row>
    <row r="88" ht="15.75" customHeight="1">
      <c r="A88" s="31"/>
      <c r="B88" s="31"/>
      <c r="C88" s="31"/>
      <c r="D88" s="31"/>
      <c r="E88" s="31"/>
      <c r="F88" s="31"/>
      <c r="G88" s="32"/>
      <c r="H88" s="32"/>
      <c r="I88" s="24"/>
      <c r="J88" s="24"/>
      <c r="K88" s="31"/>
      <c r="L88" s="31"/>
      <c r="M88" s="31"/>
      <c r="N88" s="31"/>
      <c r="O88" s="31"/>
      <c r="P88" s="33"/>
      <c r="Q88" s="31"/>
      <c r="R88" s="33"/>
      <c r="S88" s="28"/>
      <c r="T88" s="31"/>
      <c r="U88" s="31"/>
      <c r="V88" s="30"/>
      <c r="W88" s="31"/>
      <c r="X88" s="31"/>
      <c r="Y88" s="31"/>
      <c r="Z88" s="31"/>
      <c r="AA88" s="31"/>
      <c r="AB88" s="31"/>
    </row>
    <row r="89" ht="15.75" customHeight="1">
      <c r="A89" s="31"/>
      <c r="B89" s="31"/>
      <c r="C89" s="31"/>
      <c r="D89" s="31"/>
      <c r="E89" s="31"/>
      <c r="F89" s="31"/>
      <c r="G89" s="32"/>
      <c r="H89" s="32"/>
      <c r="I89" s="24"/>
      <c r="J89" s="24"/>
      <c r="K89" s="31"/>
      <c r="L89" s="31"/>
      <c r="M89" s="31"/>
      <c r="N89" s="31"/>
      <c r="O89" s="31"/>
      <c r="P89" s="33"/>
      <c r="Q89" s="31"/>
      <c r="R89" s="33"/>
      <c r="S89" s="28"/>
      <c r="T89" s="31"/>
      <c r="U89" s="31"/>
      <c r="V89" s="30"/>
      <c r="W89" s="31"/>
      <c r="X89" s="31"/>
      <c r="Y89" s="31"/>
      <c r="Z89" s="31"/>
      <c r="AA89" s="31"/>
      <c r="AB89" s="31"/>
    </row>
    <row r="90" ht="15.75" customHeight="1">
      <c r="A90" s="31"/>
      <c r="B90" s="31"/>
      <c r="C90" s="31"/>
      <c r="D90" s="31"/>
      <c r="E90" s="31"/>
      <c r="F90" s="31"/>
      <c r="G90" s="32"/>
      <c r="H90" s="32"/>
      <c r="I90" s="24"/>
      <c r="J90" s="24"/>
      <c r="K90" s="31"/>
      <c r="L90" s="31"/>
      <c r="M90" s="31"/>
      <c r="N90" s="31"/>
      <c r="O90" s="31"/>
      <c r="P90" s="33"/>
      <c r="Q90" s="31"/>
      <c r="R90" s="33"/>
      <c r="S90" s="28"/>
      <c r="T90" s="31"/>
      <c r="U90" s="31"/>
      <c r="V90" s="30"/>
      <c r="W90" s="31"/>
      <c r="X90" s="31"/>
      <c r="Y90" s="31"/>
      <c r="Z90" s="31"/>
      <c r="AA90" s="31"/>
      <c r="AB90" s="31"/>
    </row>
    <row r="91" ht="15.75" customHeight="1">
      <c r="A91" s="31"/>
      <c r="B91" s="31"/>
      <c r="C91" s="31"/>
      <c r="D91" s="31"/>
      <c r="E91" s="31"/>
      <c r="F91" s="31"/>
      <c r="G91" s="32"/>
      <c r="H91" s="32"/>
      <c r="I91" s="24"/>
      <c r="J91" s="24"/>
      <c r="K91" s="31"/>
      <c r="L91" s="31"/>
      <c r="M91" s="31"/>
      <c r="N91" s="31"/>
      <c r="O91" s="31"/>
      <c r="P91" s="33"/>
      <c r="Q91" s="31"/>
      <c r="R91" s="33"/>
      <c r="S91" s="28"/>
      <c r="T91" s="31"/>
      <c r="U91" s="31"/>
      <c r="V91" s="30"/>
      <c r="W91" s="31"/>
      <c r="X91" s="31"/>
      <c r="Y91" s="31"/>
      <c r="Z91" s="31"/>
      <c r="AA91" s="31"/>
      <c r="AB91" s="31"/>
    </row>
    <row r="92" ht="15.75" customHeight="1">
      <c r="A92" s="31"/>
      <c r="B92" s="31"/>
      <c r="C92" s="31"/>
      <c r="D92" s="31"/>
      <c r="E92" s="31"/>
      <c r="F92" s="31"/>
      <c r="G92" s="32"/>
      <c r="H92" s="32"/>
      <c r="I92" s="24"/>
      <c r="J92" s="24"/>
      <c r="K92" s="31"/>
      <c r="L92" s="31"/>
      <c r="M92" s="31"/>
      <c r="N92" s="31"/>
      <c r="O92" s="31"/>
      <c r="P92" s="33"/>
      <c r="Q92" s="31"/>
      <c r="R92" s="33"/>
      <c r="S92" s="28"/>
      <c r="T92" s="31"/>
      <c r="U92" s="31"/>
      <c r="V92" s="30"/>
      <c r="W92" s="31"/>
      <c r="X92" s="31"/>
      <c r="Y92" s="31"/>
      <c r="Z92" s="31"/>
      <c r="AA92" s="31"/>
      <c r="AB92" s="31"/>
    </row>
    <row r="93" ht="15.75" customHeight="1">
      <c r="A93" s="31"/>
      <c r="B93" s="31"/>
      <c r="C93" s="31"/>
      <c r="D93" s="31"/>
      <c r="E93" s="31"/>
      <c r="F93" s="31"/>
      <c r="G93" s="32"/>
      <c r="H93" s="32"/>
      <c r="I93" s="24"/>
      <c r="J93" s="24"/>
      <c r="K93" s="31"/>
      <c r="L93" s="31"/>
      <c r="M93" s="31"/>
      <c r="N93" s="31"/>
      <c r="O93" s="31"/>
      <c r="P93" s="33"/>
      <c r="Q93" s="31"/>
      <c r="R93" s="33"/>
      <c r="S93" s="28"/>
      <c r="T93" s="31"/>
      <c r="U93" s="31"/>
      <c r="V93" s="30"/>
      <c r="W93" s="31"/>
      <c r="X93" s="31"/>
      <c r="Y93" s="31"/>
      <c r="Z93" s="31"/>
      <c r="AA93" s="31"/>
      <c r="AB93" s="31"/>
    </row>
    <row r="94" ht="15.75" customHeight="1">
      <c r="A94" s="31"/>
      <c r="B94" s="31"/>
      <c r="C94" s="31"/>
      <c r="D94" s="31"/>
      <c r="E94" s="31"/>
      <c r="F94" s="31"/>
      <c r="G94" s="32"/>
      <c r="H94" s="32"/>
      <c r="I94" s="24"/>
      <c r="J94" s="24"/>
      <c r="K94" s="31"/>
      <c r="L94" s="31"/>
      <c r="M94" s="31"/>
      <c r="N94" s="31"/>
      <c r="O94" s="31"/>
      <c r="P94" s="33"/>
      <c r="Q94" s="31"/>
      <c r="R94" s="33"/>
      <c r="S94" s="28"/>
      <c r="T94" s="31"/>
      <c r="U94" s="31"/>
      <c r="V94" s="30"/>
      <c r="W94" s="31"/>
      <c r="X94" s="31"/>
      <c r="Y94" s="31"/>
      <c r="Z94" s="31"/>
      <c r="AA94" s="31"/>
      <c r="AB94" s="31"/>
    </row>
    <row r="95" ht="15.75" customHeight="1">
      <c r="A95" s="31"/>
      <c r="B95" s="31"/>
      <c r="C95" s="31"/>
      <c r="D95" s="31"/>
      <c r="E95" s="31"/>
      <c r="F95" s="31"/>
      <c r="G95" s="32"/>
      <c r="H95" s="32"/>
      <c r="I95" s="24"/>
      <c r="J95" s="24"/>
      <c r="K95" s="31"/>
      <c r="L95" s="31"/>
      <c r="M95" s="31"/>
      <c r="N95" s="31"/>
      <c r="O95" s="31"/>
      <c r="P95" s="33"/>
      <c r="Q95" s="31"/>
      <c r="R95" s="33"/>
      <c r="S95" s="28"/>
      <c r="T95" s="31"/>
      <c r="U95" s="31"/>
      <c r="V95" s="30"/>
      <c r="W95" s="31"/>
      <c r="X95" s="31"/>
      <c r="Y95" s="31"/>
      <c r="Z95" s="31"/>
      <c r="AA95" s="31"/>
      <c r="AB95" s="31"/>
    </row>
    <row r="96" ht="15.75" customHeight="1">
      <c r="A96" s="31"/>
      <c r="B96" s="31"/>
      <c r="C96" s="31"/>
      <c r="D96" s="31"/>
      <c r="E96" s="31"/>
      <c r="F96" s="31"/>
      <c r="G96" s="32"/>
      <c r="H96" s="32"/>
      <c r="I96" s="24"/>
      <c r="J96" s="24"/>
      <c r="K96" s="31"/>
      <c r="L96" s="31"/>
      <c r="M96" s="31"/>
      <c r="N96" s="31"/>
      <c r="O96" s="31"/>
      <c r="P96" s="33"/>
      <c r="Q96" s="31"/>
      <c r="R96" s="33"/>
      <c r="S96" s="28"/>
      <c r="T96" s="31"/>
      <c r="U96" s="31"/>
      <c r="V96" s="30"/>
      <c r="W96" s="31"/>
      <c r="X96" s="31"/>
      <c r="Y96" s="31"/>
      <c r="Z96" s="31"/>
      <c r="AA96" s="31"/>
      <c r="AB96" s="31"/>
    </row>
    <row r="97" ht="15.75" customHeight="1">
      <c r="A97" s="31"/>
      <c r="B97" s="31"/>
      <c r="C97" s="31"/>
      <c r="D97" s="31"/>
      <c r="E97" s="31"/>
      <c r="F97" s="31"/>
      <c r="G97" s="32"/>
      <c r="H97" s="32"/>
      <c r="I97" s="24"/>
      <c r="J97" s="24"/>
      <c r="K97" s="31"/>
      <c r="L97" s="31"/>
      <c r="M97" s="31"/>
      <c r="N97" s="31"/>
      <c r="O97" s="31"/>
      <c r="P97" s="33"/>
      <c r="Q97" s="31"/>
      <c r="R97" s="33"/>
      <c r="S97" s="28"/>
      <c r="T97" s="31"/>
      <c r="U97" s="31"/>
      <c r="V97" s="30"/>
      <c r="W97" s="31"/>
      <c r="X97" s="31"/>
      <c r="Y97" s="31"/>
      <c r="Z97" s="31"/>
      <c r="AA97" s="31"/>
      <c r="AB97" s="31"/>
    </row>
    <row r="98" ht="15.75" customHeight="1">
      <c r="A98" s="31"/>
      <c r="B98" s="31"/>
      <c r="C98" s="31"/>
      <c r="D98" s="31"/>
      <c r="E98" s="31"/>
      <c r="F98" s="31"/>
      <c r="G98" s="32"/>
      <c r="H98" s="32"/>
      <c r="I98" s="24"/>
      <c r="J98" s="24"/>
      <c r="K98" s="31"/>
      <c r="L98" s="31"/>
      <c r="M98" s="31"/>
      <c r="N98" s="31"/>
      <c r="O98" s="31"/>
      <c r="P98" s="33"/>
      <c r="Q98" s="31"/>
      <c r="R98" s="33"/>
      <c r="S98" s="28"/>
      <c r="T98" s="31"/>
      <c r="U98" s="31"/>
      <c r="V98" s="30"/>
      <c r="W98" s="31"/>
      <c r="X98" s="31"/>
      <c r="Y98" s="31"/>
      <c r="Z98" s="31"/>
      <c r="AA98" s="31"/>
      <c r="AB98" s="31"/>
    </row>
    <row r="99" ht="15.75" customHeight="1">
      <c r="A99" s="31"/>
      <c r="B99" s="31"/>
      <c r="C99" s="31"/>
      <c r="D99" s="31"/>
      <c r="E99" s="31"/>
      <c r="F99" s="31"/>
      <c r="G99" s="32"/>
      <c r="H99" s="32"/>
      <c r="I99" s="24"/>
      <c r="J99" s="24"/>
      <c r="K99" s="31"/>
      <c r="L99" s="31"/>
      <c r="M99" s="31"/>
      <c r="N99" s="31"/>
      <c r="O99" s="31"/>
      <c r="P99" s="33"/>
      <c r="Q99" s="31"/>
      <c r="R99" s="33"/>
      <c r="S99" s="28"/>
      <c r="T99" s="31"/>
      <c r="U99" s="31"/>
      <c r="V99" s="30"/>
      <c r="W99" s="31"/>
      <c r="X99" s="31"/>
      <c r="Y99" s="31"/>
      <c r="Z99" s="31"/>
      <c r="AA99" s="31"/>
      <c r="AB99" s="31"/>
    </row>
    <row r="100" ht="15.75" customHeight="1">
      <c r="A100" s="31"/>
      <c r="B100" s="31"/>
      <c r="C100" s="31"/>
      <c r="D100" s="31"/>
      <c r="E100" s="31"/>
      <c r="F100" s="31"/>
      <c r="G100" s="32"/>
      <c r="H100" s="32"/>
      <c r="I100" s="24"/>
      <c r="J100" s="24"/>
      <c r="K100" s="31"/>
      <c r="L100" s="31"/>
      <c r="M100" s="31"/>
      <c r="N100" s="31"/>
      <c r="O100" s="31"/>
      <c r="P100" s="33"/>
      <c r="Q100" s="31"/>
      <c r="R100" s="33"/>
      <c r="S100" s="28"/>
      <c r="T100" s="31"/>
      <c r="U100" s="31"/>
      <c r="V100" s="30"/>
      <c r="W100" s="31"/>
      <c r="X100" s="31"/>
      <c r="Y100" s="31"/>
      <c r="Z100" s="31"/>
      <c r="AA100" s="31"/>
      <c r="AB100" s="31"/>
    </row>
    <row r="101" ht="15.75" customHeight="1">
      <c r="A101" s="31"/>
      <c r="B101" s="31"/>
      <c r="C101" s="31"/>
      <c r="D101" s="31"/>
      <c r="E101" s="31"/>
      <c r="F101" s="31"/>
      <c r="G101" s="32"/>
      <c r="H101" s="32"/>
      <c r="I101" s="24"/>
      <c r="J101" s="24"/>
      <c r="K101" s="31"/>
      <c r="L101" s="31"/>
      <c r="M101" s="31"/>
      <c r="N101" s="31"/>
      <c r="O101" s="31"/>
      <c r="P101" s="33"/>
      <c r="Q101" s="31"/>
      <c r="R101" s="33"/>
      <c r="S101" s="28"/>
      <c r="T101" s="31"/>
      <c r="U101" s="31"/>
      <c r="V101" s="30"/>
      <c r="W101" s="31"/>
      <c r="X101" s="31"/>
      <c r="Y101" s="31"/>
      <c r="Z101" s="31"/>
      <c r="AA101" s="31"/>
      <c r="AB101" s="31"/>
    </row>
    <row r="102" ht="15.75" customHeight="1">
      <c r="A102" s="31"/>
      <c r="B102" s="31"/>
      <c r="C102" s="31"/>
      <c r="D102" s="31"/>
      <c r="E102" s="31"/>
      <c r="F102" s="31"/>
      <c r="G102" s="32"/>
      <c r="H102" s="32"/>
      <c r="I102" s="24"/>
      <c r="J102" s="24"/>
      <c r="K102" s="31"/>
      <c r="L102" s="31"/>
      <c r="M102" s="31"/>
      <c r="N102" s="31"/>
      <c r="O102" s="31"/>
      <c r="P102" s="33"/>
      <c r="Q102" s="31"/>
      <c r="R102" s="33"/>
      <c r="S102" s="28"/>
      <c r="T102" s="31"/>
      <c r="U102" s="31"/>
      <c r="V102" s="30"/>
      <c r="W102" s="31"/>
      <c r="X102" s="31"/>
      <c r="Y102" s="31"/>
      <c r="Z102" s="31"/>
      <c r="AA102" s="31"/>
      <c r="AB102" s="31"/>
    </row>
    <row r="103" ht="15.75" customHeight="1">
      <c r="A103" s="31"/>
      <c r="B103" s="31"/>
      <c r="C103" s="31"/>
      <c r="D103" s="31"/>
      <c r="E103" s="31"/>
      <c r="F103" s="31"/>
      <c r="G103" s="32"/>
      <c r="H103" s="32"/>
      <c r="I103" s="24"/>
      <c r="J103" s="24"/>
      <c r="K103" s="31"/>
      <c r="L103" s="31"/>
      <c r="M103" s="31"/>
      <c r="N103" s="31"/>
      <c r="O103" s="31"/>
      <c r="P103" s="33"/>
      <c r="Q103" s="31"/>
      <c r="R103" s="33"/>
      <c r="S103" s="28"/>
      <c r="T103" s="31"/>
      <c r="U103" s="31"/>
      <c r="V103" s="30"/>
      <c r="W103" s="31"/>
      <c r="X103" s="31"/>
      <c r="Y103" s="31"/>
      <c r="Z103" s="31"/>
      <c r="AA103" s="31"/>
      <c r="AB103" s="31"/>
    </row>
    <row r="104" ht="15.75" customHeight="1">
      <c r="A104" s="31"/>
      <c r="B104" s="31"/>
      <c r="C104" s="31"/>
      <c r="D104" s="31"/>
      <c r="E104" s="31"/>
      <c r="F104" s="31"/>
      <c r="G104" s="32"/>
      <c r="H104" s="32"/>
      <c r="I104" s="24"/>
      <c r="J104" s="24"/>
      <c r="K104" s="31"/>
      <c r="L104" s="31"/>
      <c r="M104" s="31"/>
      <c r="N104" s="31"/>
      <c r="O104" s="31"/>
      <c r="P104" s="33"/>
      <c r="Q104" s="31"/>
      <c r="R104" s="33"/>
      <c r="S104" s="28"/>
      <c r="T104" s="31"/>
      <c r="U104" s="31"/>
      <c r="V104" s="30"/>
      <c r="W104" s="31"/>
      <c r="X104" s="31"/>
      <c r="Y104" s="31"/>
      <c r="Z104" s="31"/>
      <c r="AA104" s="31"/>
      <c r="AB104" s="31"/>
    </row>
    <row r="105" ht="15.75" customHeight="1">
      <c r="A105" s="31"/>
      <c r="B105" s="31"/>
      <c r="C105" s="31"/>
      <c r="D105" s="31"/>
      <c r="E105" s="31"/>
      <c r="F105" s="31"/>
      <c r="G105" s="32"/>
      <c r="H105" s="32"/>
      <c r="I105" s="24"/>
      <c r="J105" s="24"/>
      <c r="K105" s="31"/>
      <c r="L105" s="31"/>
      <c r="M105" s="31"/>
      <c r="N105" s="31"/>
      <c r="O105" s="31"/>
      <c r="P105" s="33"/>
      <c r="Q105" s="31"/>
      <c r="R105" s="33"/>
      <c r="S105" s="28"/>
      <c r="T105" s="31"/>
      <c r="U105" s="31"/>
      <c r="V105" s="30"/>
      <c r="W105" s="31"/>
      <c r="X105" s="31"/>
      <c r="Y105" s="31"/>
      <c r="Z105" s="31"/>
      <c r="AA105" s="31"/>
      <c r="AB105" s="31"/>
    </row>
    <row r="106" ht="15.75" customHeight="1">
      <c r="A106" s="31"/>
      <c r="B106" s="31"/>
      <c r="C106" s="31"/>
      <c r="D106" s="31"/>
      <c r="E106" s="31"/>
      <c r="F106" s="31"/>
      <c r="G106" s="32"/>
      <c r="H106" s="32"/>
      <c r="I106" s="24"/>
      <c r="J106" s="24"/>
      <c r="K106" s="31"/>
      <c r="L106" s="31"/>
      <c r="M106" s="31"/>
      <c r="N106" s="31"/>
      <c r="O106" s="31"/>
      <c r="P106" s="33"/>
      <c r="Q106" s="31"/>
      <c r="R106" s="33"/>
      <c r="S106" s="28"/>
      <c r="T106" s="31"/>
      <c r="U106" s="31"/>
      <c r="V106" s="30"/>
      <c r="W106" s="31"/>
      <c r="X106" s="31"/>
      <c r="Y106" s="31"/>
      <c r="Z106" s="31"/>
      <c r="AA106" s="31"/>
      <c r="AB106" s="31"/>
    </row>
    <row r="107" ht="15.75" customHeight="1">
      <c r="A107" s="31"/>
      <c r="B107" s="31"/>
      <c r="C107" s="31"/>
      <c r="D107" s="31"/>
      <c r="E107" s="31"/>
      <c r="F107" s="31"/>
      <c r="G107" s="32"/>
      <c r="H107" s="32"/>
      <c r="I107" s="24"/>
      <c r="J107" s="24"/>
      <c r="K107" s="31"/>
      <c r="L107" s="31"/>
      <c r="M107" s="31"/>
      <c r="N107" s="31"/>
      <c r="O107" s="31"/>
      <c r="P107" s="33"/>
      <c r="Q107" s="31"/>
      <c r="R107" s="33"/>
      <c r="S107" s="28"/>
      <c r="T107" s="31"/>
      <c r="U107" s="31"/>
      <c r="V107" s="30"/>
      <c r="W107" s="31"/>
      <c r="X107" s="31"/>
      <c r="Y107" s="31"/>
      <c r="Z107" s="31"/>
      <c r="AA107" s="31"/>
      <c r="AB107" s="31"/>
    </row>
    <row r="108" ht="15.75" customHeight="1">
      <c r="A108" s="31"/>
      <c r="B108" s="31"/>
      <c r="C108" s="31"/>
      <c r="D108" s="31"/>
      <c r="E108" s="31"/>
      <c r="F108" s="31"/>
      <c r="G108" s="32"/>
      <c r="H108" s="32"/>
      <c r="I108" s="24"/>
      <c r="J108" s="24"/>
      <c r="K108" s="31"/>
      <c r="L108" s="31"/>
      <c r="M108" s="31"/>
      <c r="N108" s="31"/>
      <c r="O108" s="31"/>
      <c r="P108" s="33"/>
      <c r="Q108" s="31"/>
      <c r="R108" s="33"/>
      <c r="S108" s="28"/>
      <c r="T108" s="31"/>
      <c r="U108" s="31"/>
      <c r="V108" s="30"/>
      <c r="W108" s="31"/>
      <c r="X108" s="31"/>
      <c r="Y108" s="31"/>
      <c r="Z108" s="31"/>
      <c r="AA108" s="31"/>
      <c r="AB108" s="31"/>
    </row>
    <row r="109" ht="15.75" customHeight="1">
      <c r="A109" s="31"/>
      <c r="B109" s="31"/>
      <c r="C109" s="31"/>
      <c r="D109" s="31"/>
      <c r="E109" s="31"/>
      <c r="F109" s="31"/>
      <c r="G109" s="32"/>
      <c r="H109" s="32"/>
      <c r="I109" s="24"/>
      <c r="J109" s="24"/>
      <c r="K109" s="31"/>
      <c r="L109" s="31"/>
      <c r="M109" s="31"/>
      <c r="N109" s="31"/>
      <c r="O109" s="31"/>
      <c r="P109" s="33"/>
      <c r="Q109" s="31"/>
      <c r="R109" s="33"/>
      <c r="S109" s="28"/>
      <c r="T109" s="31"/>
      <c r="U109" s="31"/>
      <c r="V109" s="30"/>
      <c r="W109" s="31"/>
      <c r="X109" s="31"/>
      <c r="Y109" s="31"/>
      <c r="Z109" s="31"/>
      <c r="AA109" s="31"/>
      <c r="AB109" s="31"/>
    </row>
    <row r="110" ht="15.75" customHeight="1">
      <c r="A110" s="31"/>
      <c r="B110" s="31"/>
      <c r="C110" s="31"/>
      <c r="D110" s="31"/>
      <c r="E110" s="31"/>
      <c r="F110" s="31"/>
      <c r="G110" s="32"/>
      <c r="H110" s="32"/>
      <c r="I110" s="24"/>
      <c r="J110" s="24"/>
      <c r="K110" s="31"/>
      <c r="L110" s="31"/>
      <c r="M110" s="31"/>
      <c r="N110" s="31"/>
      <c r="O110" s="31"/>
      <c r="P110" s="33"/>
      <c r="Q110" s="31"/>
      <c r="R110" s="33"/>
      <c r="S110" s="28"/>
      <c r="T110" s="31"/>
      <c r="U110" s="31"/>
      <c r="V110" s="30"/>
      <c r="W110" s="31"/>
      <c r="X110" s="31"/>
      <c r="Y110" s="31"/>
      <c r="Z110" s="31"/>
      <c r="AA110" s="31"/>
      <c r="AB110" s="31"/>
    </row>
    <row r="111" ht="15.75" customHeight="1">
      <c r="A111" s="31"/>
      <c r="B111" s="31"/>
      <c r="C111" s="31"/>
      <c r="D111" s="31"/>
      <c r="E111" s="31"/>
      <c r="F111" s="31"/>
      <c r="G111" s="32"/>
      <c r="H111" s="32"/>
      <c r="I111" s="24"/>
      <c r="J111" s="24"/>
      <c r="K111" s="31"/>
      <c r="L111" s="31"/>
      <c r="M111" s="31"/>
      <c r="N111" s="31"/>
      <c r="O111" s="31"/>
      <c r="P111" s="33"/>
      <c r="Q111" s="31"/>
      <c r="R111" s="33"/>
      <c r="S111" s="28"/>
      <c r="T111" s="31"/>
      <c r="U111" s="31"/>
      <c r="V111" s="30"/>
      <c r="W111" s="31"/>
      <c r="X111" s="31"/>
      <c r="Y111" s="31"/>
      <c r="Z111" s="31"/>
      <c r="AA111" s="31"/>
      <c r="AB111" s="31"/>
    </row>
    <row r="112" ht="15.75" customHeight="1">
      <c r="A112" s="31"/>
      <c r="B112" s="31"/>
      <c r="C112" s="31"/>
      <c r="D112" s="31"/>
      <c r="E112" s="31"/>
      <c r="F112" s="31"/>
      <c r="G112" s="32"/>
      <c r="H112" s="32"/>
      <c r="I112" s="24"/>
      <c r="J112" s="24"/>
      <c r="K112" s="31"/>
      <c r="L112" s="31"/>
      <c r="M112" s="31"/>
      <c r="N112" s="31"/>
      <c r="O112" s="31"/>
      <c r="P112" s="33"/>
      <c r="Q112" s="31"/>
      <c r="R112" s="33"/>
      <c r="S112" s="28"/>
      <c r="T112" s="31"/>
      <c r="U112" s="31"/>
      <c r="V112" s="30"/>
      <c r="W112" s="31"/>
      <c r="X112" s="31"/>
      <c r="Y112" s="31"/>
      <c r="Z112" s="31"/>
      <c r="AA112" s="31"/>
      <c r="AB112" s="31"/>
    </row>
    <row r="113" ht="15.75" customHeight="1">
      <c r="A113" s="31"/>
      <c r="B113" s="31"/>
      <c r="C113" s="31"/>
      <c r="D113" s="31"/>
      <c r="E113" s="31"/>
      <c r="F113" s="31"/>
      <c r="G113" s="32"/>
      <c r="H113" s="32"/>
      <c r="I113" s="24"/>
      <c r="J113" s="24"/>
      <c r="K113" s="31"/>
      <c r="L113" s="31"/>
      <c r="M113" s="31"/>
      <c r="N113" s="31"/>
      <c r="O113" s="31"/>
      <c r="P113" s="33"/>
      <c r="Q113" s="31"/>
      <c r="R113" s="33"/>
      <c r="S113" s="28"/>
      <c r="T113" s="31"/>
      <c r="U113" s="31"/>
      <c r="V113" s="30"/>
      <c r="W113" s="31"/>
      <c r="X113" s="31"/>
      <c r="Y113" s="31"/>
      <c r="Z113" s="31"/>
      <c r="AA113" s="31"/>
      <c r="AB113" s="31"/>
    </row>
    <row r="114" ht="15.75" customHeight="1">
      <c r="A114" s="31"/>
      <c r="B114" s="31"/>
      <c r="C114" s="31"/>
      <c r="D114" s="31"/>
      <c r="E114" s="31"/>
      <c r="F114" s="31"/>
      <c r="G114" s="32"/>
      <c r="H114" s="32"/>
      <c r="I114" s="24"/>
      <c r="J114" s="24"/>
      <c r="K114" s="31"/>
      <c r="L114" s="31"/>
      <c r="M114" s="31"/>
      <c r="N114" s="31"/>
      <c r="O114" s="31"/>
      <c r="P114" s="33"/>
      <c r="Q114" s="31"/>
      <c r="R114" s="33"/>
      <c r="S114" s="28"/>
      <c r="T114" s="31"/>
      <c r="U114" s="31"/>
      <c r="V114" s="30"/>
      <c r="W114" s="31"/>
      <c r="X114" s="31"/>
      <c r="Y114" s="31"/>
      <c r="Z114" s="31"/>
      <c r="AA114" s="31"/>
      <c r="AB114" s="31"/>
    </row>
    <row r="115" ht="15.75" customHeight="1">
      <c r="A115" s="31"/>
      <c r="B115" s="31"/>
      <c r="C115" s="31"/>
      <c r="D115" s="31"/>
      <c r="E115" s="31"/>
      <c r="F115" s="31"/>
      <c r="G115" s="32"/>
      <c r="H115" s="32"/>
      <c r="I115" s="24"/>
      <c r="J115" s="24"/>
      <c r="K115" s="31"/>
      <c r="L115" s="31"/>
      <c r="M115" s="31"/>
      <c r="N115" s="31"/>
      <c r="O115" s="31"/>
      <c r="P115" s="33"/>
      <c r="Q115" s="31"/>
      <c r="R115" s="33"/>
      <c r="S115" s="28"/>
      <c r="T115" s="31"/>
      <c r="U115" s="31"/>
      <c r="V115" s="30"/>
      <c r="W115" s="31"/>
      <c r="X115" s="31"/>
      <c r="Y115" s="31"/>
      <c r="Z115" s="31"/>
      <c r="AA115" s="31"/>
      <c r="AB115" s="31"/>
    </row>
    <row r="116" ht="15.75" customHeight="1">
      <c r="A116" s="31"/>
      <c r="B116" s="31"/>
      <c r="C116" s="31"/>
      <c r="D116" s="31"/>
      <c r="E116" s="31"/>
      <c r="F116" s="31"/>
      <c r="G116" s="32"/>
      <c r="H116" s="32"/>
      <c r="I116" s="24"/>
      <c r="J116" s="24"/>
      <c r="K116" s="31"/>
      <c r="L116" s="31"/>
      <c r="M116" s="31"/>
      <c r="N116" s="31"/>
      <c r="O116" s="31"/>
      <c r="P116" s="33"/>
      <c r="Q116" s="31"/>
      <c r="R116" s="33"/>
      <c r="S116" s="28"/>
      <c r="T116" s="31"/>
      <c r="U116" s="31"/>
      <c r="V116" s="30"/>
      <c r="W116" s="31"/>
      <c r="X116" s="31"/>
      <c r="Y116" s="31"/>
      <c r="Z116" s="31"/>
      <c r="AA116" s="31"/>
      <c r="AB116" s="31"/>
    </row>
    <row r="117" ht="15.75" customHeight="1">
      <c r="A117" s="31"/>
      <c r="B117" s="31"/>
      <c r="C117" s="31"/>
      <c r="D117" s="31"/>
      <c r="E117" s="31"/>
      <c r="F117" s="31"/>
      <c r="G117" s="32"/>
      <c r="H117" s="32"/>
      <c r="I117" s="24"/>
      <c r="J117" s="24"/>
      <c r="K117" s="31"/>
      <c r="L117" s="31"/>
      <c r="M117" s="31"/>
      <c r="N117" s="31"/>
      <c r="O117" s="31"/>
      <c r="P117" s="33"/>
      <c r="Q117" s="31"/>
      <c r="R117" s="33"/>
      <c r="S117" s="28"/>
      <c r="T117" s="31"/>
      <c r="U117" s="31"/>
      <c r="V117" s="30"/>
      <c r="W117" s="31"/>
      <c r="X117" s="31"/>
      <c r="Y117" s="31"/>
      <c r="Z117" s="31"/>
      <c r="AA117" s="31"/>
      <c r="AB117" s="31"/>
    </row>
    <row r="118" ht="15.75" customHeight="1">
      <c r="A118" s="31"/>
      <c r="B118" s="31"/>
      <c r="C118" s="31"/>
      <c r="D118" s="31"/>
      <c r="E118" s="31"/>
      <c r="F118" s="31"/>
      <c r="G118" s="32"/>
      <c r="H118" s="32"/>
      <c r="I118" s="24"/>
      <c r="J118" s="24"/>
      <c r="K118" s="31"/>
      <c r="L118" s="31"/>
      <c r="M118" s="31"/>
      <c r="N118" s="31"/>
      <c r="O118" s="31"/>
      <c r="P118" s="33"/>
      <c r="Q118" s="31"/>
      <c r="R118" s="33"/>
      <c r="S118" s="28"/>
      <c r="T118" s="31"/>
      <c r="U118" s="31"/>
      <c r="V118" s="30"/>
      <c r="W118" s="31"/>
      <c r="X118" s="31"/>
      <c r="Y118" s="31"/>
      <c r="Z118" s="31"/>
      <c r="AA118" s="31"/>
      <c r="AB118" s="31"/>
    </row>
    <row r="119" ht="15.75" customHeight="1">
      <c r="A119" s="31"/>
      <c r="B119" s="31"/>
      <c r="C119" s="31"/>
      <c r="D119" s="31"/>
      <c r="E119" s="31"/>
      <c r="F119" s="31"/>
      <c r="G119" s="32"/>
      <c r="H119" s="32"/>
      <c r="I119" s="24"/>
      <c r="J119" s="24"/>
      <c r="K119" s="31"/>
      <c r="L119" s="31"/>
      <c r="M119" s="31"/>
      <c r="N119" s="31"/>
      <c r="O119" s="31"/>
      <c r="P119" s="33"/>
      <c r="Q119" s="31"/>
      <c r="R119" s="33"/>
      <c r="S119" s="28"/>
      <c r="T119" s="31"/>
      <c r="U119" s="31"/>
      <c r="V119" s="30"/>
      <c r="W119" s="31"/>
      <c r="X119" s="31"/>
      <c r="Y119" s="31"/>
      <c r="Z119" s="31"/>
      <c r="AA119" s="31"/>
      <c r="AB119" s="31"/>
    </row>
    <row r="120" ht="15.75" customHeight="1">
      <c r="A120" s="31"/>
      <c r="B120" s="31"/>
      <c r="C120" s="31"/>
      <c r="D120" s="31"/>
      <c r="E120" s="31"/>
      <c r="F120" s="31"/>
      <c r="G120" s="32"/>
      <c r="H120" s="32"/>
      <c r="I120" s="24"/>
      <c r="J120" s="24"/>
      <c r="K120" s="31"/>
      <c r="L120" s="31"/>
      <c r="M120" s="31"/>
      <c r="N120" s="31"/>
      <c r="O120" s="31"/>
      <c r="P120" s="33"/>
      <c r="Q120" s="31"/>
      <c r="R120" s="33"/>
      <c r="S120" s="28"/>
      <c r="T120" s="31"/>
      <c r="U120" s="31"/>
      <c r="V120" s="30"/>
      <c r="W120" s="31"/>
      <c r="X120" s="31"/>
      <c r="Y120" s="31"/>
      <c r="Z120" s="31"/>
      <c r="AA120" s="31"/>
      <c r="AB120" s="31"/>
    </row>
    <row r="121" ht="15.75" customHeight="1">
      <c r="A121" s="31"/>
      <c r="B121" s="31"/>
      <c r="C121" s="31"/>
      <c r="D121" s="31"/>
      <c r="E121" s="31"/>
      <c r="F121" s="31"/>
      <c r="G121" s="32"/>
      <c r="H121" s="32"/>
      <c r="I121" s="24"/>
      <c r="J121" s="24"/>
      <c r="K121" s="31"/>
      <c r="L121" s="31"/>
      <c r="M121" s="31"/>
      <c r="N121" s="31"/>
      <c r="O121" s="31"/>
      <c r="P121" s="33"/>
      <c r="Q121" s="31"/>
      <c r="R121" s="33"/>
      <c r="S121" s="28"/>
      <c r="T121" s="31"/>
      <c r="U121" s="31"/>
      <c r="V121" s="30"/>
      <c r="W121" s="31"/>
      <c r="X121" s="31"/>
      <c r="Y121" s="31"/>
      <c r="Z121" s="31"/>
      <c r="AA121" s="31"/>
      <c r="AB121" s="31"/>
    </row>
    <row r="122" ht="15.75" customHeight="1">
      <c r="A122" s="31"/>
      <c r="B122" s="31"/>
      <c r="C122" s="31"/>
      <c r="D122" s="31"/>
      <c r="E122" s="31"/>
      <c r="F122" s="31"/>
      <c r="G122" s="32"/>
      <c r="H122" s="32"/>
      <c r="I122" s="24"/>
      <c r="J122" s="24"/>
      <c r="K122" s="31"/>
      <c r="L122" s="31"/>
      <c r="M122" s="31"/>
      <c r="N122" s="31"/>
      <c r="O122" s="31"/>
      <c r="P122" s="33"/>
      <c r="Q122" s="31"/>
      <c r="R122" s="33"/>
      <c r="S122" s="28"/>
      <c r="T122" s="31"/>
      <c r="U122" s="31"/>
      <c r="V122" s="30"/>
      <c r="W122" s="31"/>
      <c r="X122" s="31"/>
      <c r="Y122" s="31"/>
      <c r="Z122" s="31"/>
      <c r="AA122" s="31"/>
      <c r="AB122" s="31"/>
    </row>
    <row r="123" ht="15.75" customHeight="1">
      <c r="A123" s="31"/>
      <c r="B123" s="31"/>
      <c r="C123" s="31"/>
      <c r="D123" s="31"/>
      <c r="E123" s="31"/>
      <c r="F123" s="31"/>
      <c r="G123" s="32"/>
      <c r="H123" s="32"/>
      <c r="I123" s="24"/>
      <c r="J123" s="24"/>
      <c r="K123" s="31"/>
      <c r="L123" s="31"/>
      <c r="M123" s="31"/>
      <c r="N123" s="31"/>
      <c r="O123" s="31"/>
      <c r="P123" s="33"/>
      <c r="Q123" s="31"/>
      <c r="R123" s="33"/>
      <c r="S123" s="28"/>
      <c r="T123" s="31"/>
      <c r="U123" s="31"/>
      <c r="V123" s="30"/>
      <c r="W123" s="31"/>
      <c r="X123" s="31"/>
      <c r="Y123" s="31"/>
      <c r="Z123" s="31"/>
      <c r="AA123" s="31"/>
      <c r="AB123" s="31"/>
    </row>
    <row r="124" ht="15.75" customHeight="1">
      <c r="A124" s="31"/>
      <c r="B124" s="31"/>
      <c r="C124" s="31"/>
      <c r="D124" s="31"/>
      <c r="E124" s="31"/>
      <c r="F124" s="31"/>
      <c r="G124" s="32"/>
      <c r="H124" s="32"/>
      <c r="I124" s="24"/>
      <c r="J124" s="24"/>
      <c r="K124" s="31"/>
      <c r="L124" s="31"/>
      <c r="M124" s="31"/>
      <c r="N124" s="31"/>
      <c r="O124" s="31"/>
      <c r="P124" s="33"/>
      <c r="Q124" s="31"/>
      <c r="R124" s="33"/>
      <c r="S124" s="28"/>
      <c r="T124" s="31"/>
      <c r="U124" s="31"/>
      <c r="V124" s="30"/>
      <c r="W124" s="31"/>
      <c r="X124" s="31"/>
      <c r="Y124" s="31"/>
      <c r="Z124" s="31"/>
      <c r="AA124" s="31"/>
      <c r="AB124" s="31"/>
    </row>
    <row r="125" ht="15.75" customHeight="1">
      <c r="A125" s="31"/>
      <c r="B125" s="31"/>
      <c r="C125" s="31"/>
      <c r="D125" s="31"/>
      <c r="E125" s="31"/>
      <c r="F125" s="31"/>
      <c r="G125" s="32"/>
      <c r="H125" s="32"/>
      <c r="I125" s="24"/>
      <c r="J125" s="24"/>
      <c r="K125" s="31"/>
      <c r="L125" s="31"/>
      <c r="M125" s="31"/>
      <c r="N125" s="31"/>
      <c r="O125" s="31"/>
      <c r="P125" s="33"/>
      <c r="Q125" s="31"/>
      <c r="R125" s="33"/>
      <c r="S125" s="28"/>
      <c r="T125" s="31"/>
      <c r="U125" s="31"/>
      <c r="V125" s="30"/>
      <c r="W125" s="31"/>
      <c r="X125" s="31"/>
      <c r="Y125" s="31"/>
      <c r="Z125" s="31"/>
      <c r="AA125" s="31"/>
      <c r="AB125" s="31"/>
    </row>
    <row r="126" ht="15.75" customHeight="1">
      <c r="A126" s="31"/>
      <c r="B126" s="31"/>
      <c r="C126" s="31"/>
      <c r="D126" s="31"/>
      <c r="E126" s="31"/>
      <c r="F126" s="31"/>
      <c r="G126" s="32"/>
      <c r="H126" s="32"/>
      <c r="I126" s="24"/>
      <c r="J126" s="24"/>
      <c r="K126" s="31"/>
      <c r="L126" s="31"/>
      <c r="M126" s="31"/>
      <c r="N126" s="31"/>
      <c r="O126" s="31"/>
      <c r="P126" s="33"/>
      <c r="Q126" s="31"/>
      <c r="R126" s="33"/>
      <c r="S126" s="28"/>
      <c r="T126" s="31"/>
      <c r="U126" s="31"/>
      <c r="V126" s="30"/>
      <c r="W126" s="31"/>
      <c r="X126" s="31"/>
      <c r="Y126" s="31"/>
      <c r="Z126" s="31"/>
      <c r="AA126" s="31"/>
      <c r="AB126" s="31"/>
    </row>
    <row r="127" ht="15.75" customHeight="1">
      <c r="A127" s="31"/>
      <c r="B127" s="31"/>
      <c r="C127" s="31"/>
      <c r="D127" s="31"/>
      <c r="E127" s="31"/>
      <c r="F127" s="31"/>
      <c r="G127" s="32"/>
      <c r="H127" s="32"/>
      <c r="I127" s="24"/>
      <c r="J127" s="24"/>
      <c r="K127" s="31"/>
      <c r="L127" s="31"/>
      <c r="M127" s="31"/>
      <c r="N127" s="31"/>
      <c r="O127" s="31"/>
      <c r="P127" s="33"/>
      <c r="Q127" s="31"/>
      <c r="R127" s="33"/>
      <c r="S127" s="28"/>
      <c r="T127" s="31"/>
      <c r="U127" s="31"/>
      <c r="V127" s="30"/>
      <c r="W127" s="31"/>
      <c r="X127" s="31"/>
      <c r="Y127" s="31"/>
      <c r="Z127" s="31"/>
      <c r="AA127" s="31"/>
      <c r="AB127" s="31"/>
    </row>
    <row r="128" ht="15.75" customHeight="1">
      <c r="A128" s="31"/>
      <c r="B128" s="31"/>
      <c r="C128" s="31"/>
      <c r="D128" s="31"/>
      <c r="E128" s="31"/>
      <c r="F128" s="31"/>
      <c r="G128" s="32"/>
      <c r="H128" s="32"/>
      <c r="I128" s="24"/>
      <c r="J128" s="24"/>
      <c r="K128" s="31"/>
      <c r="L128" s="31"/>
      <c r="M128" s="31"/>
      <c r="N128" s="31"/>
      <c r="O128" s="31"/>
      <c r="P128" s="33"/>
      <c r="Q128" s="31"/>
      <c r="R128" s="33"/>
      <c r="S128" s="28"/>
      <c r="T128" s="31"/>
      <c r="U128" s="31"/>
      <c r="V128" s="30"/>
      <c r="W128" s="31"/>
      <c r="X128" s="31"/>
      <c r="Y128" s="31"/>
      <c r="Z128" s="31"/>
      <c r="AA128" s="31"/>
      <c r="AB128" s="31"/>
    </row>
    <row r="129" ht="15.75" customHeight="1">
      <c r="A129" s="31"/>
      <c r="B129" s="31"/>
      <c r="C129" s="31"/>
      <c r="D129" s="31"/>
      <c r="E129" s="31"/>
      <c r="F129" s="31"/>
      <c r="G129" s="32"/>
      <c r="H129" s="32"/>
      <c r="I129" s="24"/>
      <c r="J129" s="24"/>
      <c r="K129" s="31"/>
      <c r="L129" s="31"/>
      <c r="M129" s="31"/>
      <c r="N129" s="31"/>
      <c r="O129" s="31"/>
      <c r="P129" s="33"/>
      <c r="Q129" s="31"/>
      <c r="R129" s="33"/>
      <c r="S129" s="28"/>
      <c r="T129" s="31"/>
      <c r="U129" s="31"/>
      <c r="V129" s="30"/>
      <c r="W129" s="31"/>
      <c r="X129" s="31"/>
      <c r="Y129" s="31"/>
      <c r="Z129" s="31"/>
      <c r="AA129" s="31"/>
      <c r="AB129" s="31"/>
    </row>
    <row r="130" ht="15.75" customHeight="1">
      <c r="A130" s="31"/>
      <c r="B130" s="31"/>
      <c r="C130" s="31"/>
      <c r="D130" s="31"/>
      <c r="E130" s="31"/>
      <c r="F130" s="31"/>
      <c r="G130" s="32"/>
      <c r="H130" s="32"/>
      <c r="I130" s="24"/>
      <c r="J130" s="24"/>
      <c r="K130" s="31"/>
      <c r="L130" s="31"/>
      <c r="M130" s="31"/>
      <c r="N130" s="31"/>
      <c r="O130" s="31"/>
      <c r="P130" s="33"/>
      <c r="Q130" s="31"/>
      <c r="R130" s="33"/>
      <c r="S130" s="28"/>
      <c r="T130" s="31"/>
      <c r="U130" s="31"/>
      <c r="V130" s="30"/>
      <c r="W130" s="31"/>
      <c r="X130" s="31"/>
      <c r="Y130" s="31"/>
      <c r="Z130" s="31"/>
      <c r="AA130" s="31"/>
      <c r="AB130" s="31"/>
    </row>
    <row r="131" ht="15.75" customHeight="1">
      <c r="A131" s="31"/>
      <c r="B131" s="31"/>
      <c r="C131" s="31"/>
      <c r="D131" s="31"/>
      <c r="E131" s="31"/>
      <c r="F131" s="31"/>
      <c r="G131" s="32"/>
      <c r="H131" s="32"/>
      <c r="I131" s="24"/>
      <c r="J131" s="24"/>
      <c r="K131" s="31"/>
      <c r="L131" s="31"/>
      <c r="M131" s="31"/>
      <c r="N131" s="31"/>
      <c r="O131" s="31"/>
      <c r="P131" s="33"/>
      <c r="Q131" s="31"/>
      <c r="R131" s="33"/>
      <c r="S131" s="28"/>
      <c r="T131" s="31"/>
      <c r="U131" s="31"/>
      <c r="V131" s="30"/>
      <c r="W131" s="31"/>
      <c r="X131" s="31"/>
      <c r="Y131" s="31"/>
      <c r="Z131" s="31"/>
      <c r="AA131" s="31"/>
      <c r="AB131" s="31"/>
    </row>
    <row r="132" ht="15.75" customHeight="1">
      <c r="A132" s="31"/>
      <c r="B132" s="31"/>
      <c r="C132" s="31"/>
      <c r="D132" s="31"/>
      <c r="E132" s="31"/>
      <c r="F132" s="31"/>
      <c r="G132" s="32"/>
      <c r="H132" s="32"/>
      <c r="I132" s="24"/>
      <c r="J132" s="24"/>
      <c r="K132" s="31"/>
      <c r="L132" s="31"/>
      <c r="M132" s="31"/>
      <c r="N132" s="31"/>
      <c r="O132" s="31"/>
      <c r="P132" s="33"/>
      <c r="Q132" s="31"/>
      <c r="R132" s="33"/>
      <c r="S132" s="28"/>
      <c r="T132" s="31"/>
      <c r="U132" s="31"/>
      <c r="V132" s="30"/>
      <c r="W132" s="31"/>
      <c r="X132" s="31"/>
      <c r="Y132" s="31"/>
      <c r="Z132" s="31"/>
      <c r="AA132" s="31"/>
      <c r="AB132" s="31"/>
    </row>
    <row r="133" ht="15.75" customHeight="1">
      <c r="A133" s="31"/>
      <c r="B133" s="31"/>
      <c r="C133" s="31"/>
      <c r="D133" s="31"/>
      <c r="E133" s="31"/>
      <c r="F133" s="31"/>
      <c r="G133" s="32"/>
      <c r="H133" s="32"/>
      <c r="I133" s="24"/>
      <c r="J133" s="24"/>
      <c r="K133" s="31"/>
      <c r="L133" s="31"/>
      <c r="M133" s="31"/>
      <c r="N133" s="31"/>
      <c r="O133" s="31"/>
      <c r="P133" s="33"/>
      <c r="Q133" s="31"/>
      <c r="R133" s="33"/>
      <c r="S133" s="28"/>
      <c r="T133" s="31"/>
      <c r="U133" s="31"/>
      <c r="V133" s="30"/>
      <c r="W133" s="31"/>
      <c r="X133" s="31"/>
      <c r="Y133" s="31"/>
      <c r="Z133" s="31"/>
      <c r="AA133" s="31"/>
      <c r="AB133" s="31"/>
    </row>
    <row r="134" ht="15.75" customHeight="1">
      <c r="A134" s="31"/>
      <c r="B134" s="31"/>
      <c r="C134" s="31"/>
      <c r="D134" s="31"/>
      <c r="E134" s="31"/>
      <c r="F134" s="31"/>
      <c r="G134" s="32"/>
      <c r="H134" s="32"/>
      <c r="I134" s="24"/>
      <c r="J134" s="24"/>
      <c r="K134" s="31"/>
      <c r="L134" s="31"/>
      <c r="M134" s="31"/>
      <c r="N134" s="31"/>
      <c r="O134" s="31"/>
      <c r="P134" s="33"/>
      <c r="Q134" s="31"/>
      <c r="R134" s="33"/>
      <c r="S134" s="28"/>
      <c r="T134" s="31"/>
      <c r="U134" s="31"/>
      <c r="V134" s="30"/>
      <c r="W134" s="31"/>
      <c r="X134" s="31"/>
      <c r="Y134" s="31"/>
      <c r="Z134" s="31"/>
      <c r="AA134" s="31"/>
      <c r="AB134" s="31"/>
    </row>
    <row r="135" ht="15.75" customHeight="1">
      <c r="A135" s="31"/>
      <c r="B135" s="31"/>
      <c r="C135" s="31"/>
      <c r="D135" s="31"/>
      <c r="E135" s="31"/>
      <c r="F135" s="31"/>
      <c r="G135" s="32"/>
      <c r="H135" s="32"/>
      <c r="I135" s="24"/>
      <c r="J135" s="24"/>
      <c r="K135" s="31"/>
      <c r="L135" s="31"/>
      <c r="M135" s="31"/>
      <c r="N135" s="31"/>
      <c r="O135" s="31"/>
      <c r="P135" s="33"/>
      <c r="Q135" s="31"/>
      <c r="R135" s="33"/>
      <c r="S135" s="28"/>
      <c r="T135" s="31"/>
      <c r="U135" s="31"/>
      <c r="V135" s="30"/>
      <c r="W135" s="31"/>
      <c r="X135" s="31"/>
      <c r="Y135" s="31"/>
      <c r="Z135" s="31"/>
      <c r="AA135" s="31"/>
      <c r="AB135" s="31"/>
    </row>
    <row r="136" ht="15.75" customHeight="1">
      <c r="A136" s="31"/>
      <c r="B136" s="31"/>
      <c r="C136" s="31"/>
      <c r="D136" s="31"/>
      <c r="E136" s="31"/>
      <c r="F136" s="31"/>
      <c r="G136" s="32"/>
      <c r="H136" s="32"/>
      <c r="I136" s="24"/>
      <c r="J136" s="24"/>
      <c r="K136" s="31"/>
      <c r="L136" s="31"/>
      <c r="M136" s="31"/>
      <c r="N136" s="31"/>
      <c r="O136" s="31"/>
      <c r="P136" s="33"/>
      <c r="Q136" s="31"/>
      <c r="R136" s="33"/>
      <c r="S136" s="28"/>
      <c r="T136" s="31"/>
      <c r="U136" s="31"/>
      <c r="V136" s="30"/>
      <c r="W136" s="31"/>
      <c r="X136" s="31"/>
      <c r="Y136" s="31"/>
      <c r="Z136" s="31"/>
      <c r="AA136" s="31"/>
      <c r="AB136" s="31"/>
    </row>
    <row r="137" ht="15.75" customHeight="1">
      <c r="A137" s="31"/>
      <c r="B137" s="31"/>
      <c r="C137" s="31"/>
      <c r="D137" s="31"/>
      <c r="E137" s="31"/>
      <c r="F137" s="31"/>
      <c r="G137" s="32"/>
      <c r="H137" s="32"/>
      <c r="I137" s="24"/>
      <c r="J137" s="24"/>
      <c r="K137" s="31"/>
      <c r="L137" s="31"/>
      <c r="M137" s="31"/>
      <c r="N137" s="31"/>
      <c r="O137" s="31"/>
      <c r="P137" s="33"/>
      <c r="Q137" s="31"/>
      <c r="R137" s="33"/>
      <c r="S137" s="28"/>
      <c r="T137" s="31"/>
      <c r="U137" s="31"/>
      <c r="V137" s="30"/>
      <c r="W137" s="31"/>
      <c r="X137" s="31"/>
      <c r="Y137" s="31"/>
      <c r="Z137" s="31"/>
      <c r="AA137" s="31"/>
      <c r="AB137" s="31"/>
    </row>
    <row r="138" ht="15.75" customHeight="1">
      <c r="A138" s="31"/>
      <c r="B138" s="31"/>
      <c r="C138" s="31"/>
      <c r="D138" s="31"/>
      <c r="E138" s="31"/>
      <c r="F138" s="31"/>
      <c r="G138" s="32"/>
      <c r="H138" s="32"/>
      <c r="I138" s="24"/>
      <c r="J138" s="24"/>
      <c r="K138" s="31"/>
      <c r="L138" s="31"/>
      <c r="M138" s="31"/>
      <c r="N138" s="31"/>
      <c r="O138" s="31"/>
      <c r="P138" s="33"/>
      <c r="Q138" s="31"/>
      <c r="R138" s="33"/>
      <c r="S138" s="28"/>
      <c r="T138" s="31"/>
      <c r="U138" s="31"/>
      <c r="V138" s="30"/>
      <c r="W138" s="31"/>
      <c r="X138" s="31"/>
      <c r="Y138" s="31"/>
      <c r="Z138" s="31"/>
      <c r="AA138" s="31"/>
      <c r="AB138" s="31"/>
    </row>
    <row r="139" ht="15.75" customHeight="1">
      <c r="A139" s="31"/>
      <c r="B139" s="31"/>
      <c r="C139" s="31"/>
      <c r="D139" s="31"/>
      <c r="E139" s="31"/>
      <c r="F139" s="31"/>
      <c r="G139" s="32"/>
      <c r="H139" s="32"/>
      <c r="I139" s="24"/>
      <c r="J139" s="24"/>
      <c r="K139" s="31"/>
      <c r="L139" s="31"/>
      <c r="M139" s="31"/>
      <c r="N139" s="31"/>
      <c r="O139" s="31"/>
      <c r="P139" s="33"/>
      <c r="Q139" s="31"/>
      <c r="R139" s="33"/>
      <c r="S139" s="28"/>
      <c r="T139" s="31"/>
      <c r="U139" s="31"/>
      <c r="V139" s="30"/>
      <c r="W139" s="31"/>
      <c r="X139" s="31"/>
      <c r="Y139" s="31"/>
      <c r="Z139" s="31"/>
      <c r="AA139" s="31"/>
      <c r="AB139" s="31"/>
    </row>
    <row r="140" ht="15.75" customHeight="1">
      <c r="A140" s="31"/>
      <c r="B140" s="31"/>
      <c r="C140" s="31"/>
      <c r="D140" s="31"/>
      <c r="E140" s="31"/>
      <c r="F140" s="31"/>
      <c r="G140" s="32"/>
      <c r="H140" s="32"/>
      <c r="I140" s="24"/>
      <c r="J140" s="24"/>
      <c r="K140" s="31"/>
      <c r="L140" s="31"/>
      <c r="M140" s="31"/>
      <c r="N140" s="31"/>
      <c r="O140" s="31"/>
      <c r="P140" s="33"/>
      <c r="Q140" s="31"/>
      <c r="R140" s="33"/>
      <c r="S140" s="28"/>
      <c r="T140" s="31"/>
      <c r="U140" s="31"/>
      <c r="V140" s="30"/>
      <c r="W140" s="31"/>
      <c r="X140" s="31"/>
      <c r="Y140" s="31"/>
      <c r="Z140" s="31"/>
      <c r="AA140" s="31"/>
      <c r="AB140" s="31"/>
    </row>
    <row r="141" ht="15.75" customHeight="1">
      <c r="A141" s="31"/>
      <c r="B141" s="31"/>
      <c r="C141" s="31"/>
      <c r="D141" s="31"/>
      <c r="E141" s="31"/>
      <c r="F141" s="31"/>
      <c r="G141" s="32"/>
      <c r="H141" s="32"/>
      <c r="I141" s="24"/>
      <c r="J141" s="24"/>
      <c r="K141" s="31"/>
      <c r="L141" s="31"/>
      <c r="M141" s="31"/>
      <c r="N141" s="31"/>
      <c r="O141" s="31"/>
      <c r="P141" s="33"/>
      <c r="Q141" s="31"/>
      <c r="R141" s="33"/>
      <c r="S141" s="28"/>
      <c r="T141" s="31"/>
      <c r="U141" s="31"/>
      <c r="V141" s="30"/>
      <c r="W141" s="31"/>
      <c r="X141" s="31"/>
      <c r="Y141" s="31"/>
      <c r="Z141" s="31"/>
      <c r="AA141" s="31"/>
      <c r="AB141" s="31"/>
    </row>
    <row r="142" ht="15.75" customHeight="1">
      <c r="A142" s="31"/>
      <c r="B142" s="31"/>
      <c r="C142" s="31"/>
      <c r="D142" s="31"/>
      <c r="E142" s="31"/>
      <c r="F142" s="31"/>
      <c r="G142" s="32"/>
      <c r="H142" s="32"/>
      <c r="I142" s="24"/>
      <c r="J142" s="24"/>
      <c r="K142" s="31"/>
      <c r="L142" s="31"/>
      <c r="M142" s="31"/>
      <c r="N142" s="31"/>
      <c r="O142" s="31"/>
      <c r="P142" s="33"/>
      <c r="Q142" s="31"/>
      <c r="R142" s="33"/>
      <c r="S142" s="28"/>
      <c r="T142" s="31"/>
      <c r="U142" s="31"/>
      <c r="V142" s="30"/>
      <c r="W142" s="31"/>
      <c r="X142" s="31"/>
      <c r="Y142" s="31"/>
      <c r="Z142" s="31"/>
      <c r="AA142" s="31"/>
      <c r="AB142" s="31"/>
    </row>
    <row r="143" ht="15.75" customHeight="1">
      <c r="A143" s="31"/>
      <c r="B143" s="31"/>
      <c r="C143" s="31"/>
      <c r="D143" s="31"/>
      <c r="E143" s="31"/>
      <c r="F143" s="31"/>
      <c r="G143" s="32"/>
      <c r="H143" s="32"/>
      <c r="I143" s="24"/>
      <c r="J143" s="24"/>
      <c r="K143" s="31"/>
      <c r="L143" s="31"/>
      <c r="M143" s="31"/>
      <c r="N143" s="31"/>
      <c r="O143" s="31"/>
      <c r="P143" s="33"/>
      <c r="Q143" s="31"/>
      <c r="R143" s="33"/>
      <c r="S143" s="28"/>
      <c r="T143" s="31"/>
      <c r="U143" s="31"/>
      <c r="V143" s="30"/>
      <c r="W143" s="31"/>
      <c r="X143" s="31"/>
      <c r="Y143" s="31"/>
      <c r="Z143" s="31"/>
      <c r="AA143" s="31"/>
      <c r="AB143" s="31"/>
    </row>
    <row r="144" ht="15.75" customHeight="1">
      <c r="A144" s="31"/>
      <c r="B144" s="31"/>
      <c r="C144" s="31"/>
      <c r="D144" s="31"/>
      <c r="E144" s="31"/>
      <c r="F144" s="31"/>
      <c r="G144" s="32"/>
      <c r="H144" s="32"/>
      <c r="I144" s="24"/>
      <c r="J144" s="24"/>
      <c r="K144" s="31"/>
      <c r="L144" s="31"/>
      <c r="M144" s="31"/>
      <c r="N144" s="31"/>
      <c r="O144" s="31"/>
      <c r="P144" s="33"/>
      <c r="Q144" s="31"/>
      <c r="R144" s="33"/>
      <c r="S144" s="28"/>
      <c r="T144" s="31"/>
      <c r="U144" s="31"/>
      <c r="V144" s="30"/>
      <c r="W144" s="31"/>
      <c r="X144" s="31"/>
      <c r="Y144" s="31"/>
      <c r="Z144" s="31"/>
      <c r="AA144" s="31"/>
      <c r="AB144" s="31"/>
    </row>
    <row r="145" ht="15.75" customHeight="1">
      <c r="A145" s="31"/>
      <c r="B145" s="31"/>
      <c r="C145" s="31"/>
      <c r="D145" s="31"/>
      <c r="E145" s="31"/>
      <c r="F145" s="31"/>
      <c r="G145" s="32"/>
      <c r="H145" s="32"/>
      <c r="I145" s="24"/>
      <c r="J145" s="24"/>
      <c r="K145" s="31"/>
      <c r="L145" s="31"/>
      <c r="M145" s="31"/>
      <c r="N145" s="31"/>
      <c r="O145" s="31"/>
      <c r="P145" s="33"/>
      <c r="Q145" s="31"/>
      <c r="R145" s="33"/>
      <c r="S145" s="28"/>
      <c r="T145" s="31"/>
      <c r="U145" s="31"/>
      <c r="V145" s="30"/>
      <c r="W145" s="31"/>
      <c r="X145" s="31"/>
      <c r="Y145" s="31"/>
      <c r="Z145" s="31"/>
      <c r="AA145" s="31"/>
      <c r="AB145" s="31"/>
    </row>
    <row r="146" ht="15.75" customHeight="1">
      <c r="A146" s="31"/>
      <c r="B146" s="31"/>
      <c r="C146" s="31"/>
      <c r="D146" s="31"/>
      <c r="E146" s="31"/>
      <c r="F146" s="31"/>
      <c r="G146" s="32"/>
      <c r="H146" s="32"/>
      <c r="I146" s="24"/>
      <c r="J146" s="24"/>
      <c r="K146" s="31"/>
      <c r="L146" s="31"/>
      <c r="M146" s="31"/>
      <c r="N146" s="31"/>
      <c r="O146" s="31"/>
      <c r="P146" s="33"/>
      <c r="Q146" s="31"/>
      <c r="R146" s="33"/>
      <c r="S146" s="28"/>
      <c r="T146" s="31"/>
      <c r="U146" s="31"/>
      <c r="V146" s="30"/>
      <c r="W146" s="31"/>
      <c r="X146" s="31"/>
      <c r="Y146" s="31"/>
      <c r="Z146" s="31"/>
      <c r="AA146" s="31"/>
      <c r="AB146" s="31"/>
    </row>
    <row r="147" ht="15.75" customHeight="1">
      <c r="A147" s="31"/>
      <c r="B147" s="31"/>
      <c r="C147" s="31"/>
      <c r="D147" s="31"/>
      <c r="E147" s="31"/>
      <c r="F147" s="31"/>
      <c r="G147" s="32"/>
      <c r="H147" s="32"/>
      <c r="I147" s="24"/>
      <c r="J147" s="24"/>
      <c r="K147" s="31"/>
      <c r="L147" s="31"/>
      <c r="M147" s="31"/>
      <c r="N147" s="31"/>
      <c r="O147" s="31"/>
      <c r="P147" s="33"/>
      <c r="Q147" s="31"/>
      <c r="R147" s="33"/>
      <c r="S147" s="28"/>
      <c r="T147" s="31"/>
      <c r="U147" s="31"/>
      <c r="V147" s="30"/>
      <c r="W147" s="31"/>
      <c r="X147" s="31"/>
      <c r="Y147" s="31"/>
      <c r="Z147" s="31"/>
      <c r="AA147" s="31"/>
      <c r="AB147" s="31"/>
    </row>
    <row r="148" ht="15.75" customHeight="1">
      <c r="A148" s="31"/>
      <c r="B148" s="31"/>
      <c r="C148" s="31"/>
      <c r="D148" s="31"/>
      <c r="E148" s="31"/>
      <c r="F148" s="31"/>
      <c r="G148" s="32"/>
      <c r="H148" s="32"/>
      <c r="I148" s="24"/>
      <c r="J148" s="24"/>
      <c r="K148" s="31"/>
      <c r="L148" s="31"/>
      <c r="M148" s="31"/>
      <c r="N148" s="31"/>
      <c r="O148" s="31"/>
      <c r="P148" s="33"/>
      <c r="Q148" s="31"/>
      <c r="R148" s="33"/>
      <c r="S148" s="28"/>
      <c r="T148" s="31"/>
      <c r="U148" s="31"/>
      <c r="V148" s="30"/>
      <c r="W148" s="31"/>
      <c r="X148" s="31"/>
      <c r="Y148" s="31"/>
      <c r="Z148" s="31"/>
      <c r="AA148" s="31"/>
      <c r="AB148" s="31"/>
    </row>
    <row r="149" ht="15.75" customHeight="1">
      <c r="A149" s="31"/>
      <c r="B149" s="31"/>
      <c r="C149" s="31"/>
      <c r="D149" s="31"/>
      <c r="E149" s="31"/>
      <c r="F149" s="31"/>
      <c r="G149" s="32"/>
      <c r="H149" s="32"/>
      <c r="I149" s="24"/>
      <c r="J149" s="24"/>
      <c r="K149" s="31"/>
      <c r="L149" s="31"/>
      <c r="M149" s="31"/>
      <c r="N149" s="31"/>
      <c r="O149" s="31"/>
      <c r="P149" s="33"/>
      <c r="Q149" s="31"/>
      <c r="R149" s="33"/>
      <c r="S149" s="28"/>
      <c r="T149" s="31"/>
      <c r="U149" s="31"/>
      <c r="V149" s="30"/>
      <c r="W149" s="31"/>
      <c r="X149" s="31"/>
      <c r="Y149" s="31"/>
      <c r="Z149" s="31"/>
      <c r="AA149" s="31"/>
      <c r="AB149" s="31"/>
    </row>
    <row r="150" ht="15.75" customHeight="1">
      <c r="A150" s="31"/>
      <c r="B150" s="31"/>
      <c r="C150" s="31"/>
      <c r="D150" s="31"/>
      <c r="E150" s="31"/>
      <c r="F150" s="31"/>
      <c r="G150" s="32"/>
      <c r="H150" s="32"/>
      <c r="I150" s="24"/>
      <c r="J150" s="24"/>
      <c r="K150" s="31"/>
      <c r="L150" s="31"/>
      <c r="M150" s="31"/>
      <c r="N150" s="31"/>
      <c r="O150" s="31"/>
      <c r="P150" s="33"/>
      <c r="Q150" s="31"/>
      <c r="R150" s="33"/>
      <c r="S150" s="28"/>
      <c r="T150" s="31"/>
      <c r="U150" s="31"/>
      <c r="V150" s="30"/>
      <c r="W150" s="31"/>
      <c r="X150" s="31"/>
      <c r="Y150" s="31"/>
      <c r="Z150" s="31"/>
      <c r="AA150" s="31"/>
      <c r="AB150" s="31"/>
    </row>
    <row r="151" ht="15.75" customHeight="1">
      <c r="A151" s="31"/>
      <c r="B151" s="31"/>
      <c r="C151" s="31"/>
      <c r="D151" s="31"/>
      <c r="E151" s="31"/>
      <c r="F151" s="31"/>
      <c r="G151" s="32"/>
      <c r="H151" s="32"/>
      <c r="I151" s="24"/>
      <c r="J151" s="24"/>
      <c r="K151" s="31"/>
      <c r="L151" s="31"/>
      <c r="M151" s="31"/>
      <c r="N151" s="31"/>
      <c r="O151" s="31"/>
      <c r="P151" s="33"/>
      <c r="Q151" s="31"/>
      <c r="R151" s="33"/>
      <c r="S151" s="28"/>
      <c r="T151" s="31"/>
      <c r="U151" s="31"/>
      <c r="V151" s="30"/>
      <c r="W151" s="31"/>
      <c r="X151" s="31"/>
      <c r="Y151" s="31"/>
      <c r="Z151" s="31"/>
      <c r="AA151" s="31"/>
      <c r="AB151" s="31"/>
    </row>
    <row r="152" ht="15.75" customHeight="1">
      <c r="A152" s="31"/>
      <c r="B152" s="31"/>
      <c r="C152" s="31"/>
      <c r="D152" s="31"/>
      <c r="E152" s="31"/>
      <c r="F152" s="31"/>
      <c r="G152" s="32"/>
      <c r="H152" s="32"/>
      <c r="I152" s="24"/>
      <c r="J152" s="24"/>
      <c r="K152" s="31"/>
      <c r="L152" s="31"/>
      <c r="M152" s="31"/>
      <c r="N152" s="31"/>
      <c r="O152" s="31"/>
      <c r="P152" s="33"/>
      <c r="Q152" s="31"/>
      <c r="R152" s="33"/>
      <c r="S152" s="28"/>
      <c r="T152" s="31"/>
      <c r="U152" s="31"/>
      <c r="V152" s="30"/>
      <c r="W152" s="31"/>
      <c r="X152" s="31"/>
      <c r="Y152" s="31"/>
      <c r="Z152" s="31"/>
      <c r="AA152" s="31"/>
      <c r="AB152" s="31"/>
    </row>
    <row r="153" ht="15.75" customHeight="1">
      <c r="A153" s="31"/>
      <c r="B153" s="31"/>
      <c r="C153" s="31"/>
      <c r="D153" s="31"/>
      <c r="E153" s="31"/>
      <c r="F153" s="31"/>
      <c r="G153" s="32"/>
      <c r="H153" s="32"/>
      <c r="I153" s="24"/>
      <c r="J153" s="24"/>
      <c r="K153" s="31"/>
      <c r="L153" s="31"/>
      <c r="M153" s="31"/>
      <c r="N153" s="31"/>
      <c r="O153" s="31"/>
      <c r="P153" s="33"/>
      <c r="Q153" s="31"/>
      <c r="R153" s="33"/>
      <c r="S153" s="28"/>
      <c r="T153" s="31"/>
      <c r="U153" s="31"/>
      <c r="V153" s="30"/>
      <c r="W153" s="31"/>
      <c r="X153" s="31"/>
      <c r="Y153" s="31"/>
      <c r="Z153" s="31"/>
      <c r="AA153" s="31"/>
      <c r="AB153" s="31"/>
    </row>
    <row r="154" ht="15.75" customHeight="1">
      <c r="A154" s="31"/>
      <c r="B154" s="31"/>
      <c r="C154" s="31"/>
      <c r="D154" s="31"/>
      <c r="E154" s="31"/>
      <c r="F154" s="31"/>
      <c r="G154" s="32"/>
      <c r="H154" s="32"/>
      <c r="I154" s="24"/>
      <c r="J154" s="24"/>
      <c r="K154" s="31"/>
      <c r="L154" s="31"/>
      <c r="M154" s="31"/>
      <c r="N154" s="31"/>
      <c r="O154" s="31"/>
      <c r="P154" s="33"/>
      <c r="Q154" s="31"/>
      <c r="R154" s="33"/>
      <c r="S154" s="28"/>
      <c r="T154" s="31"/>
      <c r="U154" s="31"/>
      <c r="V154" s="30"/>
      <c r="W154" s="31"/>
      <c r="X154" s="31"/>
      <c r="Y154" s="31"/>
      <c r="Z154" s="31"/>
      <c r="AA154" s="31"/>
      <c r="AB154" s="31"/>
    </row>
    <row r="155" ht="15.75" customHeight="1">
      <c r="A155" s="31"/>
      <c r="B155" s="31"/>
      <c r="C155" s="31"/>
      <c r="D155" s="31"/>
      <c r="E155" s="31"/>
      <c r="F155" s="31"/>
      <c r="G155" s="32"/>
      <c r="H155" s="32"/>
      <c r="I155" s="24"/>
      <c r="J155" s="24"/>
      <c r="K155" s="31"/>
      <c r="L155" s="31"/>
      <c r="M155" s="31"/>
      <c r="N155" s="31"/>
      <c r="O155" s="31"/>
      <c r="P155" s="33"/>
      <c r="Q155" s="31"/>
      <c r="R155" s="33"/>
      <c r="S155" s="28"/>
      <c r="T155" s="31"/>
      <c r="U155" s="31"/>
      <c r="V155" s="30"/>
      <c r="W155" s="31"/>
      <c r="X155" s="31"/>
      <c r="Y155" s="31"/>
      <c r="Z155" s="31"/>
      <c r="AA155" s="31"/>
      <c r="AB155" s="31"/>
    </row>
    <row r="156" ht="15.75" customHeight="1">
      <c r="A156" s="31"/>
      <c r="B156" s="31"/>
      <c r="C156" s="31"/>
      <c r="D156" s="31"/>
      <c r="E156" s="31"/>
      <c r="F156" s="31"/>
      <c r="G156" s="32"/>
      <c r="H156" s="32"/>
      <c r="I156" s="24"/>
      <c r="J156" s="24"/>
      <c r="K156" s="31"/>
      <c r="L156" s="31"/>
      <c r="M156" s="31"/>
      <c r="N156" s="31"/>
      <c r="O156" s="31"/>
      <c r="P156" s="33"/>
      <c r="Q156" s="31"/>
      <c r="R156" s="33"/>
      <c r="S156" s="28"/>
      <c r="T156" s="31"/>
      <c r="U156" s="31"/>
      <c r="V156" s="30"/>
      <c r="W156" s="31"/>
      <c r="X156" s="31"/>
      <c r="Y156" s="31"/>
      <c r="Z156" s="31"/>
      <c r="AA156" s="31"/>
      <c r="AB156" s="31"/>
    </row>
    <row r="157" ht="15.75" customHeight="1">
      <c r="A157" s="31"/>
      <c r="B157" s="31"/>
      <c r="C157" s="31"/>
      <c r="D157" s="31"/>
      <c r="E157" s="31"/>
      <c r="F157" s="31"/>
      <c r="G157" s="32"/>
      <c r="H157" s="32"/>
      <c r="I157" s="24"/>
      <c r="J157" s="24"/>
      <c r="K157" s="31"/>
      <c r="L157" s="31"/>
      <c r="M157" s="31"/>
      <c r="N157" s="31"/>
      <c r="O157" s="31"/>
      <c r="P157" s="33"/>
      <c r="Q157" s="31"/>
      <c r="R157" s="33"/>
      <c r="S157" s="28"/>
      <c r="T157" s="31"/>
      <c r="U157" s="31"/>
      <c r="V157" s="30"/>
      <c r="W157" s="31"/>
      <c r="X157" s="31"/>
      <c r="Y157" s="31"/>
      <c r="Z157" s="31"/>
      <c r="AA157" s="31"/>
      <c r="AB157" s="31"/>
    </row>
    <row r="158" ht="15.75" customHeight="1">
      <c r="A158" s="31"/>
      <c r="B158" s="31"/>
      <c r="C158" s="31"/>
      <c r="D158" s="31"/>
      <c r="E158" s="31"/>
      <c r="F158" s="31"/>
      <c r="G158" s="32"/>
      <c r="H158" s="32"/>
      <c r="I158" s="24"/>
      <c r="J158" s="24"/>
      <c r="K158" s="31"/>
      <c r="L158" s="31"/>
      <c r="M158" s="31"/>
      <c r="N158" s="31"/>
      <c r="O158" s="31"/>
      <c r="P158" s="33"/>
      <c r="Q158" s="31"/>
      <c r="R158" s="33"/>
      <c r="S158" s="28"/>
      <c r="T158" s="31"/>
      <c r="U158" s="31"/>
      <c r="V158" s="30"/>
      <c r="W158" s="31"/>
      <c r="X158" s="31"/>
      <c r="Y158" s="31"/>
      <c r="Z158" s="31"/>
      <c r="AA158" s="31"/>
      <c r="AB158" s="31"/>
    </row>
    <row r="159" ht="15.75" customHeight="1">
      <c r="A159" s="31"/>
      <c r="B159" s="31"/>
      <c r="C159" s="31"/>
      <c r="D159" s="31"/>
      <c r="E159" s="31"/>
      <c r="F159" s="31"/>
      <c r="G159" s="32"/>
      <c r="H159" s="32"/>
      <c r="I159" s="24"/>
      <c r="J159" s="24"/>
      <c r="K159" s="31"/>
      <c r="L159" s="31"/>
      <c r="M159" s="31"/>
      <c r="N159" s="31"/>
      <c r="O159" s="31"/>
      <c r="P159" s="33"/>
      <c r="Q159" s="31"/>
      <c r="R159" s="33"/>
      <c r="S159" s="28"/>
      <c r="T159" s="31"/>
      <c r="U159" s="31"/>
      <c r="V159" s="30"/>
      <c r="W159" s="31"/>
      <c r="X159" s="31"/>
      <c r="Y159" s="31"/>
      <c r="Z159" s="31"/>
      <c r="AA159" s="31"/>
      <c r="AB159" s="31"/>
    </row>
    <row r="160" ht="15.75" customHeight="1">
      <c r="A160" s="31"/>
      <c r="B160" s="31"/>
      <c r="C160" s="31"/>
      <c r="D160" s="31"/>
      <c r="E160" s="31"/>
      <c r="F160" s="31"/>
      <c r="G160" s="32"/>
      <c r="H160" s="32"/>
      <c r="I160" s="24"/>
      <c r="J160" s="24"/>
      <c r="K160" s="31"/>
      <c r="L160" s="31"/>
      <c r="M160" s="31"/>
      <c r="N160" s="31"/>
      <c r="O160" s="31"/>
      <c r="P160" s="33"/>
      <c r="Q160" s="31"/>
      <c r="R160" s="33"/>
      <c r="S160" s="28"/>
      <c r="T160" s="31"/>
      <c r="U160" s="31"/>
      <c r="V160" s="30"/>
      <c r="W160" s="31"/>
      <c r="X160" s="31"/>
      <c r="Y160" s="31"/>
      <c r="Z160" s="31"/>
      <c r="AA160" s="31"/>
      <c r="AB160" s="31"/>
    </row>
    <row r="161" ht="15.75" customHeight="1">
      <c r="A161" s="31"/>
      <c r="B161" s="31"/>
      <c r="C161" s="31"/>
      <c r="D161" s="31"/>
      <c r="E161" s="31"/>
      <c r="F161" s="31"/>
      <c r="G161" s="32"/>
      <c r="H161" s="32"/>
      <c r="I161" s="24"/>
      <c r="J161" s="24"/>
      <c r="K161" s="31"/>
      <c r="L161" s="31"/>
      <c r="M161" s="31"/>
      <c r="N161" s="31"/>
      <c r="O161" s="31"/>
      <c r="P161" s="33"/>
      <c r="Q161" s="31"/>
      <c r="R161" s="33"/>
      <c r="S161" s="28"/>
      <c r="T161" s="31"/>
      <c r="U161" s="31"/>
      <c r="V161" s="30"/>
      <c r="W161" s="31"/>
      <c r="X161" s="31"/>
      <c r="Y161" s="31"/>
      <c r="Z161" s="31"/>
      <c r="AA161" s="31"/>
      <c r="AB161" s="31"/>
    </row>
    <row r="162" ht="15.75" customHeight="1">
      <c r="A162" s="31"/>
      <c r="B162" s="31"/>
      <c r="C162" s="31"/>
      <c r="D162" s="31"/>
      <c r="E162" s="31"/>
      <c r="F162" s="31"/>
      <c r="G162" s="32"/>
      <c r="H162" s="32"/>
      <c r="I162" s="24"/>
      <c r="J162" s="24"/>
      <c r="K162" s="31"/>
      <c r="L162" s="31"/>
      <c r="M162" s="31"/>
      <c r="N162" s="31"/>
      <c r="O162" s="31"/>
      <c r="P162" s="33"/>
      <c r="Q162" s="31"/>
      <c r="R162" s="33"/>
      <c r="S162" s="28"/>
      <c r="T162" s="31"/>
      <c r="U162" s="31"/>
      <c r="V162" s="30"/>
      <c r="W162" s="31"/>
      <c r="X162" s="31"/>
      <c r="Y162" s="31"/>
      <c r="Z162" s="31"/>
      <c r="AA162" s="31"/>
      <c r="AB162" s="31"/>
    </row>
    <row r="163" ht="15.75" customHeight="1">
      <c r="A163" s="31"/>
      <c r="B163" s="31"/>
      <c r="C163" s="31"/>
      <c r="D163" s="31"/>
      <c r="E163" s="31"/>
      <c r="F163" s="31"/>
      <c r="G163" s="32"/>
      <c r="H163" s="32"/>
      <c r="I163" s="24"/>
      <c r="J163" s="24"/>
      <c r="K163" s="31"/>
      <c r="L163" s="31"/>
      <c r="M163" s="31"/>
      <c r="N163" s="31"/>
      <c r="O163" s="31"/>
      <c r="P163" s="33"/>
      <c r="Q163" s="31"/>
      <c r="R163" s="33"/>
      <c r="S163" s="28"/>
      <c r="T163" s="31"/>
      <c r="U163" s="31"/>
      <c r="V163" s="30"/>
      <c r="W163" s="31"/>
      <c r="X163" s="31"/>
      <c r="Y163" s="31"/>
      <c r="Z163" s="31"/>
      <c r="AA163" s="31"/>
      <c r="AB163" s="31"/>
    </row>
    <row r="164" ht="15.75" customHeight="1">
      <c r="A164" s="31"/>
      <c r="B164" s="31"/>
      <c r="C164" s="31"/>
      <c r="D164" s="31"/>
      <c r="E164" s="31"/>
      <c r="F164" s="31"/>
      <c r="G164" s="32"/>
      <c r="H164" s="32"/>
      <c r="I164" s="24"/>
      <c r="J164" s="24"/>
      <c r="K164" s="31"/>
      <c r="L164" s="31"/>
      <c r="M164" s="31"/>
      <c r="N164" s="31"/>
      <c r="O164" s="31"/>
      <c r="P164" s="33"/>
      <c r="Q164" s="31"/>
      <c r="R164" s="33"/>
      <c r="S164" s="28"/>
      <c r="T164" s="31"/>
      <c r="U164" s="31"/>
      <c r="V164" s="30"/>
      <c r="W164" s="31"/>
      <c r="X164" s="31"/>
      <c r="Y164" s="31"/>
      <c r="Z164" s="31"/>
      <c r="AA164" s="31"/>
      <c r="AB164" s="31"/>
    </row>
    <row r="165" ht="15.75" customHeight="1">
      <c r="A165" s="31"/>
      <c r="B165" s="31"/>
      <c r="C165" s="31"/>
      <c r="D165" s="31"/>
      <c r="E165" s="31"/>
      <c r="F165" s="31"/>
      <c r="G165" s="32"/>
      <c r="H165" s="32"/>
      <c r="I165" s="24"/>
      <c r="J165" s="24"/>
      <c r="K165" s="31"/>
      <c r="L165" s="31"/>
      <c r="M165" s="31"/>
      <c r="N165" s="31"/>
      <c r="O165" s="31"/>
      <c r="P165" s="33"/>
      <c r="Q165" s="31"/>
      <c r="R165" s="33"/>
      <c r="S165" s="28"/>
      <c r="T165" s="31"/>
      <c r="U165" s="31"/>
      <c r="V165" s="30"/>
      <c r="W165" s="31"/>
      <c r="X165" s="31"/>
      <c r="Y165" s="31"/>
      <c r="Z165" s="31"/>
      <c r="AA165" s="31"/>
      <c r="AB165" s="31"/>
    </row>
    <row r="166" ht="15.75" customHeight="1">
      <c r="A166" s="31"/>
      <c r="B166" s="31"/>
      <c r="C166" s="31"/>
      <c r="D166" s="31"/>
      <c r="E166" s="31"/>
      <c r="F166" s="31"/>
      <c r="G166" s="32"/>
      <c r="H166" s="32"/>
      <c r="I166" s="24"/>
      <c r="J166" s="24"/>
      <c r="K166" s="31"/>
      <c r="L166" s="31"/>
      <c r="M166" s="31"/>
      <c r="N166" s="31"/>
      <c r="O166" s="31"/>
      <c r="P166" s="33"/>
      <c r="Q166" s="31"/>
      <c r="R166" s="33"/>
      <c r="S166" s="28"/>
      <c r="T166" s="31"/>
      <c r="U166" s="31"/>
      <c r="V166" s="30"/>
      <c r="W166" s="31"/>
      <c r="X166" s="31"/>
      <c r="Y166" s="31"/>
      <c r="Z166" s="31"/>
      <c r="AA166" s="31"/>
      <c r="AB166" s="31"/>
    </row>
    <row r="167" ht="15.75" customHeight="1">
      <c r="A167" s="31"/>
      <c r="B167" s="31"/>
      <c r="C167" s="31"/>
      <c r="D167" s="31"/>
      <c r="E167" s="31"/>
      <c r="F167" s="31"/>
      <c r="G167" s="32"/>
      <c r="H167" s="32"/>
      <c r="I167" s="24"/>
      <c r="J167" s="24"/>
      <c r="K167" s="31"/>
      <c r="L167" s="31"/>
      <c r="M167" s="31"/>
      <c r="N167" s="31"/>
      <c r="O167" s="31"/>
      <c r="P167" s="33"/>
      <c r="Q167" s="31"/>
      <c r="R167" s="33"/>
      <c r="S167" s="28"/>
      <c r="T167" s="31"/>
      <c r="U167" s="31"/>
      <c r="V167" s="30"/>
      <c r="W167" s="31"/>
      <c r="X167" s="31"/>
      <c r="Y167" s="31"/>
      <c r="Z167" s="31"/>
      <c r="AA167" s="31"/>
      <c r="AB167" s="31"/>
    </row>
    <row r="168" ht="15.75" customHeight="1">
      <c r="A168" s="31"/>
      <c r="B168" s="31"/>
      <c r="C168" s="31"/>
      <c r="D168" s="31"/>
      <c r="E168" s="31"/>
      <c r="F168" s="31"/>
      <c r="G168" s="32"/>
      <c r="H168" s="32"/>
      <c r="I168" s="24"/>
      <c r="J168" s="24"/>
      <c r="K168" s="31"/>
      <c r="L168" s="31"/>
      <c r="M168" s="31"/>
      <c r="N168" s="31"/>
      <c r="O168" s="31"/>
      <c r="P168" s="33"/>
      <c r="Q168" s="31"/>
      <c r="R168" s="33"/>
      <c r="S168" s="28"/>
      <c r="T168" s="31"/>
      <c r="U168" s="31"/>
      <c r="V168" s="30"/>
      <c r="W168" s="31"/>
      <c r="X168" s="31"/>
      <c r="Y168" s="31"/>
      <c r="Z168" s="31"/>
      <c r="AA168" s="31"/>
      <c r="AB168" s="31"/>
    </row>
    <row r="169" ht="15.75" customHeight="1">
      <c r="A169" s="31"/>
      <c r="B169" s="31"/>
      <c r="C169" s="31"/>
      <c r="D169" s="31"/>
      <c r="E169" s="31"/>
      <c r="F169" s="31"/>
      <c r="G169" s="32"/>
      <c r="H169" s="32"/>
      <c r="I169" s="24"/>
      <c r="J169" s="24"/>
      <c r="K169" s="31"/>
      <c r="L169" s="31"/>
      <c r="M169" s="31"/>
      <c r="N169" s="31"/>
      <c r="O169" s="31"/>
      <c r="P169" s="33"/>
      <c r="Q169" s="31"/>
      <c r="R169" s="33"/>
      <c r="S169" s="28"/>
      <c r="T169" s="31"/>
      <c r="U169" s="31"/>
      <c r="V169" s="30"/>
      <c r="W169" s="31"/>
      <c r="X169" s="31"/>
      <c r="Y169" s="31"/>
      <c r="Z169" s="31"/>
      <c r="AA169" s="31"/>
      <c r="AB169" s="31"/>
    </row>
    <row r="170" ht="15.75" customHeight="1">
      <c r="A170" s="31"/>
      <c r="B170" s="31"/>
      <c r="C170" s="31"/>
      <c r="D170" s="31"/>
      <c r="E170" s="31"/>
      <c r="F170" s="31"/>
      <c r="G170" s="32"/>
      <c r="H170" s="32"/>
      <c r="I170" s="24"/>
      <c r="J170" s="24"/>
      <c r="K170" s="31"/>
      <c r="L170" s="31"/>
      <c r="M170" s="31"/>
      <c r="N170" s="31"/>
      <c r="O170" s="31"/>
      <c r="P170" s="33"/>
      <c r="Q170" s="31"/>
      <c r="R170" s="33"/>
      <c r="S170" s="28"/>
      <c r="T170" s="31"/>
      <c r="U170" s="31"/>
      <c r="V170" s="30"/>
      <c r="W170" s="31"/>
      <c r="X170" s="31"/>
      <c r="Y170" s="31"/>
      <c r="Z170" s="31"/>
      <c r="AA170" s="31"/>
      <c r="AB170" s="31"/>
    </row>
    <row r="171" ht="15.75" customHeight="1">
      <c r="A171" s="31"/>
      <c r="B171" s="31"/>
      <c r="C171" s="31"/>
      <c r="D171" s="31"/>
      <c r="E171" s="31"/>
      <c r="F171" s="31"/>
      <c r="G171" s="32"/>
      <c r="H171" s="32"/>
      <c r="I171" s="24"/>
      <c r="J171" s="24"/>
      <c r="K171" s="31"/>
      <c r="L171" s="31"/>
      <c r="M171" s="31"/>
      <c r="N171" s="31"/>
      <c r="O171" s="31"/>
      <c r="P171" s="33"/>
      <c r="Q171" s="31"/>
      <c r="R171" s="33"/>
      <c r="S171" s="28"/>
      <c r="T171" s="31"/>
      <c r="U171" s="31"/>
      <c r="V171" s="30"/>
      <c r="W171" s="31"/>
      <c r="X171" s="31"/>
      <c r="Y171" s="31"/>
      <c r="Z171" s="31"/>
      <c r="AA171" s="31"/>
      <c r="AB171" s="31"/>
    </row>
    <row r="172" ht="15.75" customHeight="1">
      <c r="A172" s="31"/>
      <c r="B172" s="31"/>
      <c r="C172" s="31"/>
      <c r="D172" s="31"/>
      <c r="E172" s="31"/>
      <c r="F172" s="31"/>
      <c r="G172" s="32"/>
      <c r="H172" s="32"/>
      <c r="I172" s="24"/>
      <c r="J172" s="24"/>
      <c r="K172" s="31"/>
      <c r="L172" s="31"/>
      <c r="M172" s="31"/>
      <c r="N172" s="31"/>
      <c r="O172" s="31"/>
      <c r="P172" s="33"/>
      <c r="Q172" s="31"/>
      <c r="R172" s="33"/>
      <c r="S172" s="28"/>
      <c r="T172" s="31"/>
      <c r="U172" s="31"/>
      <c r="V172" s="30"/>
      <c r="W172" s="31"/>
      <c r="X172" s="31"/>
      <c r="Y172" s="31"/>
      <c r="Z172" s="31"/>
      <c r="AA172" s="31"/>
      <c r="AB172" s="31"/>
    </row>
    <row r="173" ht="15.75" customHeight="1">
      <c r="A173" s="31"/>
      <c r="B173" s="31"/>
      <c r="C173" s="31"/>
      <c r="D173" s="31"/>
      <c r="E173" s="31"/>
      <c r="F173" s="31"/>
      <c r="G173" s="32"/>
      <c r="H173" s="32"/>
      <c r="I173" s="24"/>
      <c r="J173" s="24"/>
      <c r="K173" s="31"/>
      <c r="L173" s="31"/>
      <c r="M173" s="31"/>
      <c r="N173" s="31"/>
      <c r="O173" s="31"/>
      <c r="P173" s="33"/>
      <c r="Q173" s="31"/>
      <c r="R173" s="33"/>
      <c r="S173" s="28"/>
      <c r="T173" s="31"/>
      <c r="U173" s="31"/>
      <c r="V173" s="30"/>
      <c r="W173" s="31"/>
      <c r="X173" s="31"/>
      <c r="Y173" s="31"/>
      <c r="Z173" s="31"/>
      <c r="AA173" s="31"/>
      <c r="AB173" s="31"/>
    </row>
    <row r="174" ht="15.75" customHeight="1">
      <c r="A174" s="31"/>
      <c r="B174" s="31"/>
      <c r="C174" s="31"/>
      <c r="D174" s="31"/>
      <c r="E174" s="31"/>
      <c r="F174" s="31"/>
      <c r="G174" s="32"/>
      <c r="H174" s="32"/>
      <c r="I174" s="24"/>
      <c r="J174" s="24"/>
      <c r="K174" s="31"/>
      <c r="L174" s="31"/>
      <c r="M174" s="31"/>
      <c r="N174" s="31"/>
      <c r="O174" s="31"/>
      <c r="P174" s="33"/>
      <c r="Q174" s="31"/>
      <c r="R174" s="33"/>
      <c r="S174" s="28"/>
      <c r="T174" s="31"/>
      <c r="U174" s="31"/>
      <c r="V174" s="30"/>
      <c r="W174" s="31"/>
      <c r="X174" s="31"/>
      <c r="Y174" s="31"/>
      <c r="Z174" s="31"/>
      <c r="AA174" s="31"/>
      <c r="AB174" s="31"/>
    </row>
    <row r="175" ht="15.75" customHeight="1">
      <c r="A175" s="31"/>
      <c r="B175" s="31"/>
      <c r="C175" s="31"/>
      <c r="D175" s="31"/>
      <c r="E175" s="31"/>
      <c r="F175" s="31"/>
      <c r="G175" s="32"/>
      <c r="H175" s="32"/>
      <c r="I175" s="24"/>
      <c r="J175" s="24"/>
      <c r="K175" s="31"/>
      <c r="L175" s="31"/>
      <c r="M175" s="31"/>
      <c r="N175" s="31"/>
      <c r="O175" s="31"/>
      <c r="P175" s="33"/>
      <c r="Q175" s="31"/>
      <c r="R175" s="33"/>
      <c r="S175" s="28"/>
      <c r="T175" s="31"/>
      <c r="U175" s="31"/>
      <c r="V175" s="30"/>
      <c r="W175" s="31"/>
      <c r="X175" s="31"/>
      <c r="Y175" s="31"/>
      <c r="Z175" s="31"/>
      <c r="AA175" s="31"/>
      <c r="AB175" s="31"/>
    </row>
    <row r="176" ht="15.75" customHeight="1">
      <c r="A176" s="31"/>
      <c r="B176" s="31"/>
      <c r="C176" s="31"/>
      <c r="D176" s="31"/>
      <c r="E176" s="31"/>
      <c r="F176" s="31"/>
      <c r="G176" s="32"/>
      <c r="H176" s="32"/>
      <c r="I176" s="24"/>
      <c r="J176" s="24"/>
      <c r="K176" s="31"/>
      <c r="L176" s="31"/>
      <c r="M176" s="31"/>
      <c r="N176" s="31"/>
      <c r="O176" s="31"/>
      <c r="P176" s="33"/>
      <c r="Q176" s="31"/>
      <c r="R176" s="33"/>
      <c r="S176" s="28"/>
      <c r="T176" s="31"/>
      <c r="U176" s="31"/>
      <c r="V176" s="30"/>
      <c r="W176" s="31"/>
      <c r="X176" s="31"/>
      <c r="Y176" s="31"/>
      <c r="Z176" s="31"/>
      <c r="AA176" s="31"/>
      <c r="AB176" s="31"/>
    </row>
    <row r="177" ht="15.75" customHeight="1">
      <c r="A177" s="31"/>
      <c r="B177" s="31"/>
      <c r="C177" s="31"/>
      <c r="D177" s="31"/>
      <c r="E177" s="31"/>
      <c r="F177" s="31"/>
      <c r="G177" s="32"/>
      <c r="H177" s="32"/>
      <c r="I177" s="24"/>
      <c r="J177" s="24"/>
      <c r="K177" s="31"/>
      <c r="L177" s="31"/>
      <c r="M177" s="31"/>
      <c r="N177" s="31"/>
      <c r="O177" s="31"/>
      <c r="P177" s="33"/>
      <c r="Q177" s="31"/>
      <c r="R177" s="33"/>
      <c r="S177" s="28"/>
      <c r="T177" s="31"/>
      <c r="U177" s="31"/>
      <c r="V177" s="30"/>
      <c r="W177" s="31"/>
      <c r="X177" s="31"/>
      <c r="Y177" s="31"/>
      <c r="Z177" s="31"/>
      <c r="AA177" s="31"/>
      <c r="AB177" s="31"/>
    </row>
    <row r="178" ht="15.75" customHeight="1">
      <c r="A178" s="31"/>
      <c r="B178" s="31"/>
      <c r="C178" s="31"/>
      <c r="D178" s="31"/>
      <c r="E178" s="31"/>
      <c r="F178" s="31"/>
      <c r="G178" s="32"/>
      <c r="H178" s="32"/>
      <c r="I178" s="24"/>
      <c r="J178" s="24"/>
      <c r="K178" s="31"/>
      <c r="L178" s="31"/>
      <c r="M178" s="31"/>
      <c r="N178" s="31"/>
      <c r="O178" s="31"/>
      <c r="P178" s="33"/>
      <c r="Q178" s="31"/>
      <c r="R178" s="33"/>
      <c r="S178" s="28"/>
      <c r="T178" s="31"/>
      <c r="U178" s="31"/>
      <c r="V178" s="30"/>
      <c r="W178" s="31"/>
      <c r="X178" s="31"/>
      <c r="Y178" s="31"/>
      <c r="Z178" s="31"/>
      <c r="AA178" s="31"/>
      <c r="AB178" s="31"/>
    </row>
    <row r="179" ht="15.75" customHeight="1">
      <c r="A179" s="31"/>
      <c r="B179" s="31"/>
      <c r="C179" s="31"/>
      <c r="D179" s="31"/>
      <c r="E179" s="31"/>
      <c r="F179" s="31"/>
      <c r="G179" s="32"/>
      <c r="H179" s="32"/>
      <c r="I179" s="24"/>
      <c r="J179" s="24"/>
      <c r="K179" s="31"/>
      <c r="L179" s="31"/>
      <c r="M179" s="31"/>
      <c r="N179" s="31"/>
      <c r="O179" s="31"/>
      <c r="P179" s="33"/>
      <c r="Q179" s="31"/>
      <c r="R179" s="33"/>
      <c r="S179" s="28"/>
      <c r="T179" s="31"/>
      <c r="U179" s="31"/>
      <c r="V179" s="30"/>
      <c r="W179" s="31"/>
      <c r="X179" s="31"/>
      <c r="Y179" s="31"/>
      <c r="Z179" s="31"/>
      <c r="AA179" s="31"/>
      <c r="AB179" s="31"/>
    </row>
    <row r="180" ht="15.75" customHeight="1">
      <c r="A180" s="31"/>
      <c r="B180" s="31"/>
      <c r="C180" s="31"/>
      <c r="D180" s="31"/>
      <c r="E180" s="31"/>
      <c r="F180" s="31"/>
      <c r="G180" s="32"/>
      <c r="H180" s="32"/>
      <c r="I180" s="24"/>
      <c r="J180" s="24"/>
      <c r="K180" s="31"/>
      <c r="L180" s="31"/>
      <c r="M180" s="31"/>
      <c r="N180" s="31"/>
      <c r="O180" s="31"/>
      <c r="P180" s="33"/>
      <c r="Q180" s="31"/>
      <c r="R180" s="33"/>
      <c r="S180" s="28"/>
      <c r="T180" s="31"/>
      <c r="U180" s="31"/>
      <c r="V180" s="30"/>
      <c r="W180" s="31"/>
      <c r="X180" s="31"/>
      <c r="Y180" s="31"/>
      <c r="Z180" s="31"/>
      <c r="AA180" s="31"/>
      <c r="AB180" s="31"/>
    </row>
    <row r="181" ht="15.75" customHeight="1">
      <c r="A181" s="31"/>
      <c r="B181" s="31"/>
      <c r="C181" s="31"/>
      <c r="D181" s="31"/>
      <c r="E181" s="31"/>
      <c r="F181" s="31"/>
      <c r="G181" s="32"/>
      <c r="H181" s="32"/>
      <c r="I181" s="24"/>
      <c r="J181" s="24"/>
      <c r="K181" s="31"/>
      <c r="L181" s="31"/>
      <c r="M181" s="31"/>
      <c r="N181" s="31"/>
      <c r="O181" s="31"/>
      <c r="P181" s="33"/>
      <c r="Q181" s="31"/>
      <c r="R181" s="33"/>
      <c r="S181" s="28"/>
      <c r="T181" s="31"/>
      <c r="U181" s="31"/>
      <c r="V181" s="30"/>
      <c r="W181" s="31"/>
      <c r="X181" s="31"/>
      <c r="Y181" s="31"/>
      <c r="Z181" s="31"/>
      <c r="AA181" s="31"/>
      <c r="AB181" s="31"/>
    </row>
    <row r="182" ht="15.75" customHeight="1">
      <c r="A182" s="31"/>
      <c r="B182" s="31"/>
      <c r="C182" s="31"/>
      <c r="D182" s="31"/>
      <c r="E182" s="31"/>
      <c r="F182" s="31"/>
      <c r="G182" s="32"/>
      <c r="H182" s="32"/>
      <c r="I182" s="24"/>
      <c r="J182" s="24"/>
      <c r="K182" s="31"/>
      <c r="L182" s="31"/>
      <c r="M182" s="31"/>
      <c r="N182" s="31"/>
      <c r="O182" s="31"/>
      <c r="P182" s="33"/>
      <c r="Q182" s="31"/>
      <c r="R182" s="33"/>
      <c r="S182" s="28"/>
      <c r="T182" s="31"/>
      <c r="U182" s="31"/>
      <c r="V182" s="30"/>
      <c r="W182" s="31"/>
      <c r="X182" s="31"/>
      <c r="Y182" s="31"/>
      <c r="Z182" s="31"/>
      <c r="AA182" s="31"/>
      <c r="AB182" s="31"/>
    </row>
    <row r="183" ht="15.75" customHeight="1">
      <c r="A183" s="31"/>
      <c r="B183" s="31"/>
      <c r="C183" s="31"/>
      <c r="D183" s="31"/>
      <c r="E183" s="31"/>
      <c r="F183" s="31"/>
      <c r="G183" s="32"/>
      <c r="H183" s="32"/>
      <c r="I183" s="24"/>
      <c r="J183" s="24"/>
      <c r="K183" s="31"/>
      <c r="L183" s="31"/>
      <c r="M183" s="31"/>
      <c r="N183" s="31"/>
      <c r="O183" s="31"/>
      <c r="P183" s="33"/>
      <c r="Q183" s="31"/>
      <c r="R183" s="33"/>
      <c r="S183" s="28"/>
      <c r="T183" s="31"/>
      <c r="U183" s="31"/>
      <c r="V183" s="30"/>
      <c r="W183" s="31"/>
      <c r="X183" s="31"/>
      <c r="Y183" s="31"/>
      <c r="Z183" s="31"/>
      <c r="AA183" s="31"/>
      <c r="AB183" s="31"/>
    </row>
    <row r="184" ht="15.75" customHeight="1">
      <c r="A184" s="31"/>
      <c r="B184" s="31"/>
      <c r="C184" s="31"/>
      <c r="D184" s="31"/>
      <c r="E184" s="31"/>
      <c r="F184" s="31"/>
      <c r="G184" s="32"/>
      <c r="H184" s="32"/>
      <c r="I184" s="24"/>
      <c r="J184" s="24"/>
      <c r="K184" s="31"/>
      <c r="L184" s="31"/>
      <c r="M184" s="31"/>
      <c r="N184" s="31"/>
      <c r="O184" s="31"/>
      <c r="P184" s="33"/>
      <c r="Q184" s="31"/>
      <c r="R184" s="33"/>
      <c r="S184" s="28"/>
      <c r="T184" s="31"/>
      <c r="U184" s="31"/>
      <c r="V184" s="30"/>
      <c r="W184" s="31"/>
      <c r="X184" s="31"/>
      <c r="Y184" s="31"/>
      <c r="Z184" s="31"/>
      <c r="AA184" s="31"/>
      <c r="AB184" s="31"/>
    </row>
    <row r="185" ht="15.75" customHeight="1">
      <c r="A185" s="31"/>
      <c r="B185" s="31"/>
      <c r="C185" s="31"/>
      <c r="D185" s="31"/>
      <c r="E185" s="31"/>
      <c r="F185" s="31"/>
      <c r="G185" s="32"/>
      <c r="H185" s="32"/>
      <c r="I185" s="24"/>
      <c r="J185" s="24"/>
      <c r="K185" s="31"/>
      <c r="L185" s="31"/>
      <c r="M185" s="31"/>
      <c r="N185" s="31"/>
      <c r="O185" s="31"/>
      <c r="P185" s="33"/>
      <c r="Q185" s="31"/>
      <c r="R185" s="33"/>
      <c r="S185" s="28"/>
      <c r="T185" s="31"/>
      <c r="U185" s="31"/>
      <c r="V185" s="30"/>
      <c r="W185" s="31"/>
      <c r="X185" s="31"/>
      <c r="Y185" s="31"/>
      <c r="Z185" s="31"/>
      <c r="AA185" s="31"/>
      <c r="AB185" s="31"/>
    </row>
    <row r="186" ht="15.75" customHeight="1">
      <c r="A186" s="31"/>
      <c r="B186" s="31"/>
      <c r="C186" s="31"/>
      <c r="D186" s="31"/>
      <c r="E186" s="31"/>
      <c r="F186" s="31"/>
      <c r="G186" s="32"/>
      <c r="H186" s="32"/>
      <c r="I186" s="24"/>
      <c r="J186" s="24"/>
      <c r="K186" s="31"/>
      <c r="L186" s="31"/>
      <c r="M186" s="31"/>
      <c r="N186" s="31"/>
      <c r="O186" s="31"/>
      <c r="P186" s="33"/>
      <c r="Q186" s="31"/>
      <c r="R186" s="33"/>
      <c r="S186" s="28"/>
      <c r="T186" s="31"/>
      <c r="U186" s="31"/>
      <c r="V186" s="30"/>
      <c r="W186" s="31"/>
      <c r="X186" s="31"/>
      <c r="Y186" s="31"/>
      <c r="Z186" s="31"/>
      <c r="AA186" s="31"/>
      <c r="AB186" s="31"/>
    </row>
    <row r="187" ht="15.75" customHeight="1">
      <c r="A187" s="31"/>
      <c r="B187" s="31"/>
      <c r="C187" s="31"/>
      <c r="D187" s="31"/>
      <c r="E187" s="31"/>
      <c r="F187" s="31"/>
      <c r="G187" s="32"/>
      <c r="H187" s="32"/>
      <c r="I187" s="24"/>
      <c r="J187" s="24"/>
      <c r="K187" s="31"/>
      <c r="L187" s="31"/>
      <c r="M187" s="31"/>
      <c r="N187" s="31"/>
      <c r="O187" s="31"/>
      <c r="P187" s="33"/>
      <c r="Q187" s="31"/>
      <c r="R187" s="33"/>
      <c r="S187" s="28"/>
      <c r="T187" s="31"/>
      <c r="U187" s="31"/>
      <c r="V187" s="30"/>
      <c r="W187" s="31"/>
      <c r="X187" s="31"/>
      <c r="Y187" s="31"/>
      <c r="Z187" s="31"/>
      <c r="AA187" s="31"/>
      <c r="AB187" s="31"/>
    </row>
    <row r="188" ht="15.75" customHeight="1">
      <c r="A188" s="31"/>
      <c r="B188" s="31"/>
      <c r="C188" s="31"/>
      <c r="D188" s="31"/>
      <c r="E188" s="31"/>
      <c r="F188" s="31"/>
      <c r="G188" s="32"/>
      <c r="H188" s="32"/>
      <c r="I188" s="24"/>
      <c r="J188" s="24"/>
      <c r="K188" s="31"/>
      <c r="L188" s="31"/>
      <c r="M188" s="31"/>
      <c r="N188" s="31"/>
      <c r="O188" s="31"/>
      <c r="P188" s="33"/>
      <c r="Q188" s="31"/>
      <c r="R188" s="33"/>
      <c r="S188" s="28"/>
      <c r="T188" s="31"/>
      <c r="U188" s="31"/>
      <c r="V188" s="30"/>
      <c r="W188" s="31"/>
      <c r="X188" s="31"/>
      <c r="Y188" s="31"/>
      <c r="Z188" s="31"/>
      <c r="AA188" s="31"/>
      <c r="AB188" s="31"/>
    </row>
    <row r="189" ht="15.75" customHeight="1">
      <c r="A189" s="31"/>
      <c r="B189" s="31"/>
      <c r="C189" s="31"/>
      <c r="D189" s="31"/>
      <c r="E189" s="31"/>
      <c r="F189" s="31"/>
      <c r="G189" s="32"/>
      <c r="H189" s="32"/>
      <c r="I189" s="24"/>
      <c r="J189" s="24"/>
      <c r="K189" s="31"/>
      <c r="L189" s="31"/>
      <c r="M189" s="31"/>
      <c r="N189" s="31"/>
      <c r="O189" s="31"/>
      <c r="P189" s="33"/>
      <c r="Q189" s="31"/>
      <c r="R189" s="33"/>
      <c r="S189" s="28"/>
      <c r="T189" s="31"/>
      <c r="U189" s="31"/>
      <c r="V189" s="30"/>
      <c r="W189" s="31"/>
      <c r="X189" s="31"/>
      <c r="Y189" s="31"/>
      <c r="Z189" s="31"/>
      <c r="AA189" s="31"/>
      <c r="AB189" s="31"/>
    </row>
    <row r="190" ht="15.75" customHeight="1">
      <c r="A190" s="31"/>
      <c r="B190" s="31"/>
      <c r="C190" s="31"/>
      <c r="D190" s="31"/>
      <c r="E190" s="31"/>
      <c r="F190" s="31"/>
      <c r="G190" s="32"/>
      <c r="H190" s="32"/>
      <c r="I190" s="24"/>
      <c r="J190" s="24"/>
      <c r="K190" s="31"/>
      <c r="L190" s="31"/>
      <c r="M190" s="31"/>
      <c r="N190" s="31"/>
      <c r="O190" s="31"/>
      <c r="P190" s="33"/>
      <c r="Q190" s="31"/>
      <c r="R190" s="33"/>
      <c r="S190" s="28"/>
      <c r="T190" s="31"/>
      <c r="U190" s="31"/>
      <c r="V190" s="30"/>
      <c r="W190" s="31"/>
      <c r="X190" s="31"/>
      <c r="Y190" s="31"/>
      <c r="Z190" s="31"/>
      <c r="AA190" s="31"/>
      <c r="AB190" s="31"/>
    </row>
    <row r="191" ht="15.75" customHeight="1">
      <c r="A191" s="31"/>
      <c r="B191" s="31"/>
      <c r="C191" s="31"/>
      <c r="D191" s="31"/>
      <c r="E191" s="31"/>
      <c r="F191" s="31"/>
      <c r="G191" s="32"/>
      <c r="H191" s="32"/>
      <c r="I191" s="24"/>
      <c r="J191" s="24"/>
      <c r="K191" s="31"/>
      <c r="L191" s="31"/>
      <c r="M191" s="31"/>
      <c r="N191" s="31"/>
      <c r="O191" s="31"/>
      <c r="P191" s="33"/>
      <c r="Q191" s="31"/>
      <c r="R191" s="33"/>
      <c r="S191" s="28"/>
      <c r="T191" s="31"/>
      <c r="U191" s="31"/>
      <c r="V191" s="30"/>
      <c r="W191" s="31"/>
      <c r="X191" s="31"/>
      <c r="Y191" s="31"/>
      <c r="Z191" s="31"/>
      <c r="AA191" s="31"/>
      <c r="AB191" s="31"/>
    </row>
    <row r="192" ht="15.75" customHeight="1">
      <c r="A192" s="31"/>
      <c r="B192" s="31"/>
      <c r="C192" s="31"/>
      <c r="D192" s="31"/>
      <c r="E192" s="31"/>
      <c r="F192" s="31"/>
      <c r="G192" s="32"/>
      <c r="H192" s="32"/>
      <c r="I192" s="24"/>
      <c r="J192" s="24"/>
      <c r="K192" s="31"/>
      <c r="L192" s="31"/>
      <c r="M192" s="31"/>
      <c r="N192" s="31"/>
      <c r="O192" s="31"/>
      <c r="P192" s="33"/>
      <c r="Q192" s="31"/>
      <c r="R192" s="33"/>
      <c r="S192" s="28"/>
      <c r="T192" s="31"/>
      <c r="U192" s="31"/>
      <c r="V192" s="30"/>
      <c r="W192" s="31"/>
      <c r="X192" s="31"/>
      <c r="Y192" s="31"/>
      <c r="Z192" s="31"/>
      <c r="AA192" s="31"/>
      <c r="AB192" s="31"/>
    </row>
    <row r="193" ht="15.75" customHeight="1">
      <c r="A193" s="31"/>
      <c r="B193" s="31"/>
      <c r="C193" s="31"/>
      <c r="D193" s="31"/>
      <c r="E193" s="31"/>
      <c r="F193" s="31"/>
      <c r="G193" s="32"/>
      <c r="H193" s="32"/>
      <c r="I193" s="24"/>
      <c r="J193" s="24"/>
      <c r="K193" s="31"/>
      <c r="L193" s="31"/>
      <c r="M193" s="31"/>
      <c r="N193" s="31"/>
      <c r="O193" s="31"/>
      <c r="P193" s="33"/>
      <c r="Q193" s="31"/>
      <c r="R193" s="33"/>
      <c r="S193" s="28"/>
      <c r="T193" s="31"/>
      <c r="U193" s="31"/>
      <c r="V193" s="30"/>
      <c r="W193" s="31"/>
      <c r="X193" s="31"/>
      <c r="Y193" s="31"/>
      <c r="Z193" s="31"/>
      <c r="AA193" s="31"/>
      <c r="AB193" s="31"/>
    </row>
    <row r="194" ht="15.75" customHeight="1">
      <c r="A194" s="31"/>
      <c r="B194" s="31"/>
      <c r="C194" s="31"/>
      <c r="D194" s="31"/>
      <c r="E194" s="31"/>
      <c r="F194" s="31"/>
      <c r="G194" s="32"/>
      <c r="H194" s="32"/>
      <c r="I194" s="24"/>
      <c r="J194" s="24"/>
      <c r="K194" s="31"/>
      <c r="L194" s="31"/>
      <c r="M194" s="31"/>
      <c r="N194" s="31"/>
      <c r="O194" s="31"/>
      <c r="P194" s="33"/>
      <c r="Q194" s="31"/>
      <c r="R194" s="33"/>
      <c r="S194" s="28"/>
      <c r="T194" s="31"/>
      <c r="U194" s="31"/>
      <c r="V194" s="30"/>
      <c r="W194" s="31"/>
      <c r="X194" s="31"/>
      <c r="Y194" s="31"/>
      <c r="Z194" s="31"/>
      <c r="AA194" s="31"/>
      <c r="AB194" s="31"/>
    </row>
    <row r="195" ht="15.75" customHeight="1">
      <c r="A195" s="31"/>
      <c r="B195" s="31"/>
      <c r="C195" s="31"/>
      <c r="D195" s="31"/>
      <c r="E195" s="31"/>
      <c r="F195" s="31"/>
      <c r="G195" s="32"/>
      <c r="H195" s="32"/>
      <c r="I195" s="24"/>
      <c r="J195" s="24"/>
      <c r="K195" s="31"/>
      <c r="L195" s="31"/>
      <c r="M195" s="31"/>
      <c r="N195" s="31"/>
      <c r="O195" s="31"/>
      <c r="P195" s="33"/>
      <c r="Q195" s="31"/>
      <c r="R195" s="33"/>
      <c r="S195" s="28"/>
      <c r="T195" s="31"/>
      <c r="U195" s="31"/>
      <c r="V195" s="30"/>
      <c r="W195" s="31"/>
      <c r="X195" s="31"/>
      <c r="Y195" s="31"/>
      <c r="Z195" s="31"/>
      <c r="AA195" s="31"/>
      <c r="AB195" s="31"/>
    </row>
    <row r="196" ht="15.75" customHeight="1">
      <c r="A196" s="31"/>
      <c r="B196" s="31"/>
      <c r="C196" s="31"/>
      <c r="D196" s="31"/>
      <c r="E196" s="31"/>
      <c r="F196" s="31"/>
      <c r="G196" s="32"/>
      <c r="H196" s="32"/>
      <c r="I196" s="24"/>
      <c r="J196" s="24"/>
      <c r="K196" s="31"/>
      <c r="L196" s="31"/>
      <c r="M196" s="31"/>
      <c r="N196" s="31"/>
      <c r="O196" s="31"/>
      <c r="P196" s="33"/>
      <c r="Q196" s="31"/>
      <c r="R196" s="33"/>
      <c r="S196" s="28"/>
      <c r="T196" s="31"/>
      <c r="U196" s="31"/>
      <c r="V196" s="30"/>
      <c r="W196" s="31"/>
      <c r="X196" s="31"/>
      <c r="Y196" s="31"/>
      <c r="Z196" s="31"/>
      <c r="AA196" s="31"/>
      <c r="AB196" s="31"/>
    </row>
    <row r="197" ht="15.75" customHeight="1">
      <c r="A197" s="31"/>
      <c r="B197" s="31"/>
      <c r="C197" s="31"/>
      <c r="D197" s="31"/>
      <c r="E197" s="31"/>
      <c r="F197" s="31"/>
      <c r="G197" s="32"/>
      <c r="H197" s="32"/>
      <c r="I197" s="24"/>
      <c r="J197" s="24"/>
      <c r="K197" s="31"/>
      <c r="L197" s="31"/>
      <c r="M197" s="31"/>
      <c r="N197" s="31"/>
      <c r="O197" s="31"/>
      <c r="P197" s="33"/>
      <c r="Q197" s="31"/>
      <c r="R197" s="33"/>
      <c r="S197" s="28"/>
      <c r="T197" s="31"/>
      <c r="U197" s="31"/>
      <c r="V197" s="30"/>
      <c r="W197" s="31"/>
      <c r="X197" s="31"/>
      <c r="Y197" s="31"/>
      <c r="Z197" s="31"/>
      <c r="AA197" s="31"/>
      <c r="AB197" s="31"/>
    </row>
    <row r="198" ht="15.75" customHeight="1">
      <c r="A198" s="31"/>
      <c r="B198" s="31"/>
      <c r="C198" s="31"/>
      <c r="D198" s="31"/>
      <c r="E198" s="31"/>
      <c r="F198" s="31"/>
      <c r="G198" s="32"/>
      <c r="H198" s="32"/>
      <c r="I198" s="24"/>
      <c r="J198" s="24"/>
      <c r="K198" s="31"/>
      <c r="L198" s="31"/>
      <c r="M198" s="31"/>
      <c r="N198" s="31"/>
      <c r="O198" s="31"/>
      <c r="P198" s="33"/>
      <c r="Q198" s="31"/>
      <c r="R198" s="33"/>
      <c r="S198" s="28"/>
      <c r="T198" s="31"/>
      <c r="U198" s="31"/>
      <c r="V198" s="30"/>
      <c r="W198" s="31"/>
      <c r="X198" s="31"/>
      <c r="Y198" s="31"/>
      <c r="Z198" s="31"/>
      <c r="AA198" s="31"/>
      <c r="AB198" s="31"/>
    </row>
    <row r="199" ht="15.75" customHeight="1">
      <c r="A199" s="31"/>
      <c r="B199" s="31"/>
      <c r="C199" s="31"/>
      <c r="D199" s="31"/>
      <c r="E199" s="31"/>
      <c r="F199" s="31"/>
      <c r="G199" s="32"/>
      <c r="H199" s="32"/>
      <c r="I199" s="24"/>
      <c r="J199" s="24"/>
      <c r="K199" s="31"/>
      <c r="L199" s="31"/>
      <c r="M199" s="31"/>
      <c r="N199" s="31"/>
      <c r="O199" s="31"/>
      <c r="P199" s="33"/>
      <c r="Q199" s="31"/>
      <c r="R199" s="33"/>
      <c r="S199" s="28"/>
      <c r="T199" s="31"/>
      <c r="U199" s="31"/>
      <c r="V199" s="30"/>
      <c r="W199" s="31"/>
      <c r="X199" s="31"/>
      <c r="Y199" s="31"/>
      <c r="Z199" s="31"/>
      <c r="AA199" s="31"/>
      <c r="AB199" s="31"/>
    </row>
    <row r="200" ht="15.75" customHeight="1">
      <c r="A200" s="31"/>
      <c r="B200" s="31"/>
      <c r="C200" s="31"/>
      <c r="D200" s="31"/>
      <c r="E200" s="31"/>
      <c r="F200" s="31"/>
      <c r="G200" s="32"/>
      <c r="H200" s="32"/>
      <c r="I200" s="24"/>
      <c r="J200" s="24"/>
      <c r="K200" s="31"/>
      <c r="L200" s="31"/>
      <c r="M200" s="31"/>
      <c r="N200" s="31"/>
      <c r="O200" s="31"/>
      <c r="P200" s="33"/>
      <c r="Q200" s="31"/>
      <c r="R200" s="33"/>
      <c r="S200" s="28"/>
      <c r="T200" s="31"/>
      <c r="U200" s="31"/>
      <c r="V200" s="30"/>
      <c r="W200" s="31"/>
      <c r="X200" s="31"/>
      <c r="Y200" s="31"/>
      <c r="Z200" s="31"/>
      <c r="AA200" s="31"/>
      <c r="AB200" s="31"/>
    </row>
    <row r="201" ht="15.75" customHeight="1">
      <c r="A201" s="31"/>
      <c r="B201" s="31"/>
      <c r="C201" s="31"/>
      <c r="D201" s="31"/>
      <c r="E201" s="31"/>
      <c r="F201" s="31"/>
      <c r="G201" s="32"/>
      <c r="H201" s="32"/>
      <c r="I201" s="24"/>
      <c r="J201" s="24"/>
      <c r="K201" s="31"/>
      <c r="L201" s="31"/>
      <c r="M201" s="31"/>
      <c r="N201" s="31"/>
      <c r="O201" s="31"/>
      <c r="P201" s="33"/>
      <c r="Q201" s="31"/>
      <c r="R201" s="33"/>
      <c r="S201" s="28"/>
      <c r="T201" s="31"/>
      <c r="U201" s="31"/>
      <c r="V201" s="30"/>
      <c r="W201" s="31"/>
      <c r="X201" s="31"/>
      <c r="Y201" s="31"/>
      <c r="Z201" s="31"/>
      <c r="AA201" s="31"/>
      <c r="AB201" s="31"/>
    </row>
    <row r="202" ht="15.75" customHeight="1">
      <c r="A202" s="31"/>
      <c r="B202" s="31"/>
      <c r="C202" s="31"/>
      <c r="D202" s="31"/>
      <c r="E202" s="31"/>
      <c r="F202" s="31"/>
      <c r="G202" s="32"/>
      <c r="H202" s="32"/>
      <c r="I202" s="24"/>
      <c r="J202" s="24"/>
      <c r="K202" s="31"/>
      <c r="L202" s="31"/>
      <c r="M202" s="31"/>
      <c r="N202" s="31"/>
      <c r="O202" s="31"/>
      <c r="P202" s="33"/>
      <c r="Q202" s="31"/>
      <c r="R202" s="33"/>
      <c r="S202" s="28"/>
      <c r="T202" s="31"/>
      <c r="U202" s="31"/>
      <c r="V202" s="30"/>
      <c r="W202" s="31"/>
      <c r="X202" s="31"/>
      <c r="Y202" s="31"/>
      <c r="Z202" s="31"/>
      <c r="AA202" s="31"/>
      <c r="AB202" s="31"/>
    </row>
    <row r="203" ht="15.75" customHeight="1">
      <c r="A203" s="31"/>
      <c r="B203" s="31"/>
      <c r="C203" s="31"/>
      <c r="D203" s="31"/>
      <c r="E203" s="31"/>
      <c r="F203" s="31"/>
      <c r="G203" s="32"/>
      <c r="H203" s="32"/>
      <c r="I203" s="24"/>
      <c r="J203" s="24"/>
      <c r="K203" s="31"/>
      <c r="L203" s="31"/>
      <c r="M203" s="31"/>
      <c r="N203" s="31"/>
      <c r="O203" s="31"/>
      <c r="P203" s="33"/>
      <c r="Q203" s="31"/>
      <c r="R203" s="33"/>
      <c r="S203" s="28"/>
      <c r="T203" s="31"/>
      <c r="U203" s="31"/>
      <c r="V203" s="30"/>
      <c r="W203" s="31"/>
      <c r="X203" s="31"/>
      <c r="Y203" s="31"/>
      <c r="Z203" s="31"/>
      <c r="AA203" s="31"/>
      <c r="AB203" s="31"/>
    </row>
    <row r="204" ht="15.75" customHeight="1">
      <c r="A204" s="31"/>
      <c r="B204" s="31"/>
      <c r="C204" s="31"/>
      <c r="D204" s="31"/>
      <c r="E204" s="31"/>
      <c r="F204" s="31"/>
      <c r="G204" s="32"/>
      <c r="H204" s="32"/>
      <c r="I204" s="24"/>
      <c r="J204" s="24"/>
      <c r="K204" s="31"/>
      <c r="L204" s="31"/>
      <c r="M204" s="31"/>
      <c r="N204" s="31"/>
      <c r="O204" s="31"/>
      <c r="P204" s="33"/>
      <c r="Q204" s="31"/>
      <c r="R204" s="33"/>
      <c r="S204" s="28"/>
      <c r="T204" s="31"/>
      <c r="U204" s="31"/>
      <c r="V204" s="30"/>
      <c r="W204" s="31"/>
      <c r="X204" s="31"/>
      <c r="Y204" s="31"/>
      <c r="Z204" s="31"/>
      <c r="AA204" s="31"/>
      <c r="AB204" s="31"/>
    </row>
    <row r="205" ht="15.75" customHeight="1">
      <c r="A205" s="31"/>
      <c r="B205" s="31"/>
      <c r="C205" s="31"/>
      <c r="D205" s="31"/>
      <c r="E205" s="31"/>
      <c r="F205" s="31"/>
      <c r="G205" s="32"/>
      <c r="H205" s="32"/>
      <c r="I205" s="24"/>
      <c r="J205" s="24"/>
      <c r="K205" s="31"/>
      <c r="L205" s="31"/>
      <c r="M205" s="31"/>
      <c r="N205" s="31"/>
      <c r="O205" s="31"/>
      <c r="P205" s="33"/>
      <c r="Q205" s="31"/>
      <c r="R205" s="33"/>
      <c r="S205" s="28"/>
      <c r="T205" s="31"/>
      <c r="U205" s="31"/>
      <c r="V205" s="30"/>
      <c r="W205" s="31"/>
      <c r="X205" s="31"/>
      <c r="Y205" s="31"/>
      <c r="Z205" s="31"/>
      <c r="AA205" s="31"/>
      <c r="AB205" s="31"/>
    </row>
    <row r="206" ht="15.75" customHeight="1">
      <c r="A206" s="31"/>
      <c r="B206" s="31"/>
      <c r="C206" s="31"/>
      <c r="D206" s="31"/>
      <c r="E206" s="31"/>
      <c r="F206" s="31"/>
      <c r="G206" s="32"/>
      <c r="H206" s="32"/>
      <c r="I206" s="24"/>
      <c r="J206" s="24"/>
      <c r="K206" s="31"/>
      <c r="L206" s="31"/>
      <c r="M206" s="31"/>
      <c r="N206" s="31"/>
      <c r="O206" s="31"/>
      <c r="P206" s="33"/>
      <c r="Q206" s="31"/>
      <c r="R206" s="33"/>
      <c r="S206" s="28"/>
      <c r="T206" s="31"/>
      <c r="U206" s="31"/>
      <c r="V206" s="30"/>
      <c r="W206" s="31"/>
      <c r="X206" s="31"/>
      <c r="Y206" s="31"/>
      <c r="Z206" s="31"/>
      <c r="AA206" s="31"/>
      <c r="AB206" s="31"/>
    </row>
    <row r="207" ht="15.75" customHeight="1">
      <c r="A207" s="31"/>
      <c r="B207" s="31"/>
      <c r="C207" s="31"/>
      <c r="D207" s="31"/>
      <c r="E207" s="31"/>
      <c r="F207" s="31"/>
      <c r="G207" s="32"/>
      <c r="H207" s="32"/>
      <c r="I207" s="24"/>
      <c r="J207" s="24"/>
      <c r="K207" s="31"/>
      <c r="L207" s="31"/>
      <c r="M207" s="31"/>
      <c r="N207" s="31"/>
      <c r="O207" s="31"/>
      <c r="P207" s="33"/>
      <c r="Q207" s="31"/>
      <c r="R207" s="33"/>
      <c r="S207" s="28"/>
      <c r="T207" s="31"/>
      <c r="U207" s="31"/>
      <c r="V207" s="30"/>
      <c r="W207" s="31"/>
      <c r="X207" s="31"/>
      <c r="Y207" s="31"/>
      <c r="Z207" s="31"/>
      <c r="AA207" s="31"/>
      <c r="AB207" s="31"/>
    </row>
    <row r="208" ht="15.75" customHeight="1">
      <c r="A208" s="31"/>
      <c r="B208" s="31"/>
      <c r="C208" s="31"/>
      <c r="D208" s="31"/>
      <c r="E208" s="31"/>
      <c r="F208" s="31"/>
      <c r="G208" s="32"/>
      <c r="H208" s="32"/>
      <c r="I208" s="24"/>
      <c r="J208" s="24"/>
      <c r="K208" s="31"/>
      <c r="L208" s="31"/>
      <c r="M208" s="31"/>
      <c r="N208" s="31"/>
      <c r="O208" s="31"/>
      <c r="P208" s="33"/>
      <c r="Q208" s="31"/>
      <c r="R208" s="33"/>
      <c r="S208" s="28"/>
      <c r="T208" s="31"/>
      <c r="U208" s="31"/>
      <c r="V208" s="30"/>
      <c r="W208" s="31"/>
      <c r="X208" s="31"/>
      <c r="Y208" s="31"/>
      <c r="Z208" s="31"/>
      <c r="AA208" s="31"/>
      <c r="AB208" s="31"/>
    </row>
    <row r="209" ht="15.75" customHeight="1">
      <c r="A209" s="31"/>
      <c r="B209" s="31"/>
      <c r="C209" s="31"/>
      <c r="D209" s="31"/>
      <c r="E209" s="31"/>
      <c r="F209" s="31"/>
      <c r="G209" s="32"/>
      <c r="H209" s="32"/>
      <c r="I209" s="24"/>
      <c r="J209" s="24"/>
      <c r="K209" s="31"/>
      <c r="L209" s="31"/>
      <c r="M209" s="31"/>
      <c r="N209" s="31"/>
      <c r="O209" s="31"/>
      <c r="P209" s="33"/>
      <c r="Q209" s="31"/>
      <c r="R209" s="33"/>
      <c r="S209" s="28"/>
      <c r="T209" s="31"/>
      <c r="U209" s="31"/>
      <c r="V209" s="30"/>
      <c r="W209" s="31"/>
      <c r="X209" s="31"/>
      <c r="Y209" s="31"/>
      <c r="Z209" s="31"/>
      <c r="AA209" s="31"/>
      <c r="AB209" s="31"/>
    </row>
    <row r="210" ht="15.75" customHeight="1">
      <c r="A210" s="31"/>
      <c r="B210" s="31"/>
      <c r="C210" s="31"/>
      <c r="D210" s="31"/>
      <c r="E210" s="31"/>
      <c r="F210" s="31"/>
      <c r="G210" s="32"/>
      <c r="H210" s="32"/>
      <c r="I210" s="24"/>
      <c r="J210" s="24"/>
      <c r="K210" s="31"/>
      <c r="L210" s="31"/>
      <c r="M210" s="31"/>
      <c r="N210" s="31"/>
      <c r="O210" s="31"/>
      <c r="P210" s="33"/>
      <c r="Q210" s="31"/>
      <c r="R210" s="33"/>
      <c r="S210" s="28"/>
      <c r="T210" s="31"/>
      <c r="U210" s="31"/>
      <c r="V210" s="30"/>
      <c r="W210" s="31"/>
      <c r="X210" s="31"/>
      <c r="Y210" s="31"/>
      <c r="Z210" s="31"/>
      <c r="AA210" s="31"/>
      <c r="AB210" s="31"/>
    </row>
    <row r="211" ht="15.75" customHeight="1">
      <c r="A211" s="31"/>
      <c r="B211" s="31"/>
      <c r="C211" s="31"/>
      <c r="D211" s="31"/>
      <c r="E211" s="31"/>
      <c r="F211" s="31"/>
      <c r="G211" s="32"/>
      <c r="H211" s="32"/>
      <c r="I211" s="24"/>
      <c r="J211" s="24"/>
      <c r="K211" s="31"/>
      <c r="L211" s="31"/>
      <c r="M211" s="31"/>
      <c r="N211" s="31"/>
      <c r="O211" s="31"/>
      <c r="P211" s="33"/>
      <c r="Q211" s="31"/>
      <c r="R211" s="33"/>
      <c r="S211" s="28"/>
      <c r="T211" s="31"/>
      <c r="U211" s="31"/>
      <c r="V211" s="30"/>
      <c r="W211" s="31"/>
      <c r="X211" s="31"/>
      <c r="Y211" s="31"/>
      <c r="Z211" s="31"/>
      <c r="AA211" s="31"/>
      <c r="AB211" s="31"/>
    </row>
    <row r="212" ht="15.75" customHeight="1">
      <c r="A212" s="31"/>
      <c r="B212" s="31"/>
      <c r="C212" s="31"/>
      <c r="D212" s="31"/>
      <c r="E212" s="31"/>
      <c r="F212" s="31"/>
      <c r="G212" s="32"/>
      <c r="H212" s="32"/>
      <c r="I212" s="24"/>
      <c r="J212" s="24"/>
      <c r="K212" s="31"/>
      <c r="L212" s="31"/>
      <c r="M212" s="31"/>
      <c r="N212" s="31"/>
      <c r="O212" s="31"/>
      <c r="P212" s="33"/>
      <c r="Q212" s="31"/>
      <c r="R212" s="33"/>
      <c r="S212" s="28"/>
      <c r="T212" s="31"/>
      <c r="U212" s="31"/>
      <c r="V212" s="30"/>
      <c r="W212" s="31"/>
      <c r="X212" s="31"/>
      <c r="Y212" s="31"/>
      <c r="Z212" s="31"/>
      <c r="AA212" s="31"/>
      <c r="AB212" s="31"/>
    </row>
    <row r="213" ht="15.75" customHeight="1">
      <c r="A213" s="31"/>
      <c r="B213" s="31"/>
      <c r="C213" s="31"/>
      <c r="D213" s="31"/>
      <c r="E213" s="31"/>
      <c r="F213" s="31"/>
      <c r="G213" s="32"/>
      <c r="H213" s="32"/>
      <c r="I213" s="24"/>
      <c r="J213" s="24"/>
      <c r="K213" s="31"/>
      <c r="L213" s="31"/>
      <c r="M213" s="31"/>
      <c r="N213" s="31"/>
      <c r="O213" s="31"/>
      <c r="P213" s="33"/>
      <c r="Q213" s="31"/>
      <c r="R213" s="33"/>
      <c r="S213" s="28"/>
      <c r="T213" s="31"/>
      <c r="U213" s="31"/>
      <c r="V213" s="30"/>
      <c r="W213" s="31"/>
      <c r="X213" s="31"/>
      <c r="Y213" s="31"/>
      <c r="Z213" s="31"/>
      <c r="AA213" s="31"/>
      <c r="AB213" s="31"/>
    </row>
    <row r="214" ht="15.75" customHeight="1">
      <c r="A214" s="31"/>
      <c r="B214" s="31"/>
      <c r="C214" s="31"/>
      <c r="D214" s="31"/>
      <c r="E214" s="31"/>
      <c r="F214" s="31"/>
      <c r="G214" s="32"/>
      <c r="H214" s="32"/>
      <c r="I214" s="24"/>
      <c r="J214" s="24"/>
      <c r="K214" s="31"/>
      <c r="L214" s="31"/>
      <c r="M214" s="31"/>
      <c r="N214" s="31"/>
      <c r="O214" s="31"/>
      <c r="P214" s="33"/>
      <c r="Q214" s="31"/>
      <c r="R214" s="33"/>
      <c r="S214" s="28"/>
      <c r="T214" s="31"/>
      <c r="U214" s="31"/>
      <c r="V214" s="30"/>
      <c r="W214" s="31"/>
      <c r="X214" s="31"/>
      <c r="Y214" s="31"/>
      <c r="Z214" s="31"/>
      <c r="AA214" s="31"/>
      <c r="AB214" s="31"/>
    </row>
    <row r="215" ht="15.75" customHeight="1">
      <c r="A215" s="31"/>
      <c r="B215" s="31"/>
      <c r="C215" s="31"/>
      <c r="D215" s="31"/>
      <c r="E215" s="31"/>
      <c r="F215" s="31"/>
      <c r="G215" s="32"/>
      <c r="H215" s="32"/>
      <c r="I215" s="24"/>
      <c r="J215" s="24"/>
      <c r="K215" s="31"/>
      <c r="L215" s="31"/>
      <c r="M215" s="31"/>
      <c r="N215" s="31"/>
      <c r="O215" s="31"/>
      <c r="P215" s="33"/>
      <c r="Q215" s="31"/>
      <c r="R215" s="33"/>
      <c r="S215" s="28"/>
      <c r="T215" s="31"/>
      <c r="U215" s="31"/>
      <c r="V215" s="30"/>
      <c r="W215" s="31"/>
      <c r="X215" s="31"/>
      <c r="Y215" s="31"/>
      <c r="Z215" s="31"/>
      <c r="AA215" s="31"/>
      <c r="AB215" s="31"/>
    </row>
    <row r="216" ht="15.75" customHeight="1">
      <c r="A216" s="31"/>
      <c r="B216" s="31"/>
      <c r="C216" s="31"/>
      <c r="D216" s="31"/>
      <c r="E216" s="31"/>
      <c r="F216" s="31"/>
      <c r="G216" s="32"/>
      <c r="H216" s="32"/>
      <c r="I216" s="24"/>
      <c r="J216" s="24"/>
      <c r="K216" s="31"/>
      <c r="L216" s="31"/>
      <c r="M216" s="31"/>
      <c r="N216" s="31"/>
      <c r="O216" s="31"/>
      <c r="P216" s="33"/>
      <c r="Q216" s="31"/>
      <c r="R216" s="33"/>
      <c r="S216" s="28"/>
      <c r="T216" s="31"/>
      <c r="U216" s="31"/>
      <c r="V216" s="30"/>
      <c r="W216" s="31"/>
      <c r="X216" s="31"/>
      <c r="Y216" s="31"/>
      <c r="Z216" s="31"/>
      <c r="AA216" s="31"/>
      <c r="AB216" s="31"/>
    </row>
    <row r="217" ht="15.75" customHeight="1">
      <c r="A217" s="31"/>
      <c r="B217" s="31"/>
      <c r="C217" s="31"/>
      <c r="D217" s="31"/>
      <c r="E217" s="31"/>
      <c r="F217" s="31"/>
      <c r="G217" s="32"/>
      <c r="H217" s="32"/>
      <c r="I217" s="24"/>
      <c r="J217" s="24"/>
      <c r="K217" s="31"/>
      <c r="L217" s="31"/>
      <c r="M217" s="31"/>
      <c r="N217" s="31"/>
      <c r="O217" s="31"/>
      <c r="P217" s="33"/>
      <c r="Q217" s="31"/>
      <c r="R217" s="33"/>
      <c r="S217" s="28"/>
      <c r="T217" s="31"/>
      <c r="U217" s="31"/>
      <c r="V217" s="30"/>
      <c r="W217" s="31"/>
      <c r="X217" s="31"/>
      <c r="Y217" s="31"/>
      <c r="Z217" s="31"/>
      <c r="AA217" s="31"/>
      <c r="AB217" s="31"/>
    </row>
    <row r="218" ht="15.75" customHeight="1">
      <c r="A218" s="31"/>
      <c r="B218" s="31"/>
      <c r="C218" s="31"/>
      <c r="D218" s="31"/>
      <c r="E218" s="31"/>
      <c r="F218" s="31"/>
      <c r="G218" s="32"/>
      <c r="H218" s="32"/>
      <c r="I218" s="24"/>
      <c r="J218" s="24"/>
      <c r="K218" s="31"/>
      <c r="L218" s="31"/>
      <c r="M218" s="31"/>
      <c r="N218" s="31"/>
      <c r="O218" s="31"/>
      <c r="P218" s="33"/>
      <c r="Q218" s="31"/>
      <c r="R218" s="33"/>
      <c r="S218" s="28"/>
      <c r="T218" s="31"/>
      <c r="U218" s="31"/>
      <c r="V218" s="30"/>
      <c r="W218" s="31"/>
      <c r="X218" s="31"/>
      <c r="Y218" s="31"/>
      <c r="Z218" s="31"/>
      <c r="AA218" s="31"/>
      <c r="AB218" s="31"/>
    </row>
    <row r="219" ht="15.75" customHeight="1">
      <c r="A219" s="31"/>
      <c r="B219" s="31"/>
      <c r="C219" s="31"/>
      <c r="D219" s="31"/>
      <c r="E219" s="31"/>
      <c r="F219" s="31"/>
      <c r="G219" s="32"/>
      <c r="H219" s="32"/>
      <c r="I219" s="24"/>
      <c r="J219" s="24"/>
      <c r="K219" s="31"/>
      <c r="L219" s="31"/>
      <c r="M219" s="31"/>
      <c r="N219" s="31"/>
      <c r="O219" s="31"/>
      <c r="P219" s="33"/>
      <c r="Q219" s="31"/>
      <c r="R219" s="33"/>
      <c r="S219" s="28"/>
      <c r="T219" s="31"/>
      <c r="U219" s="31"/>
      <c r="V219" s="30"/>
      <c r="W219" s="31"/>
      <c r="X219" s="31"/>
      <c r="Y219" s="31"/>
      <c r="Z219" s="31"/>
      <c r="AA219" s="31"/>
      <c r="AB219" s="31"/>
    </row>
    <row r="220" ht="15.75" customHeight="1">
      <c r="A220" s="31"/>
      <c r="B220" s="31"/>
      <c r="C220" s="31"/>
      <c r="D220" s="31"/>
      <c r="E220" s="31"/>
      <c r="F220" s="31"/>
      <c r="G220" s="32"/>
      <c r="H220" s="32"/>
      <c r="I220" s="24"/>
      <c r="J220" s="24"/>
      <c r="K220" s="31"/>
      <c r="L220" s="31"/>
      <c r="M220" s="31"/>
      <c r="N220" s="31"/>
      <c r="O220" s="31"/>
      <c r="P220" s="33"/>
      <c r="Q220" s="31"/>
      <c r="R220" s="33"/>
      <c r="S220" s="28"/>
      <c r="T220" s="31"/>
      <c r="U220" s="31"/>
      <c r="V220" s="30"/>
      <c r="W220" s="31"/>
      <c r="X220" s="31"/>
      <c r="Y220" s="31"/>
      <c r="Z220" s="31"/>
      <c r="AA220" s="31"/>
      <c r="AB220" s="31"/>
    </row>
    <row r="221" ht="15.75" customHeight="1">
      <c r="A221" s="31"/>
      <c r="B221" s="31"/>
      <c r="C221" s="31"/>
      <c r="D221" s="31"/>
      <c r="E221" s="31"/>
      <c r="F221" s="31"/>
      <c r="G221" s="32"/>
      <c r="H221" s="32"/>
      <c r="I221" s="24"/>
      <c r="J221" s="24"/>
      <c r="K221" s="31"/>
      <c r="L221" s="31"/>
      <c r="M221" s="31"/>
      <c r="N221" s="31"/>
      <c r="O221" s="31"/>
      <c r="P221" s="33"/>
      <c r="Q221" s="31"/>
      <c r="R221" s="33"/>
      <c r="S221" s="28"/>
      <c r="T221" s="31"/>
      <c r="U221" s="31"/>
      <c r="V221" s="30"/>
      <c r="W221" s="31"/>
      <c r="X221" s="31"/>
      <c r="Y221" s="31"/>
      <c r="Z221" s="31"/>
      <c r="AA221" s="31"/>
      <c r="AB221" s="31"/>
    </row>
    <row r="222" ht="15.75" customHeight="1">
      <c r="A222" s="31"/>
      <c r="B222" s="31"/>
      <c r="C222" s="31"/>
      <c r="D222" s="31"/>
      <c r="E222" s="31"/>
      <c r="F222" s="31"/>
      <c r="G222" s="32"/>
      <c r="H222" s="32"/>
      <c r="I222" s="24"/>
      <c r="J222" s="24"/>
      <c r="K222" s="31"/>
      <c r="L222" s="31"/>
      <c r="M222" s="31"/>
      <c r="N222" s="31"/>
      <c r="O222" s="31"/>
      <c r="P222" s="33"/>
      <c r="Q222" s="31"/>
      <c r="R222" s="33"/>
      <c r="S222" s="28"/>
      <c r="T222" s="31"/>
      <c r="U222" s="31"/>
      <c r="V222" s="30"/>
      <c r="W222" s="31"/>
      <c r="X222" s="31"/>
      <c r="Y222" s="31"/>
      <c r="Z222" s="31"/>
      <c r="AA222" s="31"/>
      <c r="AB222" s="31"/>
    </row>
    <row r="223" ht="15.75" customHeight="1">
      <c r="A223" s="31"/>
      <c r="B223" s="31"/>
      <c r="C223" s="31"/>
      <c r="D223" s="31"/>
      <c r="E223" s="31"/>
      <c r="F223" s="31"/>
      <c r="G223" s="32"/>
      <c r="H223" s="32"/>
      <c r="I223" s="24"/>
      <c r="J223" s="24"/>
      <c r="K223" s="31"/>
      <c r="L223" s="31"/>
      <c r="M223" s="31"/>
      <c r="N223" s="31"/>
      <c r="O223" s="31"/>
      <c r="P223" s="33"/>
      <c r="Q223" s="31"/>
      <c r="R223" s="33"/>
      <c r="S223" s="28"/>
      <c r="T223" s="31"/>
      <c r="U223" s="31"/>
      <c r="V223" s="30"/>
      <c r="W223" s="31"/>
      <c r="X223" s="31"/>
      <c r="Y223" s="31"/>
      <c r="Z223" s="31"/>
      <c r="AA223" s="31"/>
      <c r="AB223" s="31"/>
    </row>
    <row r="224" ht="15.75" customHeight="1">
      <c r="A224" s="31"/>
      <c r="B224" s="31"/>
      <c r="C224" s="31"/>
      <c r="D224" s="31"/>
      <c r="E224" s="31"/>
      <c r="F224" s="31"/>
      <c r="G224" s="32"/>
      <c r="H224" s="32"/>
      <c r="I224" s="24"/>
      <c r="J224" s="24"/>
      <c r="K224" s="31"/>
      <c r="L224" s="31"/>
      <c r="M224" s="31"/>
      <c r="N224" s="31"/>
      <c r="O224" s="31"/>
      <c r="P224" s="33"/>
      <c r="Q224" s="31"/>
      <c r="R224" s="33"/>
      <c r="S224" s="28"/>
      <c r="T224" s="31"/>
      <c r="U224" s="31"/>
      <c r="V224" s="30"/>
      <c r="W224" s="31"/>
      <c r="X224" s="31"/>
      <c r="Y224" s="31"/>
      <c r="Z224" s="31"/>
      <c r="AA224" s="31"/>
      <c r="AB224" s="31"/>
    </row>
    <row r="225" ht="15.75" customHeight="1">
      <c r="A225" s="31"/>
      <c r="B225" s="31"/>
      <c r="C225" s="31"/>
      <c r="D225" s="31"/>
      <c r="E225" s="31"/>
      <c r="F225" s="31"/>
      <c r="G225" s="32"/>
      <c r="H225" s="32"/>
      <c r="I225" s="24"/>
      <c r="J225" s="24"/>
      <c r="K225" s="31"/>
      <c r="L225" s="31"/>
      <c r="M225" s="31"/>
      <c r="N225" s="31"/>
      <c r="O225" s="31"/>
      <c r="P225" s="33"/>
      <c r="Q225" s="31"/>
      <c r="R225" s="33"/>
      <c r="S225" s="28"/>
      <c r="T225" s="31"/>
      <c r="U225" s="31"/>
      <c r="V225" s="30"/>
      <c r="W225" s="31"/>
      <c r="X225" s="31"/>
      <c r="Y225" s="31"/>
      <c r="Z225" s="31"/>
      <c r="AA225" s="31"/>
      <c r="AB225" s="31"/>
    </row>
    <row r="226" ht="15.75" customHeight="1">
      <c r="A226" s="31"/>
      <c r="B226" s="31"/>
      <c r="C226" s="31"/>
      <c r="D226" s="31"/>
      <c r="E226" s="31"/>
      <c r="F226" s="31"/>
      <c r="G226" s="32"/>
      <c r="H226" s="32"/>
      <c r="I226" s="24"/>
      <c r="J226" s="24"/>
      <c r="K226" s="31"/>
      <c r="L226" s="31"/>
      <c r="M226" s="31"/>
      <c r="N226" s="31"/>
      <c r="O226" s="31"/>
      <c r="P226" s="33"/>
      <c r="Q226" s="31"/>
      <c r="R226" s="33"/>
      <c r="S226" s="28"/>
      <c r="T226" s="31"/>
      <c r="U226" s="31"/>
      <c r="V226" s="30"/>
      <c r="W226" s="31"/>
      <c r="X226" s="31"/>
      <c r="Y226" s="31"/>
      <c r="Z226" s="31"/>
      <c r="AA226" s="31"/>
      <c r="AB226" s="31"/>
    </row>
    <row r="227" ht="15.75" customHeight="1">
      <c r="A227" s="31"/>
      <c r="B227" s="31"/>
      <c r="C227" s="31"/>
      <c r="D227" s="31"/>
      <c r="E227" s="31"/>
      <c r="F227" s="31"/>
      <c r="G227" s="32"/>
      <c r="H227" s="32"/>
      <c r="I227" s="24"/>
      <c r="J227" s="24"/>
      <c r="K227" s="31"/>
      <c r="L227" s="31"/>
      <c r="M227" s="31"/>
      <c r="N227" s="31"/>
      <c r="O227" s="31"/>
      <c r="P227" s="33"/>
      <c r="Q227" s="31"/>
      <c r="R227" s="33"/>
      <c r="S227" s="28"/>
      <c r="T227" s="31"/>
      <c r="U227" s="31"/>
      <c r="V227" s="30"/>
      <c r="W227" s="31"/>
      <c r="X227" s="31"/>
      <c r="Y227" s="31"/>
      <c r="Z227" s="31"/>
      <c r="AA227" s="31"/>
      <c r="AB227" s="31"/>
    </row>
    <row r="228" ht="15.75" customHeight="1">
      <c r="A228" s="31"/>
      <c r="B228" s="31"/>
      <c r="C228" s="31"/>
      <c r="D228" s="31"/>
      <c r="E228" s="31"/>
      <c r="F228" s="31"/>
      <c r="G228" s="32"/>
      <c r="H228" s="32"/>
      <c r="I228" s="24"/>
      <c r="J228" s="24"/>
      <c r="K228" s="31"/>
      <c r="L228" s="31"/>
      <c r="M228" s="31"/>
      <c r="N228" s="31"/>
      <c r="O228" s="31"/>
      <c r="P228" s="33"/>
      <c r="Q228" s="31"/>
      <c r="R228" s="33"/>
      <c r="S228" s="28"/>
      <c r="T228" s="31"/>
      <c r="U228" s="31"/>
      <c r="V228" s="30"/>
      <c r="W228" s="31"/>
      <c r="X228" s="31"/>
      <c r="Y228" s="31"/>
      <c r="Z228" s="31"/>
      <c r="AA228" s="31"/>
      <c r="AB228" s="31"/>
    </row>
    <row r="229" ht="15.75" customHeight="1">
      <c r="A229" s="31"/>
      <c r="B229" s="31"/>
      <c r="C229" s="31"/>
      <c r="D229" s="31"/>
      <c r="E229" s="31"/>
      <c r="F229" s="31"/>
      <c r="G229" s="32"/>
      <c r="H229" s="32"/>
      <c r="I229" s="24"/>
      <c r="J229" s="24"/>
      <c r="K229" s="31"/>
      <c r="L229" s="31"/>
      <c r="M229" s="31"/>
      <c r="N229" s="31"/>
      <c r="O229" s="31"/>
      <c r="P229" s="33"/>
      <c r="Q229" s="31"/>
      <c r="R229" s="33"/>
      <c r="S229" s="28"/>
      <c r="T229" s="31"/>
      <c r="U229" s="31"/>
      <c r="V229" s="30"/>
      <c r="W229" s="31"/>
      <c r="X229" s="31"/>
      <c r="Y229" s="31"/>
      <c r="Z229" s="31"/>
      <c r="AA229" s="31"/>
      <c r="AB229" s="31"/>
    </row>
    <row r="230" ht="15.75" customHeight="1">
      <c r="A230" s="31"/>
      <c r="B230" s="31"/>
      <c r="C230" s="31"/>
      <c r="D230" s="31"/>
      <c r="E230" s="31"/>
      <c r="F230" s="31"/>
      <c r="G230" s="32"/>
      <c r="H230" s="32"/>
      <c r="I230" s="24"/>
      <c r="J230" s="24"/>
      <c r="K230" s="31"/>
      <c r="L230" s="31"/>
      <c r="M230" s="31"/>
      <c r="N230" s="31"/>
      <c r="O230" s="31"/>
      <c r="P230" s="33"/>
      <c r="Q230" s="31"/>
      <c r="R230" s="33"/>
      <c r="S230" s="28"/>
      <c r="T230" s="31"/>
      <c r="U230" s="31"/>
      <c r="V230" s="30"/>
      <c r="W230" s="31"/>
      <c r="X230" s="31"/>
      <c r="Y230" s="31"/>
      <c r="Z230" s="31"/>
      <c r="AA230" s="31"/>
      <c r="AB230" s="31"/>
    </row>
    <row r="231" ht="15.75" customHeight="1">
      <c r="A231" s="31"/>
      <c r="B231" s="31"/>
      <c r="C231" s="31"/>
      <c r="D231" s="31"/>
      <c r="E231" s="31"/>
      <c r="F231" s="31"/>
      <c r="G231" s="32"/>
      <c r="H231" s="32"/>
      <c r="I231" s="24"/>
      <c r="J231" s="24"/>
      <c r="K231" s="31"/>
      <c r="L231" s="31"/>
      <c r="M231" s="31"/>
      <c r="N231" s="31"/>
      <c r="O231" s="31"/>
      <c r="P231" s="33"/>
      <c r="Q231" s="31"/>
      <c r="R231" s="33"/>
      <c r="S231" s="28"/>
      <c r="T231" s="31"/>
      <c r="U231" s="31"/>
      <c r="V231" s="30"/>
      <c r="W231" s="31"/>
      <c r="X231" s="31"/>
      <c r="Y231" s="31"/>
      <c r="Z231" s="31"/>
      <c r="AA231" s="31"/>
      <c r="AB231" s="31"/>
    </row>
    <row r="232" ht="15.75" customHeight="1">
      <c r="A232" s="31"/>
      <c r="B232" s="31"/>
      <c r="C232" s="31"/>
      <c r="D232" s="31"/>
      <c r="E232" s="31"/>
      <c r="F232" s="31"/>
      <c r="G232" s="32"/>
      <c r="H232" s="32"/>
      <c r="I232" s="24"/>
      <c r="J232" s="24"/>
      <c r="K232" s="31"/>
      <c r="L232" s="31"/>
      <c r="M232" s="31"/>
      <c r="N232" s="31"/>
      <c r="O232" s="31"/>
      <c r="P232" s="33"/>
      <c r="Q232" s="31"/>
      <c r="R232" s="33"/>
      <c r="S232" s="28"/>
      <c r="T232" s="31"/>
      <c r="U232" s="31"/>
      <c r="V232" s="30"/>
      <c r="W232" s="31"/>
      <c r="X232" s="31"/>
      <c r="Y232" s="31"/>
      <c r="Z232" s="31"/>
      <c r="AA232" s="31"/>
      <c r="AB232" s="31"/>
    </row>
    <row r="233" ht="15.75" customHeight="1">
      <c r="A233" s="31"/>
      <c r="B233" s="31"/>
      <c r="C233" s="31"/>
      <c r="D233" s="31"/>
      <c r="E233" s="31"/>
      <c r="F233" s="31"/>
      <c r="G233" s="32"/>
      <c r="H233" s="32"/>
      <c r="I233" s="24"/>
      <c r="J233" s="24"/>
      <c r="K233" s="31"/>
      <c r="L233" s="31"/>
      <c r="M233" s="31"/>
      <c r="N233" s="31"/>
      <c r="O233" s="31"/>
      <c r="P233" s="33"/>
      <c r="Q233" s="31"/>
      <c r="R233" s="33"/>
      <c r="S233" s="28"/>
      <c r="T233" s="31"/>
      <c r="U233" s="31"/>
      <c r="V233" s="30"/>
      <c r="W233" s="31"/>
      <c r="X233" s="31"/>
      <c r="Y233" s="31"/>
      <c r="Z233" s="31"/>
      <c r="AA233" s="31"/>
      <c r="AB233" s="31"/>
    </row>
    <row r="234" ht="15.75" customHeight="1">
      <c r="A234" s="31"/>
      <c r="B234" s="31"/>
      <c r="C234" s="31"/>
      <c r="D234" s="31"/>
      <c r="E234" s="31"/>
      <c r="F234" s="31"/>
      <c r="G234" s="32"/>
      <c r="H234" s="32"/>
      <c r="I234" s="24"/>
      <c r="J234" s="24"/>
      <c r="K234" s="31"/>
      <c r="L234" s="31"/>
      <c r="M234" s="31"/>
      <c r="N234" s="31"/>
      <c r="O234" s="31"/>
      <c r="P234" s="33"/>
      <c r="Q234" s="31"/>
      <c r="R234" s="33"/>
      <c r="S234" s="28"/>
      <c r="T234" s="31"/>
      <c r="U234" s="31"/>
      <c r="V234" s="30"/>
      <c r="W234" s="31"/>
      <c r="X234" s="31"/>
      <c r="Y234" s="31"/>
      <c r="Z234" s="31"/>
      <c r="AA234" s="31"/>
      <c r="AB234" s="31"/>
    </row>
    <row r="235" ht="15.75" customHeight="1">
      <c r="A235" s="31"/>
      <c r="B235" s="31"/>
      <c r="C235" s="31"/>
      <c r="D235" s="31"/>
      <c r="E235" s="31"/>
      <c r="F235" s="31"/>
      <c r="G235" s="32"/>
      <c r="H235" s="32"/>
      <c r="I235" s="24"/>
      <c r="J235" s="24"/>
      <c r="K235" s="31"/>
      <c r="L235" s="31"/>
      <c r="M235" s="31"/>
      <c r="N235" s="31"/>
      <c r="O235" s="31"/>
      <c r="P235" s="33"/>
      <c r="Q235" s="31"/>
      <c r="R235" s="33"/>
      <c r="S235" s="28"/>
      <c r="T235" s="31"/>
      <c r="U235" s="31"/>
      <c r="V235" s="30"/>
      <c r="W235" s="31"/>
      <c r="X235" s="31"/>
      <c r="Y235" s="31"/>
      <c r="Z235" s="31"/>
      <c r="AA235" s="31"/>
      <c r="AB235" s="31"/>
    </row>
    <row r="236" ht="15.75" customHeight="1">
      <c r="A236" s="31"/>
      <c r="B236" s="31"/>
      <c r="C236" s="31"/>
      <c r="D236" s="31"/>
      <c r="E236" s="31"/>
      <c r="F236" s="31"/>
      <c r="G236" s="32"/>
      <c r="H236" s="32"/>
      <c r="I236" s="24"/>
      <c r="J236" s="24"/>
      <c r="K236" s="31"/>
      <c r="L236" s="31"/>
      <c r="M236" s="31"/>
      <c r="N236" s="31"/>
      <c r="O236" s="31"/>
      <c r="P236" s="33"/>
      <c r="Q236" s="31"/>
      <c r="R236" s="33"/>
      <c r="S236" s="28"/>
      <c r="T236" s="31"/>
      <c r="U236" s="31"/>
      <c r="V236" s="30"/>
      <c r="W236" s="31"/>
      <c r="X236" s="31"/>
      <c r="Y236" s="31"/>
      <c r="Z236" s="31"/>
      <c r="AA236" s="31"/>
      <c r="AB236" s="31"/>
    </row>
    <row r="237" ht="15.75" customHeight="1">
      <c r="A237" s="31"/>
      <c r="B237" s="31"/>
      <c r="C237" s="31"/>
      <c r="D237" s="31"/>
      <c r="E237" s="31"/>
      <c r="F237" s="31"/>
      <c r="G237" s="32"/>
      <c r="H237" s="32"/>
      <c r="I237" s="24"/>
      <c r="J237" s="24"/>
      <c r="K237" s="31"/>
      <c r="L237" s="31"/>
      <c r="M237" s="31"/>
      <c r="N237" s="31"/>
      <c r="O237" s="31"/>
      <c r="P237" s="33"/>
      <c r="Q237" s="31"/>
      <c r="R237" s="33"/>
      <c r="S237" s="28"/>
      <c r="T237" s="31"/>
      <c r="U237" s="31"/>
      <c r="V237" s="30"/>
      <c r="W237" s="31"/>
      <c r="X237" s="31"/>
      <c r="Y237" s="31"/>
      <c r="Z237" s="31"/>
      <c r="AA237" s="31"/>
      <c r="AB237" s="31"/>
    </row>
    <row r="238" ht="15.75" customHeight="1">
      <c r="A238" s="31"/>
      <c r="B238" s="31"/>
      <c r="C238" s="31"/>
      <c r="D238" s="31"/>
      <c r="E238" s="31"/>
      <c r="F238" s="31"/>
      <c r="G238" s="32"/>
      <c r="H238" s="32"/>
      <c r="I238" s="24"/>
      <c r="J238" s="24"/>
      <c r="K238" s="31"/>
      <c r="L238" s="31"/>
      <c r="M238" s="31"/>
      <c r="N238" s="31"/>
      <c r="O238" s="31"/>
      <c r="P238" s="33"/>
      <c r="Q238" s="31"/>
      <c r="R238" s="33"/>
      <c r="S238" s="28"/>
      <c r="T238" s="31"/>
      <c r="U238" s="31"/>
      <c r="V238" s="30"/>
      <c r="W238" s="31"/>
      <c r="X238" s="31"/>
      <c r="Y238" s="31"/>
      <c r="Z238" s="31"/>
      <c r="AA238" s="31"/>
      <c r="AB238" s="31"/>
    </row>
    <row r="239" ht="15.75" customHeight="1">
      <c r="A239" s="31"/>
      <c r="B239" s="31"/>
      <c r="C239" s="31"/>
      <c r="D239" s="31"/>
      <c r="E239" s="31"/>
      <c r="F239" s="31"/>
      <c r="G239" s="32"/>
      <c r="H239" s="32"/>
      <c r="I239" s="24"/>
      <c r="J239" s="24"/>
      <c r="K239" s="31"/>
      <c r="L239" s="31"/>
      <c r="M239" s="31"/>
      <c r="N239" s="31"/>
      <c r="O239" s="31"/>
      <c r="P239" s="33"/>
      <c r="Q239" s="31"/>
      <c r="R239" s="33"/>
      <c r="S239" s="28"/>
      <c r="T239" s="31"/>
      <c r="U239" s="31"/>
      <c r="V239" s="30"/>
      <c r="W239" s="31"/>
      <c r="X239" s="31"/>
      <c r="Y239" s="31"/>
      <c r="Z239" s="31"/>
      <c r="AA239" s="31"/>
      <c r="AB239" s="31"/>
    </row>
    <row r="240" ht="15.75" customHeight="1">
      <c r="A240" s="31"/>
      <c r="B240" s="31"/>
      <c r="C240" s="31"/>
      <c r="D240" s="31"/>
      <c r="E240" s="31"/>
      <c r="F240" s="31"/>
      <c r="G240" s="32"/>
      <c r="H240" s="32"/>
      <c r="I240" s="24"/>
      <c r="J240" s="24"/>
      <c r="K240" s="31"/>
      <c r="L240" s="31"/>
      <c r="M240" s="31"/>
      <c r="N240" s="31"/>
      <c r="O240" s="31"/>
      <c r="P240" s="33"/>
      <c r="Q240" s="31"/>
      <c r="R240" s="33"/>
      <c r="S240" s="28"/>
      <c r="T240" s="31"/>
      <c r="U240" s="31"/>
      <c r="V240" s="30"/>
      <c r="W240" s="31"/>
      <c r="X240" s="31"/>
      <c r="Y240" s="31"/>
      <c r="Z240" s="31"/>
      <c r="AA240" s="31"/>
      <c r="AB240" s="31"/>
    </row>
    <row r="241" ht="15.75" customHeight="1">
      <c r="A241" s="31"/>
      <c r="B241" s="31"/>
      <c r="C241" s="31"/>
      <c r="D241" s="31"/>
      <c r="E241" s="31"/>
      <c r="F241" s="31"/>
      <c r="G241" s="32"/>
      <c r="H241" s="32"/>
      <c r="I241" s="24"/>
      <c r="J241" s="24"/>
      <c r="K241" s="31"/>
      <c r="L241" s="31"/>
      <c r="M241" s="31"/>
      <c r="N241" s="31"/>
      <c r="O241" s="31"/>
      <c r="P241" s="33"/>
      <c r="Q241" s="31"/>
      <c r="R241" s="33"/>
      <c r="S241" s="28"/>
      <c r="T241" s="31"/>
      <c r="U241" s="31"/>
      <c r="V241" s="30"/>
      <c r="W241" s="31"/>
      <c r="X241" s="31"/>
      <c r="Y241" s="31"/>
      <c r="Z241" s="31"/>
      <c r="AA241" s="31"/>
      <c r="AB241" s="31"/>
    </row>
    <row r="242" ht="15.75" customHeight="1">
      <c r="A242" s="31"/>
      <c r="B242" s="31"/>
      <c r="C242" s="31"/>
      <c r="D242" s="31"/>
      <c r="E242" s="31"/>
      <c r="F242" s="31"/>
      <c r="G242" s="32"/>
      <c r="H242" s="32"/>
      <c r="I242" s="24"/>
      <c r="J242" s="24"/>
      <c r="K242" s="31"/>
      <c r="L242" s="31"/>
      <c r="M242" s="31"/>
      <c r="N242" s="31"/>
      <c r="O242" s="31"/>
      <c r="P242" s="33"/>
      <c r="Q242" s="31"/>
      <c r="R242" s="33"/>
      <c r="S242" s="28"/>
      <c r="T242" s="31"/>
      <c r="U242" s="31"/>
      <c r="V242" s="30"/>
      <c r="W242" s="31"/>
      <c r="X242" s="31"/>
      <c r="Y242" s="31"/>
      <c r="Z242" s="31"/>
      <c r="AA242" s="31"/>
      <c r="AB242" s="31"/>
    </row>
    <row r="243" ht="15.75" customHeight="1">
      <c r="A243" s="31"/>
      <c r="B243" s="31"/>
      <c r="C243" s="31"/>
      <c r="D243" s="31"/>
      <c r="E243" s="31"/>
      <c r="F243" s="31"/>
      <c r="G243" s="32"/>
      <c r="H243" s="32"/>
      <c r="I243" s="24"/>
      <c r="J243" s="24"/>
      <c r="K243" s="31"/>
      <c r="L243" s="31"/>
      <c r="M243" s="31"/>
      <c r="N243" s="31"/>
      <c r="O243" s="31"/>
      <c r="P243" s="33"/>
      <c r="Q243" s="31"/>
      <c r="R243" s="33"/>
      <c r="S243" s="28"/>
      <c r="T243" s="31"/>
      <c r="U243" s="31"/>
      <c r="V243" s="30"/>
      <c r="W243" s="31"/>
      <c r="X243" s="31"/>
      <c r="Y243" s="31"/>
      <c r="Z243" s="31"/>
      <c r="AA243" s="31"/>
      <c r="AB243" s="31"/>
    </row>
    <row r="244" ht="15.75" customHeight="1">
      <c r="A244" s="31"/>
      <c r="B244" s="31"/>
      <c r="C244" s="31"/>
      <c r="D244" s="31"/>
      <c r="E244" s="31"/>
      <c r="F244" s="31"/>
      <c r="G244" s="32"/>
      <c r="H244" s="32"/>
      <c r="I244" s="24"/>
      <c r="J244" s="24"/>
      <c r="K244" s="31"/>
      <c r="L244" s="31"/>
      <c r="M244" s="31"/>
      <c r="N244" s="31"/>
      <c r="O244" s="31"/>
      <c r="P244" s="33"/>
      <c r="Q244" s="31"/>
      <c r="R244" s="33"/>
      <c r="S244" s="28"/>
      <c r="T244" s="31"/>
      <c r="U244" s="31"/>
      <c r="V244" s="30"/>
      <c r="W244" s="31"/>
      <c r="X244" s="31"/>
      <c r="Y244" s="31"/>
      <c r="Z244" s="31"/>
      <c r="AA244" s="31"/>
      <c r="AB244" s="31"/>
    </row>
    <row r="245" ht="15.75" customHeight="1">
      <c r="A245" s="31"/>
      <c r="B245" s="31"/>
      <c r="C245" s="31"/>
      <c r="D245" s="31"/>
      <c r="E245" s="31"/>
      <c r="F245" s="31"/>
      <c r="G245" s="32"/>
      <c r="H245" s="32"/>
      <c r="I245" s="24"/>
      <c r="J245" s="24"/>
      <c r="K245" s="31"/>
      <c r="L245" s="31"/>
      <c r="M245" s="31"/>
      <c r="N245" s="31"/>
      <c r="O245" s="31"/>
      <c r="P245" s="33"/>
      <c r="Q245" s="31"/>
      <c r="R245" s="33"/>
      <c r="S245" s="28"/>
      <c r="T245" s="31"/>
      <c r="U245" s="31"/>
      <c r="V245" s="30"/>
      <c r="W245" s="31"/>
      <c r="X245" s="31"/>
      <c r="Y245" s="31"/>
      <c r="Z245" s="31"/>
      <c r="AA245" s="31"/>
      <c r="AB245" s="31"/>
    </row>
    <row r="246" ht="15.75" customHeight="1">
      <c r="A246" s="31"/>
      <c r="B246" s="31"/>
      <c r="C246" s="31"/>
      <c r="D246" s="31"/>
      <c r="E246" s="31"/>
      <c r="F246" s="31"/>
      <c r="G246" s="32"/>
      <c r="H246" s="32"/>
      <c r="I246" s="24"/>
      <c r="J246" s="24"/>
      <c r="K246" s="31"/>
      <c r="L246" s="31"/>
      <c r="M246" s="31"/>
      <c r="N246" s="31"/>
      <c r="O246" s="31"/>
      <c r="P246" s="33"/>
      <c r="Q246" s="31"/>
      <c r="R246" s="33"/>
      <c r="S246" s="28"/>
      <c r="T246" s="31"/>
      <c r="U246" s="31"/>
      <c r="V246" s="30"/>
      <c r="W246" s="31"/>
      <c r="X246" s="31"/>
      <c r="Y246" s="31"/>
      <c r="Z246" s="31"/>
      <c r="AA246" s="31"/>
      <c r="AB246" s="31"/>
    </row>
    <row r="247" ht="15.75" customHeight="1">
      <c r="A247" s="31"/>
      <c r="B247" s="31"/>
      <c r="C247" s="31"/>
      <c r="D247" s="31"/>
      <c r="E247" s="31"/>
      <c r="F247" s="31"/>
      <c r="G247" s="32"/>
      <c r="H247" s="32"/>
      <c r="I247" s="24"/>
      <c r="J247" s="24"/>
      <c r="K247" s="31"/>
      <c r="L247" s="31"/>
      <c r="M247" s="31"/>
      <c r="N247" s="31"/>
      <c r="O247" s="31"/>
      <c r="P247" s="33"/>
      <c r="Q247" s="31"/>
      <c r="R247" s="33"/>
      <c r="S247" s="28"/>
      <c r="T247" s="31"/>
      <c r="U247" s="31"/>
      <c r="V247" s="30"/>
      <c r="W247" s="31"/>
      <c r="X247" s="31"/>
      <c r="Y247" s="31"/>
      <c r="Z247" s="31"/>
      <c r="AA247" s="31"/>
      <c r="AB247" s="31"/>
    </row>
    <row r="248" ht="15.75" customHeight="1">
      <c r="A248" s="31"/>
      <c r="B248" s="31"/>
      <c r="C248" s="31"/>
      <c r="D248" s="31"/>
      <c r="E248" s="31"/>
      <c r="F248" s="31"/>
      <c r="G248" s="32"/>
      <c r="H248" s="32"/>
      <c r="I248" s="24"/>
      <c r="J248" s="24"/>
      <c r="K248" s="31"/>
      <c r="L248" s="31"/>
      <c r="M248" s="31"/>
      <c r="N248" s="31"/>
      <c r="O248" s="31"/>
      <c r="P248" s="33"/>
      <c r="Q248" s="31"/>
      <c r="R248" s="33"/>
      <c r="S248" s="28"/>
      <c r="T248" s="31"/>
      <c r="U248" s="31"/>
      <c r="V248" s="30"/>
      <c r="W248" s="31"/>
      <c r="X248" s="31"/>
      <c r="Y248" s="31"/>
      <c r="Z248" s="31"/>
      <c r="AA248" s="31"/>
      <c r="AB248" s="31"/>
    </row>
    <row r="249" ht="15.75" customHeight="1">
      <c r="A249" s="31"/>
      <c r="B249" s="31"/>
      <c r="C249" s="31"/>
      <c r="D249" s="31"/>
      <c r="E249" s="31"/>
      <c r="F249" s="31"/>
      <c r="G249" s="32"/>
      <c r="H249" s="32"/>
      <c r="I249" s="24"/>
      <c r="J249" s="24"/>
      <c r="K249" s="31"/>
      <c r="L249" s="31"/>
      <c r="M249" s="31"/>
      <c r="N249" s="31"/>
      <c r="O249" s="31"/>
      <c r="P249" s="33"/>
      <c r="Q249" s="31"/>
      <c r="R249" s="33"/>
      <c r="S249" s="28"/>
      <c r="T249" s="31"/>
      <c r="U249" s="31"/>
      <c r="V249" s="30"/>
      <c r="W249" s="31"/>
      <c r="X249" s="31"/>
      <c r="Y249" s="31"/>
      <c r="Z249" s="31"/>
      <c r="AA249" s="31"/>
      <c r="AB249" s="31"/>
    </row>
    <row r="250" ht="15.75" customHeight="1">
      <c r="A250" s="31"/>
      <c r="B250" s="31"/>
      <c r="C250" s="31"/>
      <c r="D250" s="31"/>
      <c r="E250" s="31"/>
      <c r="F250" s="31"/>
      <c r="G250" s="32"/>
      <c r="H250" s="32"/>
      <c r="I250" s="24"/>
      <c r="J250" s="24"/>
      <c r="K250" s="31"/>
      <c r="L250" s="31"/>
      <c r="M250" s="31"/>
      <c r="N250" s="31"/>
      <c r="O250" s="31"/>
      <c r="P250" s="33"/>
      <c r="Q250" s="31"/>
      <c r="R250" s="33"/>
      <c r="S250" s="28"/>
      <c r="T250" s="31"/>
      <c r="U250" s="31"/>
      <c r="V250" s="30"/>
      <c r="W250" s="31"/>
      <c r="X250" s="31"/>
      <c r="Y250" s="31"/>
      <c r="Z250" s="31"/>
      <c r="AA250" s="31"/>
      <c r="AB250" s="31"/>
    </row>
    <row r="251" ht="15.75" customHeight="1">
      <c r="A251" s="31"/>
      <c r="B251" s="31"/>
      <c r="C251" s="31"/>
      <c r="D251" s="31"/>
      <c r="E251" s="31"/>
      <c r="F251" s="31"/>
      <c r="G251" s="32"/>
      <c r="H251" s="32"/>
      <c r="I251" s="24"/>
      <c r="J251" s="24"/>
      <c r="K251" s="31"/>
      <c r="L251" s="31"/>
      <c r="M251" s="31"/>
      <c r="N251" s="31"/>
      <c r="O251" s="31"/>
      <c r="P251" s="33"/>
      <c r="Q251" s="31"/>
      <c r="R251" s="33"/>
      <c r="S251" s="28"/>
      <c r="T251" s="31"/>
      <c r="U251" s="31"/>
      <c r="V251" s="30"/>
      <c r="W251" s="31"/>
      <c r="X251" s="31"/>
      <c r="Y251" s="31"/>
      <c r="Z251" s="31"/>
      <c r="AA251" s="31"/>
      <c r="AB251" s="31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T$1:$T$1000"/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" width="12.63"/>
    <col customWidth="1" min="3" max="3" width="17.0"/>
    <col customWidth="1" min="4" max="5" width="12.63"/>
    <col customWidth="1" min="6" max="6" width="23.13"/>
    <col customWidth="1" min="7" max="7" width="22.5"/>
    <col customWidth="1" min="8" max="8" width="11.25"/>
    <col customWidth="1" min="9" max="9" width="13.63"/>
    <col customWidth="1" min="11" max="11" width="6.75"/>
    <col customWidth="1" min="12" max="12" width="12.88"/>
    <col customWidth="1" min="13" max="13" width="22.75"/>
    <col customWidth="1" min="14" max="14" width="16.5"/>
    <col customWidth="1" min="15" max="15" width="22.88"/>
    <col customWidth="1" min="16" max="16" width="34.63"/>
    <col customWidth="1" min="17" max="17" width="28.5"/>
    <col customWidth="1" min="18" max="19" width="17.25"/>
  </cols>
  <sheetData>
    <row r="1" ht="15.75" customHeight="1">
      <c r="A1" s="34" t="s">
        <v>0</v>
      </c>
      <c r="B1" s="34" t="s">
        <v>4</v>
      </c>
      <c r="C1" s="34" t="s">
        <v>5</v>
      </c>
      <c r="D1" s="2" t="s">
        <v>6</v>
      </c>
      <c r="E1" s="2" t="s">
        <v>7</v>
      </c>
      <c r="F1" s="34" t="s">
        <v>11</v>
      </c>
      <c r="G1" s="1" t="s">
        <v>12</v>
      </c>
      <c r="H1" s="1" t="s">
        <v>16</v>
      </c>
      <c r="I1" s="34" t="s">
        <v>17</v>
      </c>
      <c r="J1" s="34" t="s">
        <v>19</v>
      </c>
      <c r="K1" s="34" t="s">
        <v>20</v>
      </c>
      <c r="L1" s="34" t="s">
        <v>21</v>
      </c>
      <c r="M1" s="34" t="s">
        <v>402</v>
      </c>
      <c r="N1" s="34" t="s">
        <v>23</v>
      </c>
      <c r="O1" s="34" t="s">
        <v>24</v>
      </c>
      <c r="P1" s="34" t="s">
        <v>25</v>
      </c>
      <c r="Q1" s="34" t="s">
        <v>26</v>
      </c>
      <c r="R1" s="1" t="s">
        <v>27</v>
      </c>
      <c r="S1" s="34" t="s">
        <v>403</v>
      </c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ht="15.75" customHeight="1">
      <c r="A2" s="30" t="s">
        <v>404</v>
      </c>
      <c r="B2" s="30" t="s">
        <v>126</v>
      </c>
      <c r="C2" s="30" t="s">
        <v>168</v>
      </c>
      <c r="D2" s="36">
        <v>51.054167</v>
      </c>
      <c r="E2" s="36">
        <v>6.521667</v>
      </c>
      <c r="F2" s="28"/>
      <c r="G2" s="30" t="s">
        <v>66</v>
      </c>
      <c r="H2" s="30">
        <v>18.49</v>
      </c>
      <c r="I2" s="30">
        <v>5004.96</v>
      </c>
      <c r="J2" s="37" t="s">
        <v>37</v>
      </c>
      <c r="K2" s="30" t="s">
        <v>38</v>
      </c>
      <c r="L2" s="30" t="s">
        <v>39</v>
      </c>
      <c r="M2" s="30"/>
      <c r="N2" s="30">
        <v>11600.0</v>
      </c>
      <c r="O2" s="30" t="s">
        <v>41</v>
      </c>
      <c r="P2" s="31" t="s">
        <v>42</v>
      </c>
      <c r="Q2" s="30" t="s">
        <v>43</v>
      </c>
      <c r="R2" s="30" t="s">
        <v>43</v>
      </c>
      <c r="S2" s="30" t="s">
        <v>405</v>
      </c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</row>
    <row r="3" ht="15.75" customHeight="1">
      <c r="A3" s="30" t="s">
        <v>406</v>
      </c>
      <c r="B3" s="30" t="s">
        <v>407</v>
      </c>
      <c r="C3" s="30" t="s">
        <v>408</v>
      </c>
      <c r="D3" s="36">
        <v>37.349722</v>
      </c>
      <c r="E3" s="36">
        <v>31.945278</v>
      </c>
      <c r="F3" s="30" t="s">
        <v>409</v>
      </c>
      <c r="G3" s="30" t="s">
        <v>34</v>
      </c>
      <c r="H3" s="30">
        <v>13.85</v>
      </c>
      <c r="I3" s="30">
        <v>1628.0</v>
      </c>
      <c r="J3" s="37" t="s">
        <v>157</v>
      </c>
      <c r="K3" s="30" t="s">
        <v>52</v>
      </c>
      <c r="L3" s="30" t="s">
        <v>393</v>
      </c>
      <c r="M3" s="28"/>
      <c r="N3" s="30">
        <f>(8175+7969)/2</f>
        <v>8072</v>
      </c>
      <c r="O3" s="30" t="s">
        <v>410</v>
      </c>
      <c r="P3" s="30" t="s">
        <v>411</v>
      </c>
      <c r="Q3" s="30" t="s">
        <v>410</v>
      </c>
      <c r="R3" s="30"/>
      <c r="S3" s="30" t="s">
        <v>412</v>
      </c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ht="15.75" customHeight="1">
      <c r="A4" s="30" t="s">
        <v>413</v>
      </c>
      <c r="B4" s="30" t="s">
        <v>414</v>
      </c>
      <c r="C4" s="30" t="s">
        <v>415</v>
      </c>
      <c r="D4" s="36">
        <v>35.376861</v>
      </c>
      <c r="E4" s="36">
        <v>45.645667</v>
      </c>
      <c r="F4" s="30" t="s">
        <v>416</v>
      </c>
      <c r="G4" s="30" t="s">
        <v>417</v>
      </c>
      <c r="H4" s="30">
        <v>13.8</v>
      </c>
      <c r="I4" s="31">
        <v>131.84</v>
      </c>
      <c r="J4" s="37" t="s">
        <v>258</v>
      </c>
      <c r="K4" s="30" t="s">
        <v>52</v>
      </c>
      <c r="L4" s="30" t="s">
        <v>106</v>
      </c>
      <c r="M4" s="30" t="s">
        <v>418</v>
      </c>
      <c r="N4" s="38">
        <f>(652+553)/2</f>
        <v>602.5</v>
      </c>
      <c r="O4" s="30" t="s">
        <v>419</v>
      </c>
      <c r="P4" s="30"/>
      <c r="Q4" s="30"/>
      <c r="R4" s="30"/>
      <c r="S4" s="30" t="s">
        <v>420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ht="15.75" customHeight="1">
      <c r="A5" s="30" t="s">
        <v>421</v>
      </c>
      <c r="B5" s="30" t="s">
        <v>422</v>
      </c>
      <c r="C5" s="30" t="s">
        <v>423</v>
      </c>
      <c r="D5" s="36">
        <v>53.0688285839207</v>
      </c>
      <c r="E5" s="36">
        <v>-1.659356499421</v>
      </c>
      <c r="F5" s="28"/>
      <c r="G5" s="30" t="s">
        <v>66</v>
      </c>
      <c r="H5" s="30">
        <v>3.77</v>
      </c>
      <c r="I5" s="30">
        <v>33.73</v>
      </c>
      <c r="J5" s="37" t="s">
        <v>37</v>
      </c>
      <c r="K5" s="30" t="s">
        <v>52</v>
      </c>
      <c r="L5" s="30" t="s">
        <v>39</v>
      </c>
      <c r="M5" s="30"/>
      <c r="N5" s="30">
        <v>6738.0</v>
      </c>
      <c r="O5" s="30" t="s">
        <v>107</v>
      </c>
      <c r="P5" s="31" t="s">
        <v>42</v>
      </c>
      <c r="Q5" s="30"/>
      <c r="R5" s="30" t="s">
        <v>43</v>
      </c>
      <c r="S5" s="30" t="s">
        <v>424</v>
      </c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ht="15.75" customHeight="1">
      <c r="A6" s="30" t="s">
        <v>425</v>
      </c>
      <c r="B6" s="30" t="s">
        <v>426</v>
      </c>
      <c r="C6" s="30" t="s">
        <v>427</v>
      </c>
      <c r="D6" s="36">
        <v>42.6575</v>
      </c>
      <c r="E6" s="36">
        <v>44.645278</v>
      </c>
      <c r="F6" s="28"/>
      <c r="G6" s="30" t="s">
        <v>417</v>
      </c>
      <c r="H6" s="30">
        <v>3.07</v>
      </c>
      <c r="I6" s="30">
        <v>165.76</v>
      </c>
      <c r="J6" s="37" t="s">
        <v>258</v>
      </c>
      <c r="K6" s="30" t="s">
        <v>38</v>
      </c>
      <c r="L6" s="30" t="s">
        <v>106</v>
      </c>
      <c r="M6" s="30" t="s">
        <v>428</v>
      </c>
      <c r="N6" s="30">
        <v>1000.0</v>
      </c>
      <c r="O6" s="30" t="s">
        <v>429</v>
      </c>
      <c r="P6" s="30"/>
      <c r="Q6" s="30"/>
      <c r="R6" s="7"/>
      <c r="S6" s="30" t="s">
        <v>430</v>
      </c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ht="15.75" customHeight="1">
      <c r="A7" s="30" t="s">
        <v>431</v>
      </c>
      <c r="B7" s="30" t="s">
        <v>407</v>
      </c>
      <c r="C7" s="30" t="s">
        <v>432</v>
      </c>
      <c r="D7" s="39">
        <v>40.286743</v>
      </c>
      <c r="E7" s="39">
        <v>29.528623</v>
      </c>
      <c r="F7" s="28"/>
      <c r="G7" s="30" t="s">
        <v>34</v>
      </c>
      <c r="H7" s="30">
        <v>2.92</v>
      </c>
      <c r="I7" s="30">
        <v>356.64</v>
      </c>
      <c r="J7" s="37" t="s">
        <v>157</v>
      </c>
      <c r="K7" s="30" t="s">
        <v>52</v>
      </c>
      <c r="L7" s="30" t="s">
        <v>106</v>
      </c>
      <c r="M7" s="30" t="s">
        <v>433</v>
      </c>
      <c r="N7" s="30">
        <v>8050.0</v>
      </c>
      <c r="O7" s="30" t="s">
        <v>410</v>
      </c>
      <c r="P7" s="30" t="s">
        <v>411</v>
      </c>
      <c r="Q7" s="30"/>
      <c r="R7" s="7"/>
      <c r="S7" s="30" t="s">
        <v>434</v>
      </c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ht="15.75" customHeight="1">
      <c r="A8" s="30" t="s">
        <v>435</v>
      </c>
      <c r="B8" s="30" t="s">
        <v>436</v>
      </c>
      <c r="C8" s="40" t="s">
        <v>437</v>
      </c>
      <c r="D8" s="39">
        <v>43.201944</v>
      </c>
      <c r="E8" s="39">
        <v>21.355556</v>
      </c>
      <c r="F8" s="28"/>
      <c r="G8" s="30" t="s">
        <v>312</v>
      </c>
      <c r="H8" s="30">
        <v>2.86</v>
      </c>
      <c r="I8" s="30">
        <v>183.64</v>
      </c>
      <c r="J8" s="37" t="s">
        <v>157</v>
      </c>
      <c r="K8" s="30" t="s">
        <v>52</v>
      </c>
      <c r="L8" s="30" t="s">
        <v>393</v>
      </c>
      <c r="M8" s="30" t="s">
        <v>438</v>
      </c>
      <c r="N8" s="30">
        <v>7000.0</v>
      </c>
      <c r="O8" s="30" t="s">
        <v>439</v>
      </c>
      <c r="P8" s="30"/>
      <c r="Q8" s="30"/>
      <c r="R8" s="7"/>
      <c r="S8" s="30" t="s">
        <v>440</v>
      </c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ht="15.75" customHeight="1">
      <c r="A9" s="30" t="s">
        <v>441</v>
      </c>
      <c r="B9" s="30" t="s">
        <v>442</v>
      </c>
      <c r="C9" s="30" t="s">
        <v>443</v>
      </c>
      <c r="D9" s="36">
        <v>38.33193836</v>
      </c>
      <c r="E9" s="36">
        <v>109.833737411221</v>
      </c>
      <c r="F9" s="30" t="s">
        <v>444</v>
      </c>
      <c r="G9" s="30" t="s">
        <v>34</v>
      </c>
      <c r="H9" s="30">
        <v>2.82</v>
      </c>
      <c r="I9" s="30">
        <v>139.61</v>
      </c>
      <c r="J9" s="37" t="s">
        <v>157</v>
      </c>
      <c r="K9" s="30" t="s">
        <v>38</v>
      </c>
      <c r="L9" s="30" t="s">
        <v>445</v>
      </c>
      <c r="M9" s="28"/>
      <c r="N9" s="30">
        <f>(3980+3778)/2</f>
        <v>3879</v>
      </c>
      <c r="O9" s="30" t="s">
        <v>446</v>
      </c>
      <c r="P9" s="30"/>
      <c r="Q9" s="30"/>
      <c r="R9" s="7"/>
      <c r="S9" s="30" t="s">
        <v>447</v>
      </c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ht="15.75" customHeight="1">
      <c r="A10" s="30" t="s">
        <v>448</v>
      </c>
      <c r="B10" s="30" t="s">
        <v>436</v>
      </c>
      <c r="C10" s="40" t="s">
        <v>437</v>
      </c>
      <c r="D10" s="39">
        <v>43.201944</v>
      </c>
      <c r="E10" s="39">
        <v>21.355556</v>
      </c>
      <c r="F10" s="28"/>
      <c r="G10" s="30" t="s">
        <v>449</v>
      </c>
      <c r="H10" s="30">
        <v>2.63</v>
      </c>
      <c r="I10" s="30">
        <v>164.19</v>
      </c>
      <c r="J10" s="37" t="s">
        <v>157</v>
      </c>
      <c r="K10" s="30" t="s">
        <v>52</v>
      </c>
      <c r="L10" s="30" t="s">
        <v>106</v>
      </c>
      <c r="M10" s="30" t="s">
        <v>450</v>
      </c>
      <c r="N10" s="30">
        <v>7025.0</v>
      </c>
      <c r="O10" s="30" t="s">
        <v>439</v>
      </c>
      <c r="P10" s="30"/>
      <c r="Q10" s="30"/>
      <c r="R10" s="30"/>
      <c r="S10" s="30" t="s">
        <v>451</v>
      </c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ht="15.75" customHeight="1">
      <c r="A11" s="30" t="s">
        <v>452</v>
      </c>
      <c r="B11" s="30" t="s">
        <v>414</v>
      </c>
      <c r="C11" s="30" t="s">
        <v>415</v>
      </c>
      <c r="D11" s="36">
        <v>35.376861</v>
      </c>
      <c r="E11" s="36">
        <v>45.645667</v>
      </c>
      <c r="F11" s="28"/>
      <c r="G11" s="30" t="s">
        <v>453</v>
      </c>
      <c r="H11" s="30">
        <v>2.08</v>
      </c>
      <c r="I11" s="31">
        <v>144.17</v>
      </c>
      <c r="J11" s="37" t="s">
        <v>258</v>
      </c>
      <c r="K11" s="30" t="s">
        <v>38</v>
      </c>
      <c r="L11" s="30" t="s">
        <v>393</v>
      </c>
      <c r="M11" s="30" t="s">
        <v>454</v>
      </c>
      <c r="N11" s="30">
        <v>2800.0</v>
      </c>
      <c r="O11" s="30" t="s">
        <v>419</v>
      </c>
      <c r="P11" s="30"/>
      <c r="Q11" s="30"/>
      <c r="R11" s="7"/>
      <c r="S11" s="30" t="s">
        <v>455</v>
      </c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ht="15.75" customHeight="1">
      <c r="A12" s="30" t="s">
        <v>456</v>
      </c>
      <c r="B12" s="30" t="s">
        <v>407</v>
      </c>
      <c r="C12" s="30" t="s">
        <v>432</v>
      </c>
      <c r="D12" s="39">
        <v>40.286743</v>
      </c>
      <c r="E12" s="39">
        <v>29.528623</v>
      </c>
      <c r="F12" s="30" t="s">
        <v>457</v>
      </c>
      <c r="G12" s="30" t="s">
        <v>34</v>
      </c>
      <c r="H12" s="30">
        <v>1.85</v>
      </c>
      <c r="I12" s="30">
        <v>443.6</v>
      </c>
      <c r="J12" s="37" t="s">
        <v>157</v>
      </c>
      <c r="K12" s="30" t="s">
        <v>38</v>
      </c>
      <c r="L12" s="30" t="s">
        <v>458</v>
      </c>
      <c r="M12" s="28"/>
      <c r="N12" s="38">
        <f>(8010+7837)/2</f>
        <v>7923.5</v>
      </c>
      <c r="O12" s="30" t="s">
        <v>410</v>
      </c>
      <c r="P12" s="30" t="s">
        <v>411</v>
      </c>
      <c r="Q12" s="30"/>
      <c r="R12" s="7"/>
      <c r="S12" s="30" t="s">
        <v>459</v>
      </c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ht="15.75" customHeight="1">
      <c r="A13" s="30" t="s">
        <v>460</v>
      </c>
      <c r="B13" s="30" t="s">
        <v>46</v>
      </c>
      <c r="C13" s="30" t="s">
        <v>461</v>
      </c>
      <c r="D13" s="36">
        <v>40.789444</v>
      </c>
      <c r="E13" s="36">
        <v>43.8475</v>
      </c>
      <c r="F13" s="30" t="s">
        <v>462</v>
      </c>
      <c r="G13" s="30" t="s">
        <v>370</v>
      </c>
      <c r="H13" s="30">
        <v>1.7</v>
      </c>
      <c r="I13" s="30">
        <v>480.64</v>
      </c>
      <c r="J13" s="37" t="s">
        <v>37</v>
      </c>
      <c r="K13" s="30" t="s">
        <v>52</v>
      </c>
      <c r="L13" s="30" t="s">
        <v>114</v>
      </c>
      <c r="M13" s="28"/>
      <c r="N13" s="38">
        <f>(7255+7016)/2</f>
        <v>7135.5</v>
      </c>
      <c r="O13" s="30" t="s">
        <v>463</v>
      </c>
      <c r="P13" s="30"/>
      <c r="Q13" s="30"/>
      <c r="R13" s="7"/>
      <c r="S13" s="30" t="s">
        <v>464</v>
      </c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ht="15.75" customHeight="1">
      <c r="A14" s="30" t="s">
        <v>465</v>
      </c>
      <c r="B14" s="30" t="s">
        <v>256</v>
      </c>
      <c r="C14" s="30" t="s">
        <v>466</v>
      </c>
      <c r="D14" s="39">
        <v>41.266667</v>
      </c>
      <c r="E14" s="39">
        <v>69.2166667</v>
      </c>
      <c r="F14" s="28"/>
      <c r="G14" s="30" t="s">
        <v>467</v>
      </c>
      <c r="H14" s="31">
        <v>1.68</v>
      </c>
      <c r="I14" s="30">
        <v>181.98</v>
      </c>
      <c r="J14" s="37" t="s">
        <v>258</v>
      </c>
      <c r="K14" s="30" t="s">
        <v>38</v>
      </c>
      <c r="L14" s="30" t="s">
        <v>106</v>
      </c>
      <c r="M14" s="30" t="s">
        <v>468</v>
      </c>
      <c r="N14" s="30">
        <v>2050.0</v>
      </c>
      <c r="O14" s="30" t="s">
        <v>260</v>
      </c>
      <c r="P14" s="30"/>
      <c r="Q14" s="30"/>
      <c r="R14" s="7"/>
      <c r="S14" s="30" t="s">
        <v>469</v>
      </c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ht="15.75" customHeight="1">
      <c r="A15" s="30" t="s">
        <v>470</v>
      </c>
      <c r="B15" s="30" t="s">
        <v>471</v>
      </c>
      <c r="C15" s="40" t="s">
        <v>472</v>
      </c>
      <c r="D15" s="39">
        <v>37.004831</v>
      </c>
      <c r="E15" s="39">
        <v>45.458892</v>
      </c>
      <c r="F15" s="28"/>
      <c r="G15" s="30" t="s">
        <v>473</v>
      </c>
      <c r="H15" s="30">
        <v>1.67</v>
      </c>
      <c r="I15" s="30">
        <v>204.24</v>
      </c>
      <c r="J15" s="37" t="s">
        <v>258</v>
      </c>
      <c r="K15" s="30" t="s">
        <v>52</v>
      </c>
      <c r="L15" s="30" t="s">
        <v>106</v>
      </c>
      <c r="M15" s="30" t="s">
        <v>474</v>
      </c>
      <c r="N15" s="30">
        <v>2900.0</v>
      </c>
      <c r="O15" s="30" t="s">
        <v>475</v>
      </c>
      <c r="Q15" s="30"/>
      <c r="R15" s="7"/>
      <c r="S15" s="30" t="s">
        <v>476</v>
      </c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ht="15.75" customHeight="1">
      <c r="A16" s="30" t="s">
        <v>477</v>
      </c>
      <c r="B16" s="30" t="s">
        <v>471</v>
      </c>
      <c r="C16" s="40" t="s">
        <v>478</v>
      </c>
      <c r="D16" s="39">
        <v>36.300853</v>
      </c>
      <c r="E16" s="39">
        <v>49.977043</v>
      </c>
      <c r="F16" s="30" t="s">
        <v>479</v>
      </c>
      <c r="G16" s="30" t="s">
        <v>156</v>
      </c>
      <c r="H16" s="31">
        <v>1.65</v>
      </c>
      <c r="I16" s="30">
        <v>207.53</v>
      </c>
      <c r="J16" s="37" t="s">
        <v>157</v>
      </c>
      <c r="K16" s="30" t="s">
        <v>38</v>
      </c>
      <c r="L16" s="30" t="s">
        <v>393</v>
      </c>
      <c r="M16" s="28"/>
      <c r="N16" s="38">
        <f>(4832+4581)/2</f>
        <v>4706.5</v>
      </c>
      <c r="O16" s="30" t="s">
        <v>480</v>
      </c>
      <c r="P16" s="30"/>
      <c r="Q16" s="30"/>
      <c r="R16" s="7"/>
      <c r="S16" s="30" t="s">
        <v>481</v>
      </c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ht="15.75" customHeight="1">
      <c r="A17" s="30" t="s">
        <v>482</v>
      </c>
      <c r="B17" s="30" t="s">
        <v>471</v>
      </c>
      <c r="C17" s="40" t="s">
        <v>472</v>
      </c>
      <c r="D17" s="39">
        <v>37.004831</v>
      </c>
      <c r="E17" s="39">
        <v>45.458892</v>
      </c>
      <c r="F17" s="28"/>
      <c r="G17" s="30" t="s">
        <v>483</v>
      </c>
      <c r="H17" s="30">
        <v>1.5</v>
      </c>
      <c r="I17" s="30">
        <v>231.78</v>
      </c>
      <c r="J17" s="37" t="s">
        <v>157</v>
      </c>
      <c r="K17" s="30" t="s">
        <v>52</v>
      </c>
      <c r="L17" s="30" t="s">
        <v>393</v>
      </c>
      <c r="M17" s="30" t="s">
        <v>484</v>
      </c>
      <c r="N17" s="30">
        <v>4470.0</v>
      </c>
      <c r="O17" s="30" t="s">
        <v>480</v>
      </c>
      <c r="P17" s="30"/>
      <c r="Q17" s="30"/>
      <c r="R17" s="7"/>
      <c r="S17" s="30" t="s">
        <v>485</v>
      </c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ht="15.75" customHeight="1">
      <c r="A18" s="30" t="s">
        <v>486</v>
      </c>
      <c r="B18" s="30" t="s">
        <v>487</v>
      </c>
      <c r="C18" s="30" t="s">
        <v>488</v>
      </c>
      <c r="D18" s="36">
        <v>31.699722</v>
      </c>
      <c r="E18" s="36">
        <v>34.846944</v>
      </c>
      <c r="F18" s="28"/>
      <c r="G18" s="30" t="s">
        <v>489</v>
      </c>
      <c r="H18" s="30">
        <v>0.96</v>
      </c>
      <c r="I18" s="30">
        <v>169.99</v>
      </c>
      <c r="J18" s="37" t="s">
        <v>258</v>
      </c>
      <c r="K18" s="30" t="s">
        <v>38</v>
      </c>
      <c r="L18" s="30" t="s">
        <v>458</v>
      </c>
      <c r="M18" s="30" t="s">
        <v>490</v>
      </c>
      <c r="N18" s="30">
        <v>2820.0</v>
      </c>
      <c r="O18" s="30" t="s">
        <v>491</v>
      </c>
      <c r="P18" s="30"/>
      <c r="Q18" s="30"/>
      <c r="R18" s="30"/>
      <c r="S18" s="30" t="s">
        <v>492</v>
      </c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ht="15.75" customHeight="1">
      <c r="A19" s="30" t="s">
        <v>493</v>
      </c>
      <c r="B19" s="30" t="s">
        <v>256</v>
      </c>
      <c r="C19" s="30" t="s">
        <v>494</v>
      </c>
      <c r="D19" s="36">
        <v>39.88748588</v>
      </c>
      <c r="E19" s="36">
        <v>66.9517749573366</v>
      </c>
      <c r="F19" s="28"/>
      <c r="G19" s="30" t="s">
        <v>495</v>
      </c>
      <c r="H19" s="31">
        <v>0.48</v>
      </c>
      <c r="I19" s="30">
        <v>94.91</v>
      </c>
      <c r="J19" s="37" t="s">
        <v>258</v>
      </c>
      <c r="K19" s="30" t="s">
        <v>52</v>
      </c>
      <c r="L19" s="30" t="s">
        <v>39</v>
      </c>
      <c r="M19" s="30" t="s">
        <v>496</v>
      </c>
      <c r="N19" s="30">
        <v>3500.0</v>
      </c>
      <c r="O19" s="30" t="s">
        <v>260</v>
      </c>
      <c r="P19" s="30"/>
      <c r="Q19" s="30"/>
      <c r="R19" s="7"/>
      <c r="S19" s="30" t="s">
        <v>497</v>
      </c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  <row r="20" ht="15.75" customHeight="1">
      <c r="A20" s="30" t="s">
        <v>498</v>
      </c>
      <c r="B20" s="30" t="s">
        <v>436</v>
      </c>
      <c r="C20" s="40" t="s">
        <v>437</v>
      </c>
      <c r="D20" s="39">
        <v>43.201944</v>
      </c>
      <c r="E20" s="39">
        <v>21.355556</v>
      </c>
      <c r="F20" s="28"/>
      <c r="G20" s="30" t="s">
        <v>312</v>
      </c>
      <c r="H20" s="30">
        <v>0.48</v>
      </c>
      <c r="I20" s="30">
        <v>40.73</v>
      </c>
      <c r="J20" s="37" t="s">
        <v>157</v>
      </c>
      <c r="K20" s="30" t="s">
        <v>38</v>
      </c>
      <c r="L20" s="30" t="s">
        <v>458</v>
      </c>
      <c r="M20" s="30" t="s">
        <v>499</v>
      </c>
      <c r="N20" s="30">
        <v>6950.0</v>
      </c>
      <c r="O20" s="30" t="s">
        <v>439</v>
      </c>
      <c r="P20" s="30"/>
      <c r="Q20" s="30"/>
      <c r="R20" s="7"/>
      <c r="S20" s="30" t="s">
        <v>500</v>
      </c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</row>
    <row r="21" ht="15.75" customHeight="1">
      <c r="A21" s="30" t="s">
        <v>501</v>
      </c>
      <c r="B21" s="30" t="s">
        <v>426</v>
      </c>
      <c r="C21" s="30" t="s">
        <v>427</v>
      </c>
      <c r="D21" s="36">
        <v>42.6575</v>
      </c>
      <c r="E21" s="36">
        <v>44.645278</v>
      </c>
      <c r="F21" s="28"/>
      <c r="G21" s="30" t="s">
        <v>417</v>
      </c>
      <c r="H21" s="30">
        <v>0.46</v>
      </c>
      <c r="I21" s="30">
        <v>30.33</v>
      </c>
      <c r="J21" s="37" t="s">
        <v>258</v>
      </c>
      <c r="K21" s="30" t="s">
        <v>38</v>
      </c>
      <c r="L21" s="30" t="s">
        <v>106</v>
      </c>
      <c r="M21" s="30" t="s">
        <v>502</v>
      </c>
      <c r="N21" s="30">
        <v>1200.0</v>
      </c>
      <c r="O21" s="30" t="s">
        <v>429</v>
      </c>
      <c r="P21" s="30"/>
      <c r="Q21" s="30"/>
      <c r="R21" s="7"/>
      <c r="S21" s="30" t="s">
        <v>503</v>
      </c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</row>
    <row r="22" ht="15.75" customHeight="1">
      <c r="A22" s="30" t="s">
        <v>504</v>
      </c>
      <c r="B22" s="30" t="s">
        <v>426</v>
      </c>
      <c r="C22" s="30" t="s">
        <v>427</v>
      </c>
      <c r="D22" s="36">
        <v>42.6575</v>
      </c>
      <c r="E22" s="36">
        <v>44.645278</v>
      </c>
      <c r="F22" s="28"/>
      <c r="G22" s="30" t="s">
        <v>417</v>
      </c>
      <c r="H22" s="30">
        <v>0.45</v>
      </c>
      <c r="I22" s="30">
        <v>39.57</v>
      </c>
      <c r="J22" s="37" t="s">
        <v>258</v>
      </c>
      <c r="K22" s="30" t="s">
        <v>38</v>
      </c>
      <c r="L22" s="30" t="s">
        <v>393</v>
      </c>
      <c r="M22" s="30" t="s">
        <v>505</v>
      </c>
      <c r="N22" s="30">
        <v>1350.0</v>
      </c>
      <c r="O22" s="30" t="s">
        <v>429</v>
      </c>
      <c r="P22" s="30"/>
      <c r="Q22" s="30"/>
      <c r="R22" s="7"/>
      <c r="S22" s="30" t="s">
        <v>506</v>
      </c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</row>
    <row r="23" ht="15.75" customHeight="1">
      <c r="A23" s="30" t="s">
        <v>507</v>
      </c>
      <c r="B23" s="30" t="s">
        <v>436</v>
      </c>
      <c r="C23" s="30" t="s">
        <v>508</v>
      </c>
      <c r="D23" s="36">
        <v>43.305556</v>
      </c>
      <c r="E23" s="36">
        <v>21.8725</v>
      </c>
      <c r="F23" s="28"/>
      <c r="G23" s="30" t="s">
        <v>269</v>
      </c>
      <c r="H23" s="30">
        <v>0.45</v>
      </c>
      <c r="I23" s="30">
        <v>58.98</v>
      </c>
      <c r="J23" s="37" t="s">
        <v>157</v>
      </c>
      <c r="K23" s="30" t="s">
        <v>38</v>
      </c>
      <c r="L23" s="30" t="s">
        <v>106</v>
      </c>
      <c r="M23" s="30" t="s">
        <v>509</v>
      </c>
      <c r="N23" s="30">
        <v>7600.0</v>
      </c>
      <c r="O23" s="30" t="s">
        <v>510</v>
      </c>
      <c r="P23" s="30"/>
      <c r="Q23" s="30"/>
      <c r="R23" s="7"/>
      <c r="S23" s="30" t="s">
        <v>511</v>
      </c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</row>
    <row r="24" ht="15.75" customHeight="1">
      <c r="A24" s="30" t="s">
        <v>512</v>
      </c>
      <c r="B24" s="30" t="s">
        <v>436</v>
      </c>
      <c r="C24" s="40" t="s">
        <v>437</v>
      </c>
      <c r="D24" s="39">
        <v>43.201944</v>
      </c>
      <c r="E24" s="39">
        <v>21.355556</v>
      </c>
      <c r="F24" s="28"/>
      <c r="G24" s="30" t="s">
        <v>449</v>
      </c>
      <c r="H24" s="30">
        <v>0.38</v>
      </c>
      <c r="I24" s="30">
        <v>9.01</v>
      </c>
      <c r="J24" s="37" t="s">
        <v>157</v>
      </c>
      <c r="K24" s="30" t="s">
        <v>52</v>
      </c>
      <c r="L24" s="30" t="s">
        <v>106</v>
      </c>
      <c r="M24" s="30"/>
      <c r="N24" s="30">
        <v>7126.0</v>
      </c>
      <c r="O24" s="30" t="s">
        <v>439</v>
      </c>
      <c r="P24" s="30"/>
      <c r="Q24" s="24"/>
      <c r="R24" s="24"/>
      <c r="S24" s="30" t="s">
        <v>513</v>
      </c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</row>
    <row r="25" ht="15.75" customHeight="1">
      <c r="A25" s="30" t="s">
        <v>514</v>
      </c>
      <c r="B25" s="30" t="s">
        <v>407</v>
      </c>
      <c r="C25" s="30" t="s">
        <v>515</v>
      </c>
      <c r="D25" s="36">
        <v>37.666448</v>
      </c>
      <c r="E25" s="36">
        <v>32.825668</v>
      </c>
      <c r="F25" s="28"/>
      <c r="G25" s="30" t="s">
        <v>34</v>
      </c>
      <c r="H25" s="30">
        <v>0.31</v>
      </c>
      <c r="I25" s="30">
        <v>52.72</v>
      </c>
      <c r="J25" s="37" t="s">
        <v>37</v>
      </c>
      <c r="K25" s="30" t="s">
        <v>52</v>
      </c>
      <c r="L25" s="30" t="s">
        <v>106</v>
      </c>
      <c r="M25" s="30" t="s">
        <v>509</v>
      </c>
      <c r="N25" s="30">
        <v>7600.0</v>
      </c>
      <c r="O25" s="30" t="s">
        <v>516</v>
      </c>
      <c r="P25" s="30"/>
      <c r="Q25" s="30"/>
      <c r="R25" s="7"/>
      <c r="S25" s="30" t="s">
        <v>517</v>
      </c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</row>
    <row r="26" ht="15.75" customHeight="1">
      <c r="A26" s="30" t="s">
        <v>518</v>
      </c>
      <c r="B26" s="30" t="s">
        <v>426</v>
      </c>
      <c r="C26" s="30" t="s">
        <v>427</v>
      </c>
      <c r="D26" s="36">
        <v>42.6575</v>
      </c>
      <c r="E26" s="36">
        <v>44.645278</v>
      </c>
      <c r="F26" s="28"/>
      <c r="G26" s="36" t="s">
        <v>417</v>
      </c>
      <c r="H26" s="36">
        <v>0.28</v>
      </c>
      <c r="I26" s="30">
        <v>30.14</v>
      </c>
      <c r="J26" s="37" t="s">
        <v>258</v>
      </c>
      <c r="K26" s="30" t="s">
        <v>38</v>
      </c>
      <c r="L26" s="30" t="s">
        <v>106</v>
      </c>
      <c r="M26" s="30" t="s">
        <v>519</v>
      </c>
      <c r="N26" s="30">
        <v>1050.0</v>
      </c>
      <c r="O26" s="30" t="s">
        <v>429</v>
      </c>
      <c r="P26" s="30"/>
      <c r="Q26" s="30"/>
      <c r="R26" s="7"/>
      <c r="S26" s="30" t="s">
        <v>520</v>
      </c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</row>
    <row r="27" ht="15.75" customHeight="1">
      <c r="A27" s="30" t="s">
        <v>521</v>
      </c>
      <c r="B27" s="30" t="s">
        <v>471</v>
      </c>
      <c r="C27" s="30" t="s">
        <v>522</v>
      </c>
      <c r="D27" s="36">
        <v>36.213333</v>
      </c>
      <c r="E27" s="36">
        <v>58.795833</v>
      </c>
      <c r="F27" s="28"/>
      <c r="G27" s="30" t="s">
        <v>523</v>
      </c>
      <c r="H27" s="30">
        <v>0.2</v>
      </c>
      <c r="I27" s="30">
        <v>23.72</v>
      </c>
      <c r="J27" s="37" t="s">
        <v>258</v>
      </c>
      <c r="K27" s="30" t="s">
        <v>38</v>
      </c>
      <c r="L27" s="30" t="s">
        <v>524</v>
      </c>
      <c r="M27" s="30" t="s">
        <v>525</v>
      </c>
      <c r="N27" s="30">
        <v>1400.0</v>
      </c>
      <c r="O27" s="30" t="s">
        <v>475</v>
      </c>
      <c r="P27" s="30"/>
      <c r="Q27" s="30"/>
      <c r="R27" s="7"/>
      <c r="S27" s="30" t="s">
        <v>526</v>
      </c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</row>
    <row r="28" ht="15.75" customHeight="1">
      <c r="A28" s="30" t="s">
        <v>527</v>
      </c>
      <c r="B28" s="30" t="s">
        <v>436</v>
      </c>
      <c r="C28" s="40" t="s">
        <v>437</v>
      </c>
      <c r="D28" s="39">
        <v>43.201944</v>
      </c>
      <c r="E28" s="39">
        <v>21.355556</v>
      </c>
      <c r="F28" s="28"/>
      <c r="G28" s="30" t="s">
        <v>312</v>
      </c>
      <c r="H28" s="30">
        <v>0.2</v>
      </c>
      <c r="I28" s="30">
        <v>26.49</v>
      </c>
      <c r="J28" s="37" t="s">
        <v>157</v>
      </c>
      <c r="K28" s="30" t="s">
        <v>38</v>
      </c>
      <c r="L28" s="30" t="s">
        <v>393</v>
      </c>
      <c r="M28" s="30" t="s">
        <v>528</v>
      </c>
      <c r="N28" s="30">
        <v>7001.0</v>
      </c>
      <c r="O28" s="30" t="s">
        <v>439</v>
      </c>
      <c r="P28" s="30"/>
      <c r="Q28" s="30"/>
      <c r="R28" s="7"/>
      <c r="S28" s="30" t="s">
        <v>529</v>
      </c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</row>
    <row r="29" ht="15.75" customHeight="1">
      <c r="A29" s="30" t="s">
        <v>530</v>
      </c>
      <c r="B29" s="30" t="s">
        <v>471</v>
      </c>
      <c r="C29" s="30" t="s">
        <v>531</v>
      </c>
      <c r="D29" s="36">
        <v>36.499722</v>
      </c>
      <c r="E29" s="36">
        <v>55.000556</v>
      </c>
      <c r="F29" s="28"/>
      <c r="G29" s="30" t="s">
        <v>312</v>
      </c>
      <c r="H29" s="31">
        <v>0.19</v>
      </c>
      <c r="I29" s="30">
        <v>6.5</v>
      </c>
      <c r="J29" s="37" t="s">
        <v>157</v>
      </c>
      <c r="K29" s="30" t="s">
        <v>38</v>
      </c>
      <c r="L29" s="30" t="s">
        <v>458</v>
      </c>
      <c r="M29" s="30"/>
      <c r="N29" s="30">
        <v>7373.0</v>
      </c>
      <c r="O29" s="30" t="s">
        <v>532</v>
      </c>
      <c r="P29" s="30"/>
      <c r="Q29" s="24"/>
      <c r="R29" s="24"/>
      <c r="S29" s="30" t="s">
        <v>533</v>
      </c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</row>
    <row r="30" ht="15.75" customHeight="1">
      <c r="A30" s="30" t="s">
        <v>534</v>
      </c>
      <c r="B30" s="30" t="s">
        <v>436</v>
      </c>
      <c r="C30" s="30" t="s">
        <v>535</v>
      </c>
      <c r="D30" s="36">
        <v>44.571</v>
      </c>
      <c r="E30" s="36">
        <v>20.138167</v>
      </c>
      <c r="F30" s="28"/>
      <c r="G30" s="30" t="s">
        <v>34</v>
      </c>
      <c r="H30" s="30">
        <v>0.15</v>
      </c>
      <c r="I30" s="30">
        <v>22.2</v>
      </c>
      <c r="J30" s="37" t="s">
        <v>157</v>
      </c>
      <c r="K30" s="30" t="s">
        <v>52</v>
      </c>
      <c r="L30" s="30" t="s">
        <v>106</v>
      </c>
      <c r="M30" s="30" t="s">
        <v>536</v>
      </c>
      <c r="N30" s="30">
        <v>6660.0</v>
      </c>
      <c r="O30" s="30" t="s">
        <v>439</v>
      </c>
      <c r="P30" s="30"/>
      <c r="Q30" s="30"/>
      <c r="R30" s="7"/>
      <c r="S30" s="30" t="s">
        <v>537</v>
      </c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</row>
    <row r="31" ht="15.75" customHeight="1">
      <c r="A31" s="30" t="s">
        <v>538</v>
      </c>
      <c r="B31" s="30" t="s">
        <v>442</v>
      </c>
      <c r="C31" s="30" t="s">
        <v>443</v>
      </c>
      <c r="D31" s="36">
        <v>38.33193836</v>
      </c>
      <c r="E31" s="36">
        <v>109.833737411221</v>
      </c>
      <c r="F31" s="28"/>
      <c r="G31" s="30" t="s">
        <v>34</v>
      </c>
      <c r="H31" s="30">
        <v>0.14</v>
      </c>
      <c r="I31" s="30">
        <v>89.18</v>
      </c>
      <c r="J31" s="37" t="s">
        <v>157</v>
      </c>
      <c r="K31" s="30" t="s">
        <v>38</v>
      </c>
      <c r="L31" s="30" t="s">
        <v>106</v>
      </c>
      <c r="M31" s="30" t="s">
        <v>539</v>
      </c>
      <c r="N31" s="30">
        <f>(3980+3778)/2</f>
        <v>3879</v>
      </c>
      <c r="O31" s="30" t="s">
        <v>446</v>
      </c>
      <c r="P31" s="30"/>
      <c r="Q31" s="30"/>
      <c r="R31" s="7"/>
      <c r="S31" s="30" t="s">
        <v>540</v>
      </c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</row>
    <row r="32" ht="15.75" customHeight="1">
      <c r="A32" s="30" t="s">
        <v>541</v>
      </c>
      <c r="B32" s="30" t="s">
        <v>436</v>
      </c>
      <c r="C32" s="30" t="s">
        <v>542</v>
      </c>
      <c r="D32" s="36">
        <v>44.378333</v>
      </c>
      <c r="E32" s="36">
        <v>21.419444</v>
      </c>
      <c r="F32" s="28"/>
      <c r="G32" s="30" t="s">
        <v>312</v>
      </c>
      <c r="H32" s="30">
        <v>0.13</v>
      </c>
      <c r="I32" s="30">
        <v>28.84</v>
      </c>
      <c r="J32" s="37" t="s">
        <v>157</v>
      </c>
      <c r="K32" s="30" t="s">
        <v>52</v>
      </c>
      <c r="L32" s="30" t="s">
        <v>458</v>
      </c>
      <c r="M32" s="30" t="s">
        <v>543</v>
      </c>
      <c r="N32" s="30">
        <v>6900.0</v>
      </c>
      <c r="O32" s="30" t="s">
        <v>439</v>
      </c>
      <c r="P32" s="30"/>
      <c r="Q32" s="30"/>
      <c r="R32" s="7"/>
      <c r="S32" s="30" t="s">
        <v>544</v>
      </c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</row>
    <row r="33" ht="15.75" customHeight="1">
      <c r="A33" s="30" t="s">
        <v>545</v>
      </c>
      <c r="B33" s="30" t="s">
        <v>436</v>
      </c>
      <c r="C33" s="40" t="s">
        <v>437</v>
      </c>
      <c r="D33" s="39">
        <v>43.201944</v>
      </c>
      <c r="E33" s="39">
        <v>21.355556</v>
      </c>
      <c r="F33" s="28"/>
      <c r="G33" s="30" t="s">
        <v>449</v>
      </c>
      <c r="H33" s="30">
        <v>0.13</v>
      </c>
      <c r="I33" s="30">
        <v>11.55</v>
      </c>
      <c r="J33" s="37" t="s">
        <v>157</v>
      </c>
      <c r="K33" s="30" t="s">
        <v>38</v>
      </c>
      <c r="L33" s="30" t="s">
        <v>458</v>
      </c>
      <c r="M33" s="30" t="s">
        <v>546</v>
      </c>
      <c r="N33" s="30">
        <v>7125.0</v>
      </c>
      <c r="O33" s="30" t="s">
        <v>439</v>
      </c>
      <c r="P33" s="30"/>
      <c r="Q33" s="30"/>
      <c r="R33" s="7"/>
      <c r="S33" s="30" t="s">
        <v>547</v>
      </c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</row>
    <row r="34" ht="15.75" customHeight="1">
      <c r="A34" s="30" t="s">
        <v>548</v>
      </c>
      <c r="B34" s="30" t="s">
        <v>407</v>
      </c>
      <c r="C34" s="30" t="s">
        <v>549</v>
      </c>
      <c r="D34" s="36">
        <v>38.4114</v>
      </c>
      <c r="E34" s="36">
        <v>33.8357</v>
      </c>
      <c r="F34" s="28"/>
      <c r="G34" s="30" t="s">
        <v>550</v>
      </c>
      <c r="H34" s="30">
        <v>0.11</v>
      </c>
      <c r="I34" s="30">
        <v>22.46</v>
      </c>
      <c r="J34" s="37" t="s">
        <v>157</v>
      </c>
      <c r="K34" s="30" t="s">
        <v>38</v>
      </c>
      <c r="L34" s="30" t="s">
        <v>393</v>
      </c>
      <c r="M34" s="30" t="s">
        <v>551</v>
      </c>
      <c r="N34" s="30">
        <v>4200.0</v>
      </c>
      <c r="O34" s="30" t="s">
        <v>552</v>
      </c>
      <c r="P34" s="30"/>
      <c r="Q34" s="30"/>
      <c r="R34" s="7"/>
      <c r="S34" s="30" t="s">
        <v>553</v>
      </c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</row>
    <row r="35" ht="15.75" customHeight="1">
      <c r="A35" s="30" t="s">
        <v>554</v>
      </c>
      <c r="B35" s="30" t="s">
        <v>436</v>
      </c>
      <c r="C35" s="40" t="s">
        <v>437</v>
      </c>
      <c r="D35" s="39">
        <v>43.201944</v>
      </c>
      <c r="E35" s="39">
        <v>21.355556</v>
      </c>
      <c r="F35" s="28"/>
      <c r="G35" s="30" t="s">
        <v>312</v>
      </c>
      <c r="H35" s="30">
        <v>0.11</v>
      </c>
      <c r="I35" s="30">
        <v>21.01</v>
      </c>
      <c r="J35" s="37" t="s">
        <v>157</v>
      </c>
      <c r="K35" s="30" t="s">
        <v>38</v>
      </c>
      <c r="L35" s="30" t="s">
        <v>106</v>
      </c>
      <c r="M35" s="30" t="s">
        <v>555</v>
      </c>
      <c r="N35" s="30">
        <v>7000.0</v>
      </c>
      <c r="O35" s="30" t="s">
        <v>439</v>
      </c>
      <c r="P35" s="30"/>
      <c r="Q35" s="30"/>
      <c r="R35" s="30"/>
      <c r="S35" s="30" t="s">
        <v>556</v>
      </c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</row>
    <row r="36" ht="15.75" customHeight="1">
      <c r="A36" s="30" t="s">
        <v>557</v>
      </c>
      <c r="B36" s="30" t="s">
        <v>558</v>
      </c>
      <c r="C36" s="30" t="s">
        <v>559</v>
      </c>
      <c r="D36" s="36">
        <v>35.873551</v>
      </c>
      <c r="E36" s="36">
        <v>8.78637117269409</v>
      </c>
      <c r="F36" s="30" t="s">
        <v>560</v>
      </c>
      <c r="G36" s="30" t="s">
        <v>495</v>
      </c>
      <c r="H36" s="30">
        <v>0.1</v>
      </c>
      <c r="I36" s="30">
        <v>32.06</v>
      </c>
      <c r="J36" s="37" t="s">
        <v>157</v>
      </c>
      <c r="K36" s="30" t="s">
        <v>52</v>
      </c>
      <c r="L36" s="30" t="s">
        <v>561</v>
      </c>
      <c r="M36" s="28"/>
      <c r="N36" s="30">
        <f>(2877+2759)/2</f>
        <v>2818</v>
      </c>
      <c r="O36" s="30" t="s">
        <v>562</v>
      </c>
      <c r="P36" s="30"/>
      <c r="Q36" s="30"/>
      <c r="R36" s="7"/>
      <c r="S36" s="30" t="s">
        <v>563</v>
      </c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</row>
    <row r="37" ht="15.75" customHeight="1">
      <c r="A37" s="30" t="s">
        <v>564</v>
      </c>
      <c r="B37" s="30" t="s">
        <v>436</v>
      </c>
      <c r="C37" s="30" t="s">
        <v>542</v>
      </c>
      <c r="D37" s="36">
        <v>44.378333</v>
      </c>
      <c r="E37" s="36">
        <v>21.419444</v>
      </c>
      <c r="F37" s="28"/>
      <c r="G37" s="30" t="s">
        <v>312</v>
      </c>
      <c r="H37" s="30">
        <v>0.09</v>
      </c>
      <c r="I37" s="30">
        <v>14.03</v>
      </c>
      <c r="J37" s="37" t="s">
        <v>157</v>
      </c>
      <c r="K37" s="30" t="s">
        <v>38</v>
      </c>
      <c r="L37" s="30" t="s">
        <v>458</v>
      </c>
      <c r="M37" s="30" t="s">
        <v>565</v>
      </c>
      <c r="N37" s="30">
        <v>6900.0</v>
      </c>
      <c r="O37" s="30" t="s">
        <v>439</v>
      </c>
      <c r="P37" s="30"/>
      <c r="Q37" s="30"/>
      <c r="R37" s="30"/>
      <c r="S37" s="30" t="s">
        <v>566</v>
      </c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</row>
    <row r="38" ht="15.75" customHeight="1">
      <c r="A38" s="30" t="s">
        <v>567</v>
      </c>
      <c r="B38" s="30" t="s">
        <v>558</v>
      </c>
      <c r="C38" s="30" t="s">
        <v>559</v>
      </c>
      <c r="D38" s="36">
        <v>35.873551</v>
      </c>
      <c r="E38" s="36">
        <v>8.78637117269409</v>
      </c>
      <c r="F38" s="30" t="s">
        <v>568</v>
      </c>
      <c r="G38" s="30" t="s">
        <v>495</v>
      </c>
      <c r="H38" s="30">
        <v>0.09</v>
      </c>
      <c r="I38" s="30">
        <v>7.81</v>
      </c>
      <c r="J38" s="37" t="s">
        <v>157</v>
      </c>
      <c r="K38" s="30" t="s">
        <v>38</v>
      </c>
      <c r="L38" s="30" t="s">
        <v>561</v>
      </c>
      <c r="M38" s="28"/>
      <c r="N38" s="38">
        <f>((2544+2361)/2+(2703+2630)/2+(2519+2558)/2)/3</f>
        <v>2552.5</v>
      </c>
      <c r="O38" s="30" t="s">
        <v>562</v>
      </c>
      <c r="P38" s="30"/>
      <c r="Q38" s="24"/>
      <c r="R38" s="24"/>
      <c r="S38" s="30" t="s">
        <v>569</v>
      </c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</row>
    <row r="39" ht="15.75" customHeight="1">
      <c r="A39" s="30" t="s">
        <v>570</v>
      </c>
      <c r="B39" s="30" t="s">
        <v>571</v>
      </c>
      <c r="C39" s="30" t="s">
        <v>572</v>
      </c>
      <c r="D39" s="36">
        <v>34.783333</v>
      </c>
      <c r="E39" s="36">
        <v>-3.333333</v>
      </c>
      <c r="F39" s="30" t="s">
        <v>573</v>
      </c>
      <c r="G39" s="30" t="s">
        <v>574</v>
      </c>
      <c r="H39" s="30">
        <v>0.08</v>
      </c>
      <c r="I39" s="30">
        <v>21.26</v>
      </c>
      <c r="J39" s="37" t="s">
        <v>37</v>
      </c>
      <c r="K39" s="30" t="s">
        <v>38</v>
      </c>
      <c r="L39" s="30" t="s">
        <v>575</v>
      </c>
      <c r="M39" s="28"/>
      <c r="N39" s="38">
        <f>(8999+8656)/2</f>
        <v>8827.5</v>
      </c>
      <c r="O39" s="30" t="s">
        <v>576</v>
      </c>
      <c r="P39" s="30"/>
      <c r="Q39" s="30"/>
      <c r="R39" s="7"/>
      <c r="S39" s="30" t="s">
        <v>577</v>
      </c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</row>
    <row r="40" ht="15.75" customHeight="1">
      <c r="A40" s="30" t="s">
        <v>578</v>
      </c>
      <c r="B40" s="30" t="s">
        <v>436</v>
      </c>
      <c r="C40" s="40" t="s">
        <v>437</v>
      </c>
      <c r="D40" s="39">
        <v>43.201944</v>
      </c>
      <c r="E40" s="39">
        <v>21.355556</v>
      </c>
      <c r="F40" s="28"/>
      <c r="G40" s="30" t="s">
        <v>312</v>
      </c>
      <c r="H40" s="30">
        <v>0.08</v>
      </c>
      <c r="I40" s="30">
        <v>14.8</v>
      </c>
      <c r="J40" s="37" t="s">
        <v>157</v>
      </c>
      <c r="K40" s="30" t="s">
        <v>52</v>
      </c>
      <c r="L40" s="30" t="s">
        <v>106</v>
      </c>
      <c r="M40" s="30" t="s">
        <v>579</v>
      </c>
      <c r="N40" s="30">
        <v>6650.0</v>
      </c>
      <c r="O40" s="30" t="s">
        <v>439</v>
      </c>
      <c r="P40" s="30"/>
      <c r="Q40" s="30"/>
      <c r="R40" s="7"/>
      <c r="S40" s="30" t="s">
        <v>580</v>
      </c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</row>
    <row r="41" ht="15.75" customHeight="1">
      <c r="A41" s="30" t="s">
        <v>581</v>
      </c>
      <c r="B41" s="30" t="s">
        <v>487</v>
      </c>
      <c r="C41" s="30" t="s">
        <v>582</v>
      </c>
      <c r="D41" s="36">
        <v>32.596389</v>
      </c>
      <c r="E41" s="36">
        <v>35.241944</v>
      </c>
      <c r="F41" s="28"/>
      <c r="G41" s="30" t="s">
        <v>583</v>
      </c>
      <c r="H41" s="31">
        <v>0.07</v>
      </c>
      <c r="I41" s="30">
        <v>10.64</v>
      </c>
      <c r="J41" s="37" t="s">
        <v>258</v>
      </c>
      <c r="K41" s="30" t="s">
        <v>38</v>
      </c>
      <c r="L41" s="30" t="s">
        <v>561</v>
      </c>
      <c r="M41" s="30" t="s">
        <v>584</v>
      </c>
      <c r="N41" s="30">
        <v>1400.0</v>
      </c>
      <c r="O41" s="30" t="s">
        <v>491</v>
      </c>
      <c r="P41" s="30"/>
      <c r="Q41" s="30"/>
      <c r="R41" s="7"/>
      <c r="S41" s="30" t="s">
        <v>585</v>
      </c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</row>
    <row r="42" ht="15.75" customHeight="1">
      <c r="A42" s="30" t="s">
        <v>586</v>
      </c>
      <c r="B42" s="30" t="s">
        <v>442</v>
      </c>
      <c r="C42" s="30" t="s">
        <v>443</v>
      </c>
      <c r="D42" s="36">
        <v>38.33193836</v>
      </c>
      <c r="E42" s="36">
        <v>109.833737411221</v>
      </c>
      <c r="F42" s="28"/>
      <c r="G42" s="30" t="s">
        <v>34</v>
      </c>
      <c r="H42" s="30">
        <v>0.06</v>
      </c>
      <c r="I42" s="30">
        <v>29.09</v>
      </c>
      <c r="J42" s="37" t="s">
        <v>157</v>
      </c>
      <c r="K42" s="30" t="s">
        <v>38</v>
      </c>
      <c r="L42" s="30" t="s">
        <v>106</v>
      </c>
      <c r="M42" s="30" t="s">
        <v>587</v>
      </c>
      <c r="N42" s="30">
        <f>(3980+3778)/2</f>
        <v>3879</v>
      </c>
      <c r="O42" s="30" t="s">
        <v>446</v>
      </c>
      <c r="P42" s="30"/>
      <c r="Q42" s="30"/>
      <c r="R42" s="30"/>
      <c r="S42" s="30" t="s">
        <v>588</v>
      </c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</row>
    <row r="43" ht="15.75" customHeight="1">
      <c r="A43" s="30" t="s">
        <v>589</v>
      </c>
      <c r="B43" s="30" t="s">
        <v>256</v>
      </c>
      <c r="C43" s="30" t="s">
        <v>257</v>
      </c>
      <c r="D43" s="36">
        <v>37.7</v>
      </c>
      <c r="E43" s="36">
        <v>66.8</v>
      </c>
      <c r="F43" s="28"/>
      <c r="G43" s="30" t="s">
        <v>590</v>
      </c>
      <c r="H43" s="30">
        <v>0.05</v>
      </c>
      <c r="I43" s="30">
        <v>14.85</v>
      </c>
      <c r="J43" s="37" t="s">
        <v>258</v>
      </c>
      <c r="K43" s="30" t="s">
        <v>52</v>
      </c>
      <c r="L43" s="30" t="s">
        <v>393</v>
      </c>
      <c r="M43" s="30" t="s">
        <v>591</v>
      </c>
      <c r="N43" s="30">
        <v>3800.0</v>
      </c>
      <c r="O43" s="30" t="s">
        <v>260</v>
      </c>
      <c r="P43" s="30"/>
      <c r="Q43" s="30"/>
      <c r="R43" s="7"/>
      <c r="S43" s="30" t="s">
        <v>592</v>
      </c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</row>
    <row r="44" ht="15.75" customHeight="1">
      <c r="A44" s="30" t="s">
        <v>593</v>
      </c>
      <c r="B44" s="30" t="s">
        <v>487</v>
      </c>
      <c r="C44" s="30" t="s">
        <v>594</v>
      </c>
      <c r="D44" s="36">
        <v>32.6641</v>
      </c>
      <c r="E44" s="36">
        <v>35.1083</v>
      </c>
      <c r="F44" s="28"/>
      <c r="G44" s="30" t="s">
        <v>595</v>
      </c>
      <c r="H44" s="31">
        <v>0.05</v>
      </c>
      <c r="I44" s="30">
        <v>11.62</v>
      </c>
      <c r="J44" s="37" t="s">
        <v>258</v>
      </c>
      <c r="K44" s="30" t="s">
        <v>52</v>
      </c>
      <c r="L44" s="30" t="s">
        <v>393</v>
      </c>
      <c r="M44" s="30" t="s">
        <v>596</v>
      </c>
      <c r="N44" s="30">
        <v>2200.0</v>
      </c>
      <c r="O44" s="30" t="s">
        <v>491</v>
      </c>
      <c r="P44" s="30"/>
      <c r="Q44" s="30"/>
      <c r="R44" s="30"/>
      <c r="S44" s="30" t="s">
        <v>597</v>
      </c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</row>
    <row r="45" ht="15.75" customHeight="1">
      <c r="A45" s="30" t="s">
        <v>598</v>
      </c>
      <c r="B45" s="30" t="s">
        <v>471</v>
      </c>
      <c r="C45" s="40" t="s">
        <v>472</v>
      </c>
      <c r="D45" s="39">
        <v>37.004831</v>
      </c>
      <c r="E45" s="39">
        <v>45.458892</v>
      </c>
      <c r="F45" s="28"/>
      <c r="G45" s="30" t="s">
        <v>599</v>
      </c>
      <c r="H45" s="30">
        <v>0.04</v>
      </c>
      <c r="I45" s="30">
        <v>13.54</v>
      </c>
      <c r="J45" s="37" t="s">
        <v>258</v>
      </c>
      <c r="K45" s="30" t="s">
        <v>38</v>
      </c>
      <c r="L45" s="30" t="s">
        <v>106</v>
      </c>
      <c r="M45" s="30" t="s">
        <v>600</v>
      </c>
      <c r="N45" s="30">
        <v>2300.0</v>
      </c>
      <c r="O45" s="30" t="s">
        <v>475</v>
      </c>
      <c r="P45" s="30"/>
      <c r="Q45" s="30"/>
      <c r="R45" s="7"/>
      <c r="S45" s="30" t="s">
        <v>601</v>
      </c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</row>
    <row r="46" ht="15.75" customHeight="1">
      <c r="A46" s="41" t="s">
        <v>602</v>
      </c>
      <c r="B46" s="30" t="s">
        <v>471</v>
      </c>
      <c r="C46" s="30" t="s">
        <v>603</v>
      </c>
      <c r="D46" s="36">
        <v>35.961944</v>
      </c>
      <c r="E46" s="36">
        <v>50.68</v>
      </c>
      <c r="F46" s="28"/>
      <c r="G46" s="30" t="s">
        <v>269</v>
      </c>
      <c r="H46" s="31">
        <v>0.04</v>
      </c>
      <c r="I46" s="31">
        <v>2.24</v>
      </c>
      <c r="J46" s="37" t="s">
        <v>157</v>
      </c>
      <c r="K46" s="30" t="s">
        <v>52</v>
      </c>
      <c r="L46" s="31" t="s">
        <v>458</v>
      </c>
      <c r="M46" s="30"/>
      <c r="N46" s="30">
        <v>6150.0</v>
      </c>
      <c r="O46" s="30" t="s">
        <v>604</v>
      </c>
      <c r="P46" s="30"/>
      <c r="Q46" s="31"/>
      <c r="R46" s="31"/>
      <c r="S46" s="30" t="s">
        <v>605</v>
      </c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</row>
    <row r="47" ht="15.75" customHeight="1">
      <c r="A47" s="30" t="s">
        <v>606</v>
      </c>
      <c r="B47" s="30" t="s">
        <v>442</v>
      </c>
      <c r="C47" s="30" t="s">
        <v>443</v>
      </c>
      <c r="D47" s="36">
        <v>38.33193836</v>
      </c>
      <c r="E47" s="36">
        <v>109.833737411221</v>
      </c>
      <c r="F47" s="28"/>
      <c r="G47" s="30" t="s">
        <v>34</v>
      </c>
      <c r="H47" s="30">
        <v>0.04</v>
      </c>
      <c r="I47" s="30">
        <v>11.75</v>
      </c>
      <c r="J47" s="37" t="s">
        <v>157</v>
      </c>
      <c r="K47" s="30" t="s">
        <v>38</v>
      </c>
      <c r="L47" s="30" t="s">
        <v>106</v>
      </c>
      <c r="M47" s="30" t="s">
        <v>607</v>
      </c>
      <c r="N47" s="30">
        <f>(3980+3778)/2</f>
        <v>3879</v>
      </c>
      <c r="O47" s="30" t="s">
        <v>446</v>
      </c>
      <c r="P47" s="30"/>
      <c r="Q47" s="30"/>
      <c r="R47" s="42"/>
      <c r="S47" s="30" t="s">
        <v>608</v>
      </c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</row>
    <row r="48" ht="15.75" customHeight="1">
      <c r="A48" s="30" t="s">
        <v>609</v>
      </c>
      <c r="B48" s="30" t="s">
        <v>487</v>
      </c>
      <c r="C48" s="30" t="s">
        <v>610</v>
      </c>
      <c r="D48" s="36">
        <v>32.5</v>
      </c>
      <c r="E48" s="36">
        <v>35.5</v>
      </c>
      <c r="F48" s="28"/>
      <c r="G48" s="30" t="s">
        <v>611</v>
      </c>
      <c r="H48" s="30">
        <v>0.03</v>
      </c>
      <c r="I48" s="30">
        <v>3.88</v>
      </c>
      <c r="J48" s="37" t="s">
        <v>258</v>
      </c>
      <c r="K48" s="30" t="s">
        <v>52</v>
      </c>
      <c r="L48" s="30" t="s">
        <v>106</v>
      </c>
      <c r="M48" s="30"/>
      <c r="N48" s="30">
        <v>1850.0</v>
      </c>
      <c r="O48" s="30" t="s">
        <v>491</v>
      </c>
      <c r="P48" s="30"/>
      <c r="Q48" s="24"/>
      <c r="R48" s="24"/>
      <c r="S48" s="30" t="s">
        <v>612</v>
      </c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</row>
    <row r="49" ht="15.75" customHeight="1">
      <c r="A49" s="30" t="s">
        <v>613</v>
      </c>
      <c r="B49" s="30" t="s">
        <v>471</v>
      </c>
      <c r="C49" s="30" t="s">
        <v>614</v>
      </c>
      <c r="D49" s="36">
        <v>30.173889</v>
      </c>
      <c r="E49" s="36">
        <v>52.668056</v>
      </c>
      <c r="F49" s="28"/>
      <c r="G49" s="30" t="s">
        <v>312</v>
      </c>
      <c r="H49" s="31">
        <v>0.03</v>
      </c>
      <c r="I49" s="30">
        <v>5.34</v>
      </c>
      <c r="J49" s="37" t="s">
        <v>157</v>
      </c>
      <c r="K49" s="30" t="s">
        <v>38</v>
      </c>
      <c r="L49" s="30" t="s">
        <v>615</v>
      </c>
      <c r="M49" s="30"/>
      <c r="N49" s="30">
        <v>7700.0</v>
      </c>
      <c r="O49" s="30" t="s">
        <v>532</v>
      </c>
      <c r="P49" s="30"/>
      <c r="Q49" s="24"/>
      <c r="R49" s="24"/>
      <c r="S49" s="30" t="s">
        <v>616</v>
      </c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</row>
    <row r="50" ht="15.75" customHeight="1">
      <c r="A50" s="30" t="s">
        <v>617</v>
      </c>
      <c r="B50" s="30" t="s">
        <v>471</v>
      </c>
      <c r="C50" s="40" t="s">
        <v>472</v>
      </c>
      <c r="D50" s="39">
        <v>37.004831</v>
      </c>
      <c r="E50" s="39">
        <v>45.458892</v>
      </c>
      <c r="F50" s="28"/>
      <c r="G50" s="30" t="s">
        <v>618</v>
      </c>
      <c r="H50" s="30">
        <v>0.03</v>
      </c>
      <c r="I50" s="30">
        <v>5.72</v>
      </c>
      <c r="J50" s="37" t="s">
        <v>157</v>
      </c>
      <c r="K50" s="30" t="s">
        <v>52</v>
      </c>
      <c r="L50" s="30" t="s">
        <v>458</v>
      </c>
      <c r="M50" s="30"/>
      <c r="N50" s="30">
        <v>3700.0</v>
      </c>
      <c r="O50" s="30" t="s">
        <v>480</v>
      </c>
      <c r="P50" s="30"/>
      <c r="Q50" s="24"/>
      <c r="R50" s="24"/>
      <c r="S50" s="30" t="s">
        <v>619</v>
      </c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</row>
    <row r="51" ht="15.75" customHeight="1">
      <c r="A51" s="30" t="s">
        <v>620</v>
      </c>
      <c r="B51" s="30" t="s">
        <v>442</v>
      </c>
      <c r="C51" s="30" t="s">
        <v>443</v>
      </c>
      <c r="D51" s="36">
        <v>38.33193836</v>
      </c>
      <c r="E51" s="36">
        <v>109.833737411221</v>
      </c>
      <c r="F51" s="28"/>
      <c r="G51" s="30" t="s">
        <v>34</v>
      </c>
      <c r="H51" s="30">
        <v>0.03</v>
      </c>
      <c r="I51" s="30">
        <v>12.0</v>
      </c>
      <c r="J51" s="37" t="s">
        <v>157</v>
      </c>
      <c r="K51" s="30" t="s">
        <v>38</v>
      </c>
      <c r="L51" s="30" t="s">
        <v>106</v>
      </c>
      <c r="M51" s="30" t="s">
        <v>621</v>
      </c>
      <c r="N51" s="30">
        <f>(3980+3778)/2</f>
        <v>3879</v>
      </c>
      <c r="O51" s="30" t="s">
        <v>446</v>
      </c>
      <c r="P51" s="30"/>
      <c r="Q51" s="30"/>
      <c r="R51" s="30"/>
      <c r="S51" s="30" t="s">
        <v>622</v>
      </c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</row>
    <row r="52" ht="15.75" customHeight="1">
      <c r="A52" s="30" t="s">
        <v>623</v>
      </c>
      <c r="B52" s="30" t="s">
        <v>426</v>
      </c>
      <c r="C52" s="30" t="s">
        <v>427</v>
      </c>
      <c r="D52" s="36">
        <v>42.6575</v>
      </c>
      <c r="E52" s="36">
        <v>44.645278</v>
      </c>
      <c r="F52" s="28"/>
      <c r="G52" s="30" t="s">
        <v>417</v>
      </c>
      <c r="H52" s="30">
        <v>0.02</v>
      </c>
      <c r="I52" s="30">
        <v>7.48</v>
      </c>
      <c r="J52" s="37" t="s">
        <v>258</v>
      </c>
      <c r="K52" s="30" t="s">
        <v>52</v>
      </c>
      <c r="L52" s="30" t="s">
        <v>106</v>
      </c>
      <c r="M52" s="30"/>
      <c r="N52" s="30">
        <v>1290.0</v>
      </c>
      <c r="O52" s="30" t="s">
        <v>429</v>
      </c>
      <c r="P52" s="30"/>
      <c r="Q52" s="24"/>
      <c r="R52" s="24"/>
      <c r="S52" s="30" t="s">
        <v>624</v>
      </c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</row>
    <row r="53" ht="15.75" customHeight="1">
      <c r="A53" s="30" t="s">
        <v>625</v>
      </c>
      <c r="B53" s="30" t="s">
        <v>487</v>
      </c>
      <c r="C53" s="30" t="s">
        <v>626</v>
      </c>
      <c r="D53" s="36">
        <v>31.77889</v>
      </c>
      <c r="E53" s="36">
        <v>34.84992</v>
      </c>
      <c r="F53" s="28"/>
      <c r="G53" s="30" t="s">
        <v>627</v>
      </c>
      <c r="H53" s="30">
        <v>0.02</v>
      </c>
      <c r="I53" s="30">
        <v>2.82</v>
      </c>
      <c r="J53" s="37" t="s">
        <v>258</v>
      </c>
      <c r="K53" s="30" t="s">
        <v>38</v>
      </c>
      <c r="L53" s="30" t="s">
        <v>106</v>
      </c>
      <c r="M53" s="30"/>
      <c r="N53" s="30">
        <v>2925.0</v>
      </c>
      <c r="O53" s="30" t="s">
        <v>491</v>
      </c>
      <c r="P53" s="30"/>
      <c r="Q53" s="31"/>
      <c r="R53" s="31"/>
      <c r="S53" s="30" t="s">
        <v>628</v>
      </c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</row>
    <row r="54" ht="15.75" customHeight="1">
      <c r="A54" s="30" t="s">
        <v>629</v>
      </c>
      <c r="B54" s="30" t="s">
        <v>487</v>
      </c>
      <c r="C54" s="30" t="s">
        <v>626</v>
      </c>
      <c r="D54" s="36">
        <v>31.77889</v>
      </c>
      <c r="E54" s="36">
        <v>34.84992</v>
      </c>
      <c r="F54" s="28"/>
      <c r="G54" s="30" t="s">
        <v>630</v>
      </c>
      <c r="H54" s="30">
        <v>0.02</v>
      </c>
      <c r="I54" s="30">
        <v>3.53</v>
      </c>
      <c r="J54" s="37" t="s">
        <v>258</v>
      </c>
      <c r="K54" s="30" t="s">
        <v>38</v>
      </c>
      <c r="L54" s="30" t="s">
        <v>561</v>
      </c>
      <c r="M54" s="30"/>
      <c r="N54" s="30">
        <v>3300.0</v>
      </c>
      <c r="O54" s="30" t="s">
        <v>491</v>
      </c>
      <c r="P54" s="30"/>
      <c r="Q54" s="24"/>
      <c r="R54" s="24"/>
      <c r="S54" s="30" t="s">
        <v>631</v>
      </c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</row>
    <row r="55" ht="15.75" customHeight="1">
      <c r="A55" s="30" t="s">
        <v>632</v>
      </c>
      <c r="B55" s="30" t="s">
        <v>487</v>
      </c>
      <c r="C55" s="30" t="s">
        <v>488</v>
      </c>
      <c r="D55" s="36">
        <v>31.699722</v>
      </c>
      <c r="E55" s="36">
        <v>34.846944</v>
      </c>
      <c r="F55" s="28"/>
      <c r="G55" s="30" t="s">
        <v>489</v>
      </c>
      <c r="H55" s="30">
        <v>0.02</v>
      </c>
      <c r="I55" s="30">
        <v>3.27</v>
      </c>
      <c r="J55" s="37" t="s">
        <v>258</v>
      </c>
      <c r="K55" s="30" t="s">
        <v>38</v>
      </c>
      <c r="L55" s="30" t="s">
        <v>561</v>
      </c>
      <c r="M55" s="30"/>
      <c r="N55" s="30">
        <v>2800.0</v>
      </c>
      <c r="O55" s="30" t="s">
        <v>491</v>
      </c>
      <c r="P55" s="30"/>
      <c r="Q55" s="24"/>
      <c r="R55" s="24"/>
      <c r="S55" s="30" t="s">
        <v>633</v>
      </c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</row>
    <row r="56" ht="15.75" customHeight="1">
      <c r="A56" s="30" t="s">
        <v>634</v>
      </c>
      <c r="B56" s="30" t="s">
        <v>436</v>
      </c>
      <c r="C56" s="30" t="s">
        <v>635</v>
      </c>
      <c r="D56" s="36">
        <v>43.4353</v>
      </c>
      <c r="E56" s="36">
        <v>21.0631</v>
      </c>
      <c r="F56" s="28"/>
      <c r="G56" s="30" t="s">
        <v>636</v>
      </c>
      <c r="H56" s="30">
        <v>0.02</v>
      </c>
      <c r="I56" s="30">
        <v>4.6</v>
      </c>
      <c r="J56" s="37" t="s">
        <v>157</v>
      </c>
      <c r="K56" s="30" t="s">
        <v>52</v>
      </c>
      <c r="L56" s="30" t="s">
        <v>106</v>
      </c>
      <c r="M56" s="30"/>
      <c r="N56" s="30">
        <v>8100.0</v>
      </c>
      <c r="O56" s="30" t="s">
        <v>439</v>
      </c>
      <c r="P56" s="30"/>
      <c r="Q56" s="24"/>
      <c r="R56" s="24"/>
      <c r="S56" s="30" t="s">
        <v>637</v>
      </c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</row>
    <row r="57" ht="15.75" customHeight="1">
      <c r="A57" s="30" t="s">
        <v>638</v>
      </c>
      <c r="B57" s="30" t="s">
        <v>487</v>
      </c>
      <c r="C57" s="30" t="s">
        <v>639</v>
      </c>
      <c r="D57" s="36">
        <v>32.733333</v>
      </c>
      <c r="E57" s="36">
        <v>35.05</v>
      </c>
      <c r="F57" s="28"/>
      <c r="G57" s="30" t="s">
        <v>550</v>
      </c>
      <c r="H57" s="30">
        <v>0.02</v>
      </c>
      <c r="I57" s="30">
        <v>23.27</v>
      </c>
      <c r="J57" s="37" t="s">
        <v>157</v>
      </c>
      <c r="K57" s="30" t="s">
        <v>38</v>
      </c>
      <c r="L57" s="30" t="s">
        <v>561</v>
      </c>
      <c r="M57" s="30" t="s">
        <v>640</v>
      </c>
      <c r="N57" s="30">
        <v>4800.0</v>
      </c>
      <c r="O57" s="30" t="s">
        <v>641</v>
      </c>
      <c r="P57" s="30"/>
      <c r="Q57" s="30"/>
      <c r="R57" s="7"/>
      <c r="S57" s="30" t="s">
        <v>642</v>
      </c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</row>
    <row r="58" ht="15.75" customHeight="1">
      <c r="A58" s="30" t="s">
        <v>643</v>
      </c>
      <c r="B58" s="30" t="s">
        <v>558</v>
      </c>
      <c r="C58" s="30" t="s">
        <v>559</v>
      </c>
      <c r="D58" s="36">
        <v>35.873551</v>
      </c>
      <c r="E58" s="36">
        <v>8.78637117269409</v>
      </c>
      <c r="F58" s="30" t="s">
        <v>644</v>
      </c>
      <c r="G58" s="30" t="s">
        <v>495</v>
      </c>
      <c r="H58" s="30">
        <v>0.01</v>
      </c>
      <c r="I58" s="30">
        <v>8.67</v>
      </c>
      <c r="J58" s="37" t="s">
        <v>157</v>
      </c>
      <c r="K58" s="30" t="s">
        <v>38</v>
      </c>
      <c r="L58" s="30" t="s">
        <v>575</v>
      </c>
      <c r="M58" s="28"/>
      <c r="N58" s="38">
        <f>((2735+2485)/2+(2475+2470)/2)/2</f>
        <v>2541.25</v>
      </c>
      <c r="O58" s="30" t="s">
        <v>562</v>
      </c>
      <c r="P58" s="30"/>
      <c r="Q58" s="24"/>
      <c r="R58" s="24"/>
      <c r="S58" s="30" t="s">
        <v>645</v>
      </c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</row>
    <row r="59" ht="15.75" customHeight="1">
      <c r="A59" s="30" t="s">
        <v>646</v>
      </c>
      <c r="B59" s="30" t="s">
        <v>436</v>
      </c>
      <c r="C59" s="30" t="s">
        <v>635</v>
      </c>
      <c r="D59" s="36">
        <v>43.4353</v>
      </c>
      <c r="E59" s="36">
        <v>21.0631</v>
      </c>
      <c r="F59" s="28"/>
      <c r="G59" s="30" t="s">
        <v>636</v>
      </c>
      <c r="H59" s="30">
        <v>0.01</v>
      </c>
      <c r="I59" s="30">
        <v>1.16</v>
      </c>
      <c r="J59" s="37" t="s">
        <v>157</v>
      </c>
      <c r="K59" s="30" t="s">
        <v>52</v>
      </c>
      <c r="L59" s="30" t="s">
        <v>458</v>
      </c>
      <c r="M59" s="30"/>
      <c r="N59" s="30">
        <v>8100.0</v>
      </c>
      <c r="O59" s="30" t="s">
        <v>439</v>
      </c>
      <c r="P59" s="30"/>
      <c r="Q59" s="31"/>
      <c r="R59" s="31"/>
      <c r="S59" s="30" t="s">
        <v>647</v>
      </c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</row>
    <row r="60" ht="15.75" customHeight="1">
      <c r="A60" s="30" t="s">
        <v>648</v>
      </c>
      <c r="B60" s="30" t="s">
        <v>442</v>
      </c>
      <c r="C60" s="30" t="s">
        <v>443</v>
      </c>
      <c r="D60" s="36">
        <v>38.33193836</v>
      </c>
      <c r="E60" s="36">
        <v>109.833737411221</v>
      </c>
      <c r="F60" s="28"/>
      <c r="G60" s="30" t="s">
        <v>34</v>
      </c>
      <c r="H60" s="30">
        <v>0.01</v>
      </c>
      <c r="I60" s="30">
        <v>7.43</v>
      </c>
      <c r="J60" s="37" t="s">
        <v>157</v>
      </c>
      <c r="K60" s="30" t="s">
        <v>38</v>
      </c>
      <c r="L60" s="30" t="s">
        <v>615</v>
      </c>
      <c r="M60" s="30"/>
      <c r="N60" s="30">
        <f t="shared" ref="N60:N62" si="1">(3980+3778)/2</f>
        <v>3879</v>
      </c>
      <c r="O60" s="30" t="s">
        <v>446</v>
      </c>
      <c r="P60" s="30"/>
      <c r="Q60" s="24"/>
      <c r="R60" s="24"/>
      <c r="S60" s="30" t="s">
        <v>649</v>
      </c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</row>
    <row r="61" ht="15.75" customHeight="1">
      <c r="A61" s="30" t="s">
        <v>650</v>
      </c>
      <c r="B61" s="30" t="s">
        <v>442</v>
      </c>
      <c r="C61" s="30" t="s">
        <v>443</v>
      </c>
      <c r="D61" s="36">
        <v>38.33193836</v>
      </c>
      <c r="E61" s="36">
        <v>109.833737411221</v>
      </c>
      <c r="F61" s="28"/>
      <c r="G61" s="30" t="s">
        <v>34</v>
      </c>
      <c r="H61" s="30">
        <v>0.01</v>
      </c>
      <c r="I61" s="30">
        <v>1.25</v>
      </c>
      <c r="J61" s="37" t="s">
        <v>157</v>
      </c>
      <c r="K61" s="30" t="s">
        <v>38</v>
      </c>
      <c r="L61" s="30" t="s">
        <v>615</v>
      </c>
      <c r="M61" s="30"/>
      <c r="N61" s="30">
        <f t="shared" si="1"/>
        <v>3879</v>
      </c>
      <c r="O61" s="30" t="s">
        <v>446</v>
      </c>
      <c r="P61" s="30"/>
      <c r="Q61" s="31"/>
      <c r="R61" s="31"/>
      <c r="S61" s="30" t="s">
        <v>651</v>
      </c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</row>
    <row r="62" ht="15.75" customHeight="1">
      <c r="A62" s="30" t="s">
        <v>652</v>
      </c>
      <c r="B62" s="30" t="s">
        <v>442</v>
      </c>
      <c r="C62" s="30" t="s">
        <v>443</v>
      </c>
      <c r="D62" s="36">
        <v>38.33193836</v>
      </c>
      <c r="E62" s="36">
        <v>109.833737411221</v>
      </c>
      <c r="F62" s="28"/>
      <c r="G62" s="30" t="s">
        <v>34</v>
      </c>
      <c r="H62" s="40">
        <v>0.01</v>
      </c>
      <c r="I62" s="30">
        <v>3.56</v>
      </c>
      <c r="J62" s="37" t="s">
        <v>157</v>
      </c>
      <c r="K62" s="30" t="s">
        <v>38</v>
      </c>
      <c r="L62" s="30" t="s">
        <v>615</v>
      </c>
      <c r="M62" s="30"/>
      <c r="N62" s="30">
        <f t="shared" si="1"/>
        <v>3879</v>
      </c>
      <c r="O62" s="30" t="s">
        <v>446</v>
      </c>
      <c r="P62" s="30"/>
      <c r="Q62" s="24"/>
      <c r="R62" s="24"/>
      <c r="S62" s="30" t="s">
        <v>653</v>
      </c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</row>
    <row r="63" ht="15.75" customHeight="1">
      <c r="A63" s="30" t="s">
        <v>654</v>
      </c>
      <c r="B63" s="30" t="s">
        <v>558</v>
      </c>
      <c r="C63" s="30" t="s">
        <v>559</v>
      </c>
      <c r="D63" s="36">
        <v>35.873551</v>
      </c>
      <c r="E63" s="36">
        <v>8.78637117269409</v>
      </c>
      <c r="F63" s="28"/>
      <c r="G63" s="30" t="s">
        <v>495</v>
      </c>
      <c r="H63" s="30">
        <v>0.01</v>
      </c>
      <c r="I63" s="30">
        <v>3.71</v>
      </c>
      <c r="J63" s="37" t="s">
        <v>157</v>
      </c>
      <c r="K63" s="30" t="s">
        <v>52</v>
      </c>
      <c r="L63" s="30" t="s">
        <v>561</v>
      </c>
      <c r="M63" s="30"/>
      <c r="N63" s="30"/>
      <c r="O63" s="30" t="s">
        <v>562</v>
      </c>
      <c r="P63" s="30"/>
      <c r="Q63" s="24"/>
      <c r="R63" s="24"/>
      <c r="S63" s="30" t="s">
        <v>655</v>
      </c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</row>
    <row r="64" ht="15.75" customHeight="1">
      <c r="A64" s="30" t="s">
        <v>656</v>
      </c>
      <c r="B64" s="30" t="s">
        <v>558</v>
      </c>
      <c r="C64" s="30" t="s">
        <v>559</v>
      </c>
      <c r="D64" s="36">
        <v>35.873551</v>
      </c>
      <c r="E64" s="36">
        <v>8.78637117269409</v>
      </c>
      <c r="F64" s="28"/>
      <c r="G64" s="30" t="s">
        <v>495</v>
      </c>
      <c r="H64" s="30">
        <v>0.01</v>
      </c>
      <c r="I64" s="30">
        <v>1.55</v>
      </c>
      <c r="J64" s="37" t="s">
        <v>157</v>
      </c>
      <c r="K64" s="30" t="s">
        <v>52</v>
      </c>
      <c r="L64" s="30" t="s">
        <v>561</v>
      </c>
      <c r="M64" s="30"/>
      <c r="N64" s="30"/>
      <c r="O64" s="30" t="s">
        <v>562</v>
      </c>
      <c r="P64" s="30"/>
      <c r="Q64" s="31"/>
      <c r="R64" s="31"/>
      <c r="S64" s="30" t="s">
        <v>657</v>
      </c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</row>
    <row r="65" ht="15.75" customHeight="1">
      <c r="A65" s="30" t="s">
        <v>658</v>
      </c>
      <c r="B65" s="30" t="s">
        <v>558</v>
      </c>
      <c r="C65" s="30" t="s">
        <v>559</v>
      </c>
      <c r="D65" s="36">
        <v>35.873551</v>
      </c>
      <c r="E65" s="36">
        <v>8.78637117269409</v>
      </c>
      <c r="F65" s="28"/>
      <c r="G65" s="30" t="s">
        <v>495</v>
      </c>
      <c r="H65" s="30">
        <v>0.01</v>
      </c>
      <c r="I65" s="30">
        <v>1.2</v>
      </c>
      <c r="J65" s="37" t="s">
        <v>157</v>
      </c>
      <c r="K65" s="30" t="s">
        <v>52</v>
      </c>
      <c r="L65" s="30" t="s">
        <v>561</v>
      </c>
      <c r="M65" s="30"/>
      <c r="N65" s="30"/>
      <c r="O65" s="30" t="s">
        <v>562</v>
      </c>
      <c r="P65" s="30"/>
      <c r="Q65" s="31"/>
      <c r="R65" s="31"/>
      <c r="S65" s="30" t="s">
        <v>659</v>
      </c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</row>
    <row r="66" ht="15.75" customHeight="1">
      <c r="A66" s="30" t="s">
        <v>660</v>
      </c>
      <c r="B66" s="30" t="s">
        <v>558</v>
      </c>
      <c r="C66" s="30" t="s">
        <v>559</v>
      </c>
      <c r="D66" s="36">
        <v>35.873551</v>
      </c>
      <c r="E66" s="36">
        <v>8.78637117269409</v>
      </c>
      <c r="F66" s="30" t="s">
        <v>661</v>
      </c>
      <c r="G66" s="30" t="s">
        <v>495</v>
      </c>
      <c r="H66" s="30">
        <v>0.01</v>
      </c>
      <c r="I66" s="30">
        <v>8.97</v>
      </c>
      <c r="J66" s="37" t="s">
        <v>157</v>
      </c>
      <c r="K66" s="30" t="s">
        <v>52</v>
      </c>
      <c r="L66" s="30" t="s">
        <v>561</v>
      </c>
      <c r="M66" s="28"/>
      <c r="N66" s="38">
        <f>((2178+2041)/2+(2302+2234)/2+(2026+2003)/2)/3</f>
        <v>2130.666667</v>
      </c>
      <c r="O66" s="30" t="s">
        <v>562</v>
      </c>
      <c r="P66" s="30"/>
      <c r="Q66" s="24"/>
      <c r="R66" s="24"/>
      <c r="S66" s="30" t="s">
        <v>662</v>
      </c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</row>
    <row r="67" ht="15.75" customHeight="1">
      <c r="A67" s="30" t="s">
        <v>663</v>
      </c>
      <c r="B67" s="30" t="s">
        <v>487</v>
      </c>
      <c r="C67" s="30" t="s">
        <v>664</v>
      </c>
      <c r="D67" s="36">
        <v>31.662429</v>
      </c>
      <c r="E67" s="36">
        <v>34.54638</v>
      </c>
      <c r="F67" s="28"/>
      <c r="G67" s="30" t="s">
        <v>665</v>
      </c>
      <c r="H67" s="30">
        <v>0.0</v>
      </c>
      <c r="I67" s="30">
        <v>13.93</v>
      </c>
      <c r="J67" s="37" t="s">
        <v>258</v>
      </c>
      <c r="K67" s="30" t="s">
        <v>52</v>
      </c>
      <c r="L67" s="30" t="s">
        <v>106</v>
      </c>
      <c r="M67" s="30" t="s">
        <v>666</v>
      </c>
      <c r="N67" s="30">
        <v>3100.0</v>
      </c>
      <c r="O67" s="30" t="s">
        <v>491</v>
      </c>
      <c r="P67" s="30"/>
      <c r="Q67" s="30"/>
      <c r="R67" s="7"/>
      <c r="S67" s="30" t="s">
        <v>667</v>
      </c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</row>
    <row r="68" ht="15.75" customHeight="1">
      <c r="A68" s="30" t="s">
        <v>668</v>
      </c>
      <c r="B68" s="30" t="s">
        <v>487</v>
      </c>
      <c r="C68" s="30" t="s">
        <v>669</v>
      </c>
      <c r="D68" s="36">
        <v>31.2047</v>
      </c>
      <c r="E68" s="36">
        <v>34.9939</v>
      </c>
      <c r="F68" s="28"/>
      <c r="G68" s="30" t="s">
        <v>670</v>
      </c>
      <c r="H68" s="31">
        <v>0.0</v>
      </c>
      <c r="I68" s="31">
        <v>2.45</v>
      </c>
      <c r="J68" s="37" t="s">
        <v>258</v>
      </c>
      <c r="K68" s="30" t="s">
        <v>38</v>
      </c>
      <c r="L68" s="30" t="s">
        <v>561</v>
      </c>
      <c r="M68" s="30"/>
      <c r="N68" s="30">
        <v>3100.0</v>
      </c>
      <c r="O68" s="30" t="s">
        <v>491</v>
      </c>
      <c r="P68" s="30"/>
      <c r="Q68" s="31"/>
      <c r="R68" s="31"/>
      <c r="S68" s="30" t="s">
        <v>671</v>
      </c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</row>
    <row r="69" ht="15.75" customHeight="1">
      <c r="A69" s="30" t="s">
        <v>672</v>
      </c>
      <c r="B69" s="30" t="s">
        <v>487</v>
      </c>
      <c r="C69" s="30" t="s">
        <v>626</v>
      </c>
      <c r="D69" s="36">
        <v>31.77889</v>
      </c>
      <c r="E69" s="36">
        <v>34.84992</v>
      </c>
      <c r="F69" s="28"/>
      <c r="G69" s="30" t="s">
        <v>673</v>
      </c>
      <c r="H69" s="30">
        <v>0.0</v>
      </c>
      <c r="I69" s="30">
        <v>1.78</v>
      </c>
      <c r="J69" s="37" t="s">
        <v>258</v>
      </c>
      <c r="K69" s="30" t="s">
        <v>38</v>
      </c>
      <c r="L69" s="30" t="s">
        <v>393</v>
      </c>
      <c r="M69" s="30"/>
      <c r="N69" s="30">
        <v>3150.0</v>
      </c>
      <c r="O69" s="30" t="s">
        <v>491</v>
      </c>
      <c r="P69" s="30"/>
      <c r="Q69" s="31"/>
      <c r="R69" s="31"/>
      <c r="S69" s="30" t="s">
        <v>674</v>
      </c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</row>
    <row r="70" ht="15.75" customHeight="1">
      <c r="A70" s="30" t="s">
        <v>675</v>
      </c>
      <c r="B70" s="30" t="s">
        <v>487</v>
      </c>
      <c r="C70" s="30" t="s">
        <v>626</v>
      </c>
      <c r="D70" s="36">
        <v>31.77889</v>
      </c>
      <c r="E70" s="36">
        <v>34.84992</v>
      </c>
      <c r="F70" s="28"/>
      <c r="G70" s="30" t="s">
        <v>673</v>
      </c>
      <c r="H70" s="30">
        <v>0.0</v>
      </c>
      <c r="I70" s="30">
        <v>6.25</v>
      </c>
      <c r="J70" s="37" t="s">
        <v>258</v>
      </c>
      <c r="K70" s="30" t="s">
        <v>38</v>
      </c>
      <c r="L70" s="30" t="s">
        <v>615</v>
      </c>
      <c r="M70" s="30"/>
      <c r="N70" s="30">
        <v>3150.0</v>
      </c>
      <c r="O70" s="30" t="s">
        <v>491</v>
      </c>
      <c r="P70" s="30"/>
      <c r="Q70" s="24"/>
      <c r="R70" s="24"/>
      <c r="S70" s="30" t="s">
        <v>676</v>
      </c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</row>
    <row r="71" ht="15.75" customHeight="1">
      <c r="A71" s="30" t="s">
        <v>677</v>
      </c>
      <c r="B71" s="30" t="s">
        <v>487</v>
      </c>
      <c r="C71" s="30" t="s">
        <v>488</v>
      </c>
      <c r="D71" s="36">
        <v>31.699722</v>
      </c>
      <c r="E71" s="36">
        <v>34.846944</v>
      </c>
      <c r="F71" s="28"/>
      <c r="G71" s="30" t="s">
        <v>670</v>
      </c>
      <c r="H71" s="30">
        <v>0.0</v>
      </c>
      <c r="I71" s="30">
        <v>56.56</v>
      </c>
      <c r="J71" s="37" t="s">
        <v>258</v>
      </c>
      <c r="K71" s="30" t="s">
        <v>38</v>
      </c>
      <c r="L71" s="30" t="s">
        <v>561</v>
      </c>
      <c r="M71" s="30" t="s">
        <v>678</v>
      </c>
      <c r="N71" s="30">
        <v>3100.0</v>
      </c>
      <c r="O71" s="30" t="s">
        <v>491</v>
      </c>
      <c r="P71" s="30"/>
      <c r="Q71" s="30"/>
      <c r="R71" s="7"/>
      <c r="S71" s="30" t="s">
        <v>679</v>
      </c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</row>
    <row r="72" ht="15.75" customHeight="1">
      <c r="A72" s="30" t="s">
        <v>680</v>
      </c>
      <c r="B72" s="30" t="s">
        <v>558</v>
      </c>
      <c r="C72" s="30" t="s">
        <v>559</v>
      </c>
      <c r="D72" s="36">
        <v>35.873551</v>
      </c>
      <c r="E72" s="36">
        <v>8.78637117269409</v>
      </c>
      <c r="F72" s="30" t="s">
        <v>681</v>
      </c>
      <c r="G72" s="30" t="s">
        <v>495</v>
      </c>
      <c r="H72" s="30">
        <v>0.0</v>
      </c>
      <c r="I72" s="30">
        <v>1.06</v>
      </c>
      <c r="J72" s="37" t="s">
        <v>157</v>
      </c>
      <c r="K72" s="30" t="s">
        <v>38</v>
      </c>
      <c r="L72" s="30" t="s">
        <v>575</v>
      </c>
      <c r="M72" s="28"/>
      <c r="N72" s="30">
        <v>2750.0</v>
      </c>
      <c r="O72" s="30" t="s">
        <v>562</v>
      </c>
      <c r="P72" s="30"/>
      <c r="Q72" s="31"/>
      <c r="R72" s="31"/>
      <c r="S72" s="30" t="s">
        <v>682</v>
      </c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</row>
    <row r="73" ht="15.75" customHeight="1">
      <c r="A73" s="30" t="s">
        <v>683</v>
      </c>
      <c r="B73" s="30" t="s">
        <v>471</v>
      </c>
      <c r="C73" s="30" t="s">
        <v>684</v>
      </c>
      <c r="D73" s="36">
        <v>39.1613</v>
      </c>
      <c r="E73" s="36">
        <v>45.2707</v>
      </c>
      <c r="F73" s="28"/>
      <c r="G73" s="30" t="s">
        <v>685</v>
      </c>
      <c r="H73" s="30">
        <v>0.0</v>
      </c>
      <c r="I73" s="30">
        <v>22.7</v>
      </c>
      <c r="J73" s="37" t="s">
        <v>157</v>
      </c>
      <c r="K73" s="30" t="s">
        <v>38</v>
      </c>
      <c r="L73" s="30" t="s">
        <v>458</v>
      </c>
      <c r="M73" s="30" t="s">
        <v>686</v>
      </c>
      <c r="N73" s="30">
        <v>6100.0</v>
      </c>
      <c r="O73" s="30" t="s">
        <v>604</v>
      </c>
      <c r="P73" s="30"/>
      <c r="Q73" s="30"/>
      <c r="R73" s="7"/>
      <c r="S73" s="30" t="s">
        <v>687</v>
      </c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</row>
    <row r="74" ht="15.75" customHeight="1">
      <c r="A74" s="30" t="s">
        <v>688</v>
      </c>
      <c r="B74" s="30" t="s">
        <v>487</v>
      </c>
      <c r="C74" s="30" t="s">
        <v>689</v>
      </c>
      <c r="D74" s="36">
        <v>33.249</v>
      </c>
      <c r="E74" s="36">
        <v>35.652</v>
      </c>
      <c r="F74" s="28"/>
      <c r="G74" s="30" t="s">
        <v>690</v>
      </c>
      <c r="H74" s="31">
        <v>0.0</v>
      </c>
      <c r="I74" s="30">
        <v>4.08</v>
      </c>
      <c r="J74" s="37" t="s">
        <v>157</v>
      </c>
      <c r="K74" s="30" t="s">
        <v>38</v>
      </c>
      <c r="L74" s="30" t="s">
        <v>615</v>
      </c>
      <c r="M74" s="30"/>
      <c r="N74" s="30">
        <f>(3500+3000)/2+1950</f>
        <v>5200</v>
      </c>
      <c r="O74" s="30" t="s">
        <v>641</v>
      </c>
      <c r="P74" s="30"/>
      <c r="Q74" s="24"/>
      <c r="R74" s="24"/>
      <c r="S74" s="30" t="s">
        <v>691</v>
      </c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</row>
    <row r="75" ht="15.75" customHeight="1">
      <c r="A75" s="30" t="s">
        <v>692</v>
      </c>
      <c r="B75" s="30" t="s">
        <v>487</v>
      </c>
      <c r="C75" s="30" t="s">
        <v>693</v>
      </c>
      <c r="D75" s="36">
        <v>31.328497</v>
      </c>
      <c r="E75" s="36">
        <v>34.649997</v>
      </c>
      <c r="F75" s="28"/>
      <c r="G75" s="30" t="s">
        <v>269</v>
      </c>
      <c r="H75" s="31">
        <v>0.0</v>
      </c>
      <c r="I75" s="30">
        <v>2.03</v>
      </c>
      <c r="J75" s="37" t="s">
        <v>157</v>
      </c>
      <c r="K75" s="30" t="s">
        <v>38</v>
      </c>
      <c r="L75" s="30" t="s">
        <v>106</v>
      </c>
      <c r="M75" s="30"/>
      <c r="N75" s="31">
        <f>(4300+3300)/2+1950</f>
        <v>5750</v>
      </c>
      <c r="O75" s="30" t="s">
        <v>694</v>
      </c>
      <c r="P75" s="30"/>
      <c r="Q75" s="31"/>
      <c r="R75" s="31"/>
      <c r="S75" s="30" t="s">
        <v>695</v>
      </c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</row>
    <row r="76" ht="15.75" customHeight="1">
      <c r="A76" s="30" t="s">
        <v>696</v>
      </c>
      <c r="B76" s="30" t="s">
        <v>263</v>
      </c>
      <c r="C76" s="30" t="s">
        <v>264</v>
      </c>
      <c r="D76" s="36">
        <v>36.848528</v>
      </c>
      <c r="E76" s="36">
        <v>60.418056</v>
      </c>
      <c r="F76" s="28"/>
      <c r="G76" s="30" t="s">
        <v>269</v>
      </c>
      <c r="H76" s="30">
        <v>0.0</v>
      </c>
      <c r="I76" s="30">
        <v>31.48</v>
      </c>
      <c r="J76" s="37" t="s">
        <v>157</v>
      </c>
      <c r="K76" s="30" t="s">
        <v>38</v>
      </c>
      <c r="L76" s="30" t="s">
        <v>106</v>
      </c>
      <c r="M76" s="30" t="s">
        <v>697</v>
      </c>
      <c r="N76" s="30">
        <v>7200.0</v>
      </c>
      <c r="O76" s="30" t="s">
        <v>271</v>
      </c>
      <c r="P76" s="30"/>
      <c r="Q76" s="30"/>
      <c r="R76" s="30"/>
      <c r="S76" s="30" t="s">
        <v>698</v>
      </c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</row>
    <row r="77" ht="15.75" customHeight="1">
      <c r="A77" s="30" t="s">
        <v>699</v>
      </c>
      <c r="B77" s="30" t="s">
        <v>487</v>
      </c>
      <c r="C77" s="30" t="s">
        <v>700</v>
      </c>
      <c r="D77" s="36">
        <v>31.251898</v>
      </c>
      <c r="E77" s="36">
        <v>34.78608</v>
      </c>
      <c r="F77" s="28"/>
      <c r="G77" s="30" t="s">
        <v>701</v>
      </c>
      <c r="H77" s="31">
        <v>0.0</v>
      </c>
      <c r="I77" s="30">
        <v>5.71</v>
      </c>
      <c r="J77" s="37" t="s">
        <v>157</v>
      </c>
      <c r="K77" s="30" t="s">
        <v>52</v>
      </c>
      <c r="L77" s="30" t="s">
        <v>561</v>
      </c>
      <c r="M77" s="30"/>
      <c r="N77" s="30"/>
      <c r="O77" s="30" t="s">
        <v>641</v>
      </c>
      <c r="P77" s="30"/>
      <c r="Q77" s="24"/>
      <c r="R77" s="24"/>
      <c r="S77" s="30" t="s">
        <v>702</v>
      </c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</row>
    <row r="78" ht="15.75" customHeight="1">
      <c r="A78" s="30" t="s">
        <v>703</v>
      </c>
      <c r="B78" s="30" t="s">
        <v>704</v>
      </c>
      <c r="C78" s="30" t="s">
        <v>705</v>
      </c>
      <c r="D78" s="36">
        <v>41.366667</v>
      </c>
      <c r="E78" s="36">
        <v>23.366667</v>
      </c>
      <c r="F78" s="28"/>
      <c r="G78" s="30" t="s">
        <v>312</v>
      </c>
      <c r="H78" s="31">
        <v>0.0</v>
      </c>
      <c r="I78" s="30">
        <v>7.58</v>
      </c>
      <c r="J78" s="37" t="s">
        <v>157</v>
      </c>
      <c r="K78" s="30" t="s">
        <v>370</v>
      </c>
      <c r="L78" s="30" t="s">
        <v>458</v>
      </c>
      <c r="M78" s="30"/>
      <c r="N78" s="30"/>
      <c r="O78" s="30" t="s">
        <v>439</v>
      </c>
      <c r="P78" s="30"/>
      <c r="Q78" s="24"/>
      <c r="R78" s="24"/>
      <c r="S78" s="30" t="s">
        <v>706</v>
      </c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</row>
    <row r="79" ht="15.75" customHeight="1">
      <c r="A79" s="30" t="s">
        <v>707</v>
      </c>
      <c r="B79" s="30" t="s">
        <v>704</v>
      </c>
      <c r="C79" s="30" t="s">
        <v>708</v>
      </c>
      <c r="D79" s="36">
        <v>38.5</v>
      </c>
      <c r="E79" s="36">
        <v>23.1667</v>
      </c>
      <c r="F79" s="28"/>
      <c r="G79" s="30" t="s">
        <v>449</v>
      </c>
      <c r="H79" s="30">
        <v>0.0</v>
      </c>
      <c r="I79" s="30">
        <v>85.2</v>
      </c>
      <c r="J79" s="37" t="s">
        <v>157</v>
      </c>
      <c r="K79" s="30" t="s">
        <v>52</v>
      </c>
      <c r="L79" s="30" t="s">
        <v>393</v>
      </c>
      <c r="M79" s="30" t="s">
        <v>709</v>
      </c>
      <c r="N79" s="30">
        <v>6600.0</v>
      </c>
      <c r="O79" s="30" t="s">
        <v>439</v>
      </c>
      <c r="P79" s="30"/>
      <c r="Q79" s="30"/>
      <c r="R79" s="7"/>
      <c r="S79" s="30" t="s">
        <v>710</v>
      </c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</row>
    <row r="80" ht="15.75" customHeight="1">
      <c r="A80" s="30" t="s">
        <v>711</v>
      </c>
      <c r="B80" s="30" t="s">
        <v>558</v>
      </c>
      <c r="C80" s="30" t="s">
        <v>559</v>
      </c>
      <c r="D80" s="36">
        <v>35.873551</v>
      </c>
      <c r="E80" s="36">
        <v>8.78637117269409</v>
      </c>
      <c r="F80" s="28"/>
      <c r="G80" s="30" t="s">
        <v>495</v>
      </c>
      <c r="H80" s="30">
        <v>0.0</v>
      </c>
      <c r="I80" s="30">
        <v>1.53</v>
      </c>
      <c r="J80" s="37" t="s">
        <v>157</v>
      </c>
      <c r="K80" s="30" t="s">
        <v>52</v>
      </c>
      <c r="L80" s="30" t="s">
        <v>561</v>
      </c>
      <c r="M80" s="30"/>
      <c r="N80" s="30"/>
      <c r="O80" s="30" t="s">
        <v>562</v>
      </c>
      <c r="P80" s="30"/>
      <c r="Q80" s="31"/>
      <c r="R80" s="31"/>
      <c r="S80" s="30" t="s">
        <v>712</v>
      </c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</row>
    <row r="81" ht="15.75" customHeight="1">
      <c r="A81" s="30" t="s">
        <v>713</v>
      </c>
      <c r="B81" s="30" t="s">
        <v>487</v>
      </c>
      <c r="C81" s="30" t="s">
        <v>714</v>
      </c>
      <c r="D81" s="36">
        <v>31.9765</v>
      </c>
      <c r="E81" s="36">
        <v>34.9694</v>
      </c>
      <c r="F81" s="28"/>
      <c r="G81" s="30" t="s">
        <v>550</v>
      </c>
      <c r="H81" s="30">
        <v>0.0</v>
      </c>
      <c r="I81" s="30">
        <v>3.18</v>
      </c>
      <c r="J81" s="37" t="s">
        <v>157</v>
      </c>
      <c r="K81" s="30" t="s">
        <v>52</v>
      </c>
      <c r="L81" s="30" t="s">
        <v>561</v>
      </c>
      <c r="M81" s="30"/>
      <c r="N81" s="30">
        <v>5050.0</v>
      </c>
      <c r="O81" s="30" t="s">
        <v>641</v>
      </c>
      <c r="P81" s="30"/>
      <c r="Q81" s="31"/>
      <c r="R81" s="31"/>
      <c r="S81" s="30" t="s">
        <v>715</v>
      </c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</row>
    <row r="82" ht="15.75" customHeight="1">
      <c r="A82" s="30" t="s">
        <v>716</v>
      </c>
      <c r="B82" s="30" t="s">
        <v>487</v>
      </c>
      <c r="C82" s="30" t="s">
        <v>717</v>
      </c>
      <c r="D82" s="36">
        <v>32.690823</v>
      </c>
      <c r="E82" s="36">
        <v>34.94166</v>
      </c>
      <c r="F82" s="28"/>
      <c r="G82" s="30" t="s">
        <v>34</v>
      </c>
      <c r="H82" s="30">
        <v>0.0</v>
      </c>
      <c r="I82" s="30">
        <v>3.17</v>
      </c>
      <c r="J82" s="37" t="s">
        <v>157</v>
      </c>
      <c r="K82" s="30" t="s">
        <v>52</v>
      </c>
      <c r="L82" s="30" t="s">
        <v>561</v>
      </c>
      <c r="M82" s="30"/>
      <c r="N82" s="30">
        <v>6700.0</v>
      </c>
      <c r="O82" s="30" t="s">
        <v>718</v>
      </c>
      <c r="P82" s="30"/>
      <c r="Q82" s="31"/>
      <c r="R82" s="31"/>
      <c r="S82" s="30" t="s">
        <v>719</v>
      </c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</row>
    <row r="83" ht="15.75" customHeight="1">
      <c r="A83" s="30" t="s">
        <v>720</v>
      </c>
      <c r="B83" s="30" t="s">
        <v>487</v>
      </c>
      <c r="C83" s="30" t="s">
        <v>639</v>
      </c>
      <c r="D83" s="36">
        <v>32.733333</v>
      </c>
      <c r="E83" s="36">
        <v>35.05</v>
      </c>
      <c r="F83" s="28"/>
      <c r="G83" s="30" t="s">
        <v>550</v>
      </c>
      <c r="H83" s="30">
        <v>0.0</v>
      </c>
      <c r="I83" s="30">
        <v>13.96</v>
      </c>
      <c r="J83" s="37" t="s">
        <v>157</v>
      </c>
      <c r="K83" s="30" t="s">
        <v>52</v>
      </c>
      <c r="L83" s="30" t="s">
        <v>106</v>
      </c>
      <c r="M83" s="30" t="s">
        <v>721</v>
      </c>
      <c r="N83" s="30">
        <v>4800.0</v>
      </c>
      <c r="O83" s="30" t="s">
        <v>641</v>
      </c>
      <c r="P83" s="30"/>
      <c r="Q83" s="30"/>
      <c r="R83" s="7"/>
      <c r="S83" s="30" t="s">
        <v>722</v>
      </c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</row>
    <row r="84" ht="15.75" customHeight="1">
      <c r="A84" s="28"/>
      <c r="B84" s="28"/>
      <c r="C84" s="28"/>
      <c r="D84" s="43"/>
      <c r="E84" s="43"/>
      <c r="F84" s="28"/>
      <c r="G84" s="28"/>
      <c r="H84" s="30"/>
      <c r="I84" s="30"/>
      <c r="J84" s="28"/>
      <c r="K84" s="30"/>
      <c r="L84" s="30"/>
      <c r="M84" s="30"/>
      <c r="N84" s="30"/>
      <c r="O84" s="28"/>
      <c r="P84" s="30"/>
      <c r="Q84" s="31"/>
      <c r="R84" s="31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</row>
    <row r="85" ht="15.75" customHeight="1">
      <c r="A85" s="28"/>
      <c r="B85" s="28"/>
      <c r="C85" s="28"/>
      <c r="D85" s="43"/>
      <c r="E85" s="43"/>
      <c r="F85" s="28"/>
      <c r="G85" s="28"/>
      <c r="H85" s="30"/>
      <c r="I85" s="30"/>
      <c r="J85" s="28"/>
      <c r="K85" s="30"/>
      <c r="L85" s="30"/>
      <c r="M85" s="30"/>
      <c r="N85" s="30"/>
      <c r="O85" s="28"/>
      <c r="P85" s="30"/>
      <c r="Q85" s="31"/>
      <c r="R85" s="31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</row>
    <row r="86" ht="15.75" customHeight="1">
      <c r="A86" s="28"/>
      <c r="B86" s="28"/>
      <c r="C86" s="28"/>
      <c r="D86" s="43"/>
      <c r="E86" s="43"/>
      <c r="F86" s="28"/>
      <c r="G86" s="28"/>
      <c r="H86" s="30"/>
      <c r="I86" s="30"/>
      <c r="J86" s="28"/>
      <c r="K86" s="30"/>
      <c r="L86" s="30"/>
      <c r="M86" s="30"/>
      <c r="N86" s="30"/>
      <c r="O86" s="28"/>
      <c r="P86" s="30"/>
      <c r="Q86" s="31"/>
      <c r="R86" s="31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</row>
    <row r="87" ht="15.75" customHeight="1">
      <c r="A87" s="28"/>
      <c r="B87" s="28"/>
      <c r="C87" s="28"/>
      <c r="D87" s="43"/>
      <c r="E87" s="43"/>
      <c r="F87" s="28"/>
      <c r="G87" s="28"/>
      <c r="H87" s="30"/>
      <c r="I87" s="30"/>
      <c r="J87" s="28"/>
      <c r="K87" s="30"/>
      <c r="L87" s="30"/>
      <c r="M87" s="30"/>
      <c r="N87" s="30"/>
      <c r="O87" s="28"/>
      <c r="P87" s="30"/>
      <c r="Q87" s="31"/>
      <c r="R87" s="31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</row>
    <row r="88" ht="15.75" customHeight="1">
      <c r="A88" s="28"/>
      <c r="B88" s="28"/>
      <c r="C88" s="28"/>
      <c r="D88" s="43"/>
      <c r="E88" s="43"/>
      <c r="F88" s="28"/>
      <c r="G88" s="28"/>
      <c r="H88" s="30"/>
      <c r="I88" s="30"/>
      <c r="J88" s="28"/>
      <c r="K88" s="30"/>
      <c r="L88" s="30"/>
      <c r="M88" s="30"/>
      <c r="N88" s="30"/>
      <c r="O88" s="28"/>
      <c r="P88" s="30"/>
      <c r="Q88" s="31"/>
      <c r="R88" s="31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</row>
    <row r="89" ht="15.75" customHeight="1">
      <c r="A89" s="28"/>
      <c r="B89" s="28"/>
      <c r="C89" s="28"/>
      <c r="D89" s="43"/>
      <c r="E89" s="43"/>
      <c r="F89" s="28"/>
      <c r="G89" s="28"/>
      <c r="H89" s="30"/>
      <c r="I89" s="30"/>
      <c r="J89" s="28"/>
      <c r="K89" s="30"/>
      <c r="L89" s="30"/>
      <c r="M89" s="30"/>
      <c r="N89" s="30"/>
      <c r="O89" s="28"/>
      <c r="P89" s="30"/>
      <c r="Q89" s="31"/>
      <c r="R89" s="31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</row>
    <row r="90" ht="15.75" customHeight="1">
      <c r="A90" s="28"/>
      <c r="B90" s="28"/>
      <c r="C90" s="28"/>
      <c r="D90" s="43"/>
      <c r="E90" s="43"/>
      <c r="F90" s="28"/>
      <c r="G90" s="28"/>
      <c r="H90" s="30"/>
      <c r="I90" s="30"/>
      <c r="J90" s="28"/>
      <c r="K90" s="30"/>
      <c r="L90" s="30"/>
      <c r="M90" s="30"/>
      <c r="N90" s="30"/>
      <c r="O90" s="28"/>
      <c r="P90" s="30"/>
      <c r="Q90" s="31"/>
      <c r="R90" s="31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</row>
    <row r="91" ht="15.75" customHeight="1">
      <c r="A91" s="28"/>
      <c r="B91" s="28"/>
      <c r="C91" s="28"/>
      <c r="D91" s="43"/>
      <c r="E91" s="43"/>
      <c r="F91" s="28"/>
      <c r="G91" s="28"/>
      <c r="H91" s="30"/>
      <c r="I91" s="30"/>
      <c r="J91" s="28"/>
      <c r="K91" s="30"/>
      <c r="L91" s="30"/>
      <c r="M91" s="30"/>
      <c r="N91" s="30"/>
      <c r="O91" s="28"/>
      <c r="P91" s="30"/>
      <c r="Q91" s="31"/>
      <c r="R91" s="31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</row>
    <row r="92" ht="15.75" customHeight="1">
      <c r="A92" s="28"/>
      <c r="B92" s="28"/>
      <c r="C92" s="28"/>
      <c r="D92" s="43"/>
      <c r="E92" s="43"/>
      <c r="F92" s="28"/>
      <c r="G92" s="28"/>
      <c r="H92" s="30"/>
      <c r="I92" s="30"/>
      <c r="J92" s="28"/>
      <c r="K92" s="30"/>
      <c r="L92" s="30"/>
      <c r="M92" s="30"/>
      <c r="N92" s="30"/>
      <c r="O92" s="28"/>
      <c r="P92" s="30"/>
      <c r="Q92" s="31"/>
      <c r="R92" s="31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</row>
    <row r="93" ht="15.75" customHeight="1">
      <c r="A93" s="28"/>
      <c r="B93" s="28"/>
      <c r="C93" s="28"/>
      <c r="D93" s="43"/>
      <c r="E93" s="43"/>
      <c r="F93" s="28"/>
      <c r="G93" s="28"/>
      <c r="H93" s="30"/>
      <c r="I93" s="30"/>
      <c r="J93" s="28"/>
      <c r="K93" s="30"/>
      <c r="L93" s="30"/>
      <c r="M93" s="30"/>
      <c r="N93" s="30"/>
      <c r="O93" s="28"/>
      <c r="P93" s="30"/>
      <c r="Q93" s="31"/>
      <c r="R93" s="31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</row>
    <row r="94" ht="15.75" customHeight="1">
      <c r="A94" s="44"/>
      <c r="B94" s="28"/>
      <c r="C94" s="28"/>
      <c r="D94" s="43"/>
      <c r="E94" s="43"/>
      <c r="F94" s="28"/>
      <c r="G94" s="28"/>
      <c r="H94" s="30"/>
      <c r="I94" s="30"/>
      <c r="J94" s="28"/>
      <c r="K94" s="30"/>
      <c r="L94" s="30"/>
      <c r="M94" s="30"/>
      <c r="N94" s="30"/>
      <c r="O94" s="28"/>
      <c r="P94" s="30"/>
      <c r="Q94" s="31"/>
      <c r="R94" s="31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</row>
    <row r="95" ht="15.75" customHeight="1">
      <c r="A95" s="28"/>
      <c r="B95" s="28"/>
      <c r="C95" s="28"/>
      <c r="D95" s="43"/>
      <c r="E95" s="43"/>
      <c r="F95" s="28"/>
      <c r="G95" s="28"/>
      <c r="H95" s="30"/>
      <c r="I95" s="30"/>
      <c r="J95" s="28"/>
      <c r="K95" s="30"/>
      <c r="L95" s="30"/>
      <c r="M95" s="30"/>
      <c r="N95" s="30"/>
      <c r="O95" s="28"/>
      <c r="P95" s="30"/>
      <c r="Q95" s="31"/>
      <c r="R95" s="31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</row>
    <row r="96" ht="15.75" customHeight="1">
      <c r="A96" s="28"/>
      <c r="B96" s="28"/>
      <c r="C96" s="28"/>
      <c r="D96" s="43"/>
      <c r="E96" s="43"/>
      <c r="F96" s="28"/>
      <c r="G96" s="28"/>
      <c r="H96" s="30"/>
      <c r="I96" s="30"/>
      <c r="J96" s="28"/>
      <c r="K96" s="30"/>
      <c r="L96" s="30"/>
      <c r="M96" s="30"/>
      <c r="N96" s="30"/>
      <c r="O96" s="28"/>
      <c r="P96" s="30"/>
      <c r="Q96" s="31"/>
      <c r="R96" s="31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</row>
    <row r="97" ht="15.75" customHeight="1">
      <c r="A97" s="28"/>
      <c r="B97" s="28"/>
      <c r="C97" s="28"/>
      <c r="D97" s="43"/>
      <c r="E97" s="43"/>
      <c r="F97" s="28"/>
      <c r="G97" s="28"/>
      <c r="H97" s="30"/>
      <c r="I97" s="30"/>
      <c r="J97" s="28"/>
      <c r="K97" s="30"/>
      <c r="L97" s="30"/>
      <c r="M97" s="30"/>
      <c r="N97" s="30"/>
      <c r="O97" s="28"/>
      <c r="P97" s="30"/>
      <c r="Q97" s="31"/>
      <c r="R97" s="31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</row>
    <row r="98" ht="15.75" customHeight="1">
      <c r="A98" s="28"/>
      <c r="B98" s="28"/>
      <c r="C98" s="28"/>
      <c r="D98" s="43"/>
      <c r="E98" s="43"/>
      <c r="F98" s="28"/>
      <c r="H98" s="30"/>
      <c r="I98" s="30"/>
      <c r="J98" s="28"/>
      <c r="K98" s="30"/>
      <c r="L98" s="30"/>
      <c r="M98" s="30"/>
      <c r="N98" s="30"/>
      <c r="O98" s="28"/>
      <c r="P98" s="30"/>
      <c r="Q98" s="31"/>
      <c r="R98" s="31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</row>
    <row r="99" ht="15.75" customHeight="1">
      <c r="A99" s="28"/>
      <c r="B99" s="28"/>
      <c r="C99" s="28"/>
      <c r="D99" s="43"/>
      <c r="E99" s="43"/>
      <c r="F99" s="28"/>
      <c r="G99" s="28"/>
      <c r="H99" s="30"/>
      <c r="I99" s="30"/>
      <c r="J99" s="28"/>
      <c r="K99" s="30"/>
      <c r="L99" s="30"/>
      <c r="M99" s="30"/>
      <c r="N99" s="30"/>
      <c r="O99" s="28"/>
      <c r="P99" s="30"/>
      <c r="Q99" s="31"/>
      <c r="R99" s="31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</row>
    <row r="100" ht="15.75" customHeight="1">
      <c r="A100" s="28"/>
      <c r="B100" s="28"/>
      <c r="C100" s="28"/>
      <c r="D100" s="43"/>
      <c r="E100" s="43"/>
      <c r="F100" s="28"/>
      <c r="G100" s="28"/>
      <c r="H100" s="30"/>
      <c r="I100" s="30"/>
      <c r="J100" s="28"/>
      <c r="K100" s="30"/>
      <c r="L100" s="30"/>
      <c r="M100" s="30"/>
      <c r="N100" s="30"/>
      <c r="O100" s="28"/>
      <c r="P100" s="30"/>
      <c r="Q100" s="31"/>
      <c r="R100" s="31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</row>
    <row r="101" ht="15.75" customHeight="1">
      <c r="A101" s="28"/>
      <c r="B101" s="28"/>
      <c r="C101" s="28"/>
      <c r="D101" s="43"/>
      <c r="E101" s="43"/>
      <c r="F101" s="28"/>
      <c r="G101" s="28"/>
      <c r="H101" s="30"/>
      <c r="I101" s="30"/>
      <c r="J101" s="28"/>
      <c r="K101" s="30"/>
      <c r="L101" s="30"/>
      <c r="M101" s="30"/>
      <c r="N101" s="30"/>
      <c r="O101" s="28"/>
      <c r="P101" s="30"/>
      <c r="Q101" s="31"/>
      <c r="R101" s="31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</row>
    <row r="102" ht="15.75" customHeight="1">
      <c r="A102" s="28"/>
      <c r="B102" s="28"/>
      <c r="C102" s="28"/>
      <c r="D102" s="43"/>
      <c r="E102" s="43"/>
      <c r="F102" s="28"/>
      <c r="G102" s="28"/>
      <c r="H102" s="30"/>
      <c r="I102" s="30"/>
      <c r="J102" s="28"/>
      <c r="K102" s="30"/>
      <c r="L102" s="30"/>
      <c r="M102" s="30"/>
      <c r="N102" s="30"/>
      <c r="O102" s="28"/>
      <c r="P102" s="30"/>
      <c r="Q102" s="31"/>
      <c r="R102" s="31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</row>
    <row r="103" ht="15.75" customHeight="1">
      <c r="A103" s="28"/>
      <c r="B103" s="28"/>
      <c r="C103" s="28"/>
      <c r="D103" s="43"/>
      <c r="E103" s="43"/>
      <c r="F103" s="28"/>
      <c r="G103" s="28"/>
      <c r="H103" s="30"/>
      <c r="I103" s="30"/>
      <c r="J103" s="28"/>
      <c r="K103" s="30"/>
      <c r="L103" s="30"/>
      <c r="M103" s="30"/>
      <c r="N103" s="30"/>
      <c r="O103" s="28"/>
      <c r="P103" s="30"/>
      <c r="Q103" s="31"/>
      <c r="R103" s="31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</row>
    <row r="104" ht="15.75" customHeight="1">
      <c r="A104" s="28"/>
      <c r="B104" s="28"/>
      <c r="C104" s="28"/>
      <c r="D104" s="43"/>
      <c r="E104" s="43"/>
      <c r="F104" s="28"/>
      <c r="G104" s="28"/>
      <c r="H104" s="30"/>
      <c r="I104" s="30"/>
      <c r="J104" s="28"/>
      <c r="K104" s="30"/>
      <c r="L104" s="30"/>
      <c r="M104" s="30"/>
      <c r="N104" s="30"/>
      <c r="O104" s="28"/>
      <c r="P104" s="30"/>
      <c r="Q104" s="31"/>
      <c r="R104" s="31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</row>
    <row r="105" ht="15.75" customHeight="1">
      <c r="A105" s="28"/>
      <c r="B105" s="28"/>
      <c r="C105" s="28"/>
      <c r="D105" s="43"/>
      <c r="E105" s="43"/>
      <c r="F105" s="28"/>
      <c r="G105" s="28"/>
      <c r="H105" s="30"/>
      <c r="I105" s="30"/>
      <c r="J105" s="28"/>
      <c r="K105" s="30"/>
      <c r="L105" s="30"/>
      <c r="M105" s="30"/>
      <c r="N105" s="30"/>
      <c r="O105" s="28"/>
      <c r="P105" s="30"/>
      <c r="Q105" s="31"/>
      <c r="R105" s="31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</row>
    <row r="106" ht="15.75" customHeight="1">
      <c r="A106" s="28"/>
      <c r="B106" s="28"/>
      <c r="C106" s="28"/>
      <c r="D106" s="43"/>
      <c r="E106" s="43"/>
      <c r="F106" s="28"/>
      <c r="G106" s="28"/>
      <c r="H106" s="30"/>
      <c r="I106" s="30"/>
      <c r="J106" s="28"/>
      <c r="K106" s="30"/>
      <c r="L106" s="30"/>
      <c r="M106" s="30"/>
      <c r="N106" s="30"/>
      <c r="O106" s="28"/>
      <c r="P106" s="30"/>
      <c r="Q106" s="31"/>
      <c r="R106" s="31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</row>
    <row r="107" ht="15.75" customHeight="1">
      <c r="A107" s="28"/>
      <c r="B107" s="28"/>
      <c r="C107" s="28"/>
      <c r="D107" s="43"/>
      <c r="E107" s="43"/>
      <c r="F107" s="28"/>
      <c r="G107" s="28"/>
      <c r="H107" s="30"/>
      <c r="I107" s="30"/>
      <c r="J107" s="28"/>
      <c r="K107" s="30"/>
      <c r="L107" s="30"/>
      <c r="M107" s="30"/>
      <c r="N107" s="30"/>
      <c r="O107" s="28"/>
      <c r="P107" s="30"/>
      <c r="Q107" s="31"/>
      <c r="R107" s="31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</row>
    <row r="108" ht="15.75" customHeight="1">
      <c r="A108" s="28"/>
      <c r="B108" s="28"/>
      <c r="C108" s="28"/>
      <c r="D108" s="43"/>
      <c r="E108" s="43"/>
      <c r="F108" s="28"/>
      <c r="G108" s="28"/>
      <c r="H108" s="30"/>
      <c r="I108" s="30"/>
      <c r="J108" s="28"/>
      <c r="K108" s="30"/>
      <c r="L108" s="30"/>
      <c r="M108" s="30"/>
      <c r="N108" s="30"/>
      <c r="O108" s="28"/>
      <c r="P108" s="30"/>
      <c r="Q108" s="31"/>
      <c r="R108" s="31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</row>
    <row r="109" ht="15.75" customHeight="1">
      <c r="A109" s="28"/>
      <c r="B109" s="28"/>
      <c r="C109" s="28"/>
      <c r="D109" s="43"/>
      <c r="E109" s="43"/>
      <c r="F109" s="28"/>
      <c r="G109" s="28"/>
      <c r="H109" s="30"/>
      <c r="I109" s="30"/>
      <c r="J109" s="28"/>
      <c r="K109" s="30"/>
      <c r="L109" s="30"/>
      <c r="M109" s="30"/>
      <c r="N109" s="30"/>
      <c r="O109" s="28"/>
      <c r="P109" s="30"/>
      <c r="Q109" s="31"/>
      <c r="R109" s="31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</row>
    <row r="110" ht="15.75" customHeight="1">
      <c r="A110" s="28"/>
      <c r="B110" s="28"/>
      <c r="C110" s="28"/>
      <c r="D110" s="43"/>
      <c r="E110" s="43"/>
      <c r="F110" s="28"/>
      <c r="G110" s="28"/>
      <c r="H110" s="30"/>
      <c r="I110" s="30"/>
      <c r="J110" s="28"/>
      <c r="K110" s="30"/>
      <c r="L110" s="30"/>
      <c r="M110" s="30"/>
      <c r="N110" s="30"/>
      <c r="O110" s="28"/>
      <c r="P110" s="30"/>
      <c r="Q110" s="31"/>
      <c r="R110" s="31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</row>
    <row r="111" ht="15.75" customHeight="1">
      <c r="A111" s="28"/>
      <c r="B111" s="28"/>
      <c r="C111" s="28"/>
      <c r="D111" s="43"/>
      <c r="E111" s="43"/>
      <c r="F111" s="28"/>
      <c r="G111" s="28"/>
      <c r="H111" s="30"/>
      <c r="I111" s="30"/>
      <c r="J111" s="28"/>
      <c r="K111" s="30"/>
      <c r="L111" s="30"/>
      <c r="M111" s="30"/>
      <c r="N111" s="30"/>
      <c r="O111" s="28"/>
      <c r="P111" s="30"/>
      <c r="Q111" s="31"/>
      <c r="R111" s="31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</row>
    <row r="112" ht="15.75" customHeight="1">
      <c r="A112" s="28"/>
      <c r="B112" s="28"/>
      <c r="C112" s="28"/>
      <c r="D112" s="43"/>
      <c r="E112" s="43"/>
      <c r="F112" s="28"/>
      <c r="G112" s="28"/>
      <c r="H112" s="30"/>
      <c r="I112" s="30"/>
      <c r="J112" s="28"/>
      <c r="K112" s="30"/>
      <c r="L112" s="30"/>
      <c r="M112" s="30"/>
      <c r="N112" s="30"/>
      <c r="O112" s="28"/>
      <c r="P112" s="30"/>
      <c r="Q112" s="31"/>
      <c r="R112" s="31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</row>
    <row r="113" ht="15.75" customHeight="1">
      <c r="A113" s="28"/>
      <c r="B113" s="28"/>
      <c r="C113" s="28"/>
      <c r="D113" s="43"/>
      <c r="E113" s="43"/>
      <c r="F113" s="28"/>
      <c r="G113" s="28"/>
      <c r="H113" s="30"/>
      <c r="I113" s="30"/>
      <c r="J113" s="28"/>
      <c r="K113" s="30"/>
      <c r="L113" s="30"/>
      <c r="M113" s="30"/>
      <c r="N113" s="30"/>
      <c r="O113" s="28"/>
      <c r="P113" s="30"/>
      <c r="Q113" s="31"/>
      <c r="R113" s="31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</row>
    <row r="114" ht="15.75" customHeight="1">
      <c r="A114" s="28"/>
      <c r="B114" s="28"/>
      <c r="C114" s="28"/>
      <c r="D114" s="43"/>
      <c r="E114" s="43"/>
      <c r="F114" s="28"/>
      <c r="G114" s="28"/>
      <c r="H114" s="30"/>
      <c r="I114" s="30"/>
      <c r="J114" s="28"/>
      <c r="K114" s="30"/>
      <c r="L114" s="30"/>
      <c r="M114" s="30"/>
      <c r="N114" s="30"/>
      <c r="O114" s="28"/>
      <c r="P114" s="30"/>
      <c r="Q114" s="31"/>
      <c r="R114" s="31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</row>
    <row r="115" ht="15.75" customHeight="1">
      <c r="A115" s="28"/>
      <c r="B115" s="28"/>
      <c r="C115" s="28"/>
      <c r="D115" s="43"/>
      <c r="E115" s="43"/>
      <c r="F115" s="28"/>
      <c r="G115" s="28"/>
      <c r="H115" s="30"/>
      <c r="I115" s="30"/>
      <c r="J115" s="28"/>
      <c r="K115" s="30"/>
      <c r="L115" s="30"/>
      <c r="M115" s="30"/>
      <c r="N115" s="30"/>
      <c r="O115" s="28"/>
      <c r="P115" s="30"/>
      <c r="Q115" s="31"/>
      <c r="R115" s="31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</row>
    <row r="116" ht="15.75" customHeight="1">
      <c r="A116" s="28"/>
      <c r="B116" s="28"/>
      <c r="C116" s="28"/>
      <c r="D116" s="43"/>
      <c r="E116" s="43"/>
      <c r="F116" s="28"/>
      <c r="G116" s="28"/>
      <c r="H116" s="30"/>
      <c r="I116" s="30"/>
      <c r="J116" s="28"/>
      <c r="K116" s="30"/>
      <c r="L116" s="30"/>
      <c r="M116" s="30"/>
      <c r="N116" s="30"/>
      <c r="O116" s="28"/>
      <c r="P116" s="30"/>
      <c r="Q116" s="31"/>
      <c r="R116" s="31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</row>
    <row r="117" ht="15.75" customHeight="1">
      <c r="A117" s="28"/>
      <c r="B117" s="28"/>
      <c r="C117" s="28"/>
      <c r="D117" s="43"/>
      <c r="E117" s="43"/>
      <c r="F117" s="28"/>
      <c r="G117" s="28"/>
      <c r="H117" s="30"/>
      <c r="I117" s="30"/>
      <c r="J117" s="28"/>
      <c r="K117" s="30"/>
      <c r="L117" s="30"/>
      <c r="M117" s="30"/>
      <c r="N117" s="30"/>
      <c r="O117" s="28"/>
      <c r="P117" s="30"/>
      <c r="Q117" s="31"/>
      <c r="R117" s="31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</row>
    <row r="118" ht="15.75" customHeight="1">
      <c r="A118" s="28"/>
      <c r="B118" s="28"/>
      <c r="C118" s="28"/>
      <c r="D118" s="43"/>
      <c r="E118" s="43"/>
      <c r="F118" s="28"/>
      <c r="G118" s="28"/>
      <c r="H118" s="30"/>
      <c r="I118" s="30"/>
      <c r="J118" s="28"/>
      <c r="K118" s="30"/>
      <c r="L118" s="30"/>
      <c r="M118" s="30"/>
      <c r="N118" s="30"/>
      <c r="O118" s="28"/>
      <c r="P118" s="30"/>
      <c r="Q118" s="31"/>
      <c r="R118" s="31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</row>
    <row r="119" ht="15.75" customHeight="1">
      <c r="A119" s="28"/>
      <c r="B119" s="28"/>
      <c r="C119" s="28"/>
      <c r="D119" s="43"/>
      <c r="E119" s="43"/>
      <c r="F119" s="28"/>
      <c r="G119" s="28"/>
      <c r="H119" s="30"/>
      <c r="I119" s="30"/>
      <c r="J119" s="28"/>
      <c r="K119" s="30"/>
      <c r="L119" s="30"/>
      <c r="M119" s="30"/>
      <c r="N119" s="30"/>
      <c r="O119" s="28"/>
      <c r="P119" s="30"/>
      <c r="Q119" s="31"/>
      <c r="R119" s="31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</row>
    <row r="120" ht="15.75" customHeight="1">
      <c r="A120" s="28"/>
      <c r="B120" s="28"/>
      <c r="C120" s="28"/>
      <c r="D120" s="43"/>
      <c r="E120" s="43"/>
      <c r="F120" s="28"/>
      <c r="G120" s="28"/>
      <c r="H120" s="30"/>
      <c r="I120" s="30"/>
      <c r="J120" s="28"/>
      <c r="K120" s="30"/>
      <c r="L120" s="30"/>
      <c r="M120" s="30"/>
      <c r="N120" s="30"/>
      <c r="O120" s="28"/>
      <c r="P120" s="30"/>
      <c r="Q120" s="31"/>
      <c r="R120" s="31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</row>
    <row r="121" ht="15.75" customHeight="1">
      <c r="A121" s="28"/>
      <c r="B121" s="28"/>
      <c r="C121" s="28"/>
      <c r="D121" s="43"/>
      <c r="E121" s="43"/>
      <c r="F121" s="28"/>
      <c r="G121" s="28"/>
      <c r="H121" s="30"/>
      <c r="I121" s="30"/>
      <c r="J121" s="28"/>
      <c r="K121" s="30"/>
      <c r="L121" s="30"/>
      <c r="M121" s="30"/>
      <c r="N121" s="30"/>
      <c r="O121" s="28"/>
      <c r="P121" s="30"/>
      <c r="Q121" s="31"/>
      <c r="R121" s="31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</row>
    <row r="122" ht="15.75" customHeight="1">
      <c r="A122" s="28"/>
      <c r="B122" s="28"/>
      <c r="C122" s="28"/>
      <c r="D122" s="43"/>
      <c r="E122" s="43"/>
      <c r="F122" s="28"/>
      <c r="G122" s="28"/>
      <c r="H122" s="30"/>
      <c r="I122" s="30"/>
      <c r="J122" s="28"/>
      <c r="K122" s="30"/>
      <c r="L122" s="30"/>
      <c r="M122" s="30"/>
      <c r="N122" s="30"/>
      <c r="O122" s="28"/>
      <c r="P122" s="30"/>
      <c r="Q122" s="31"/>
      <c r="R122" s="31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</row>
    <row r="123" ht="15.75" customHeight="1">
      <c r="A123" s="28"/>
      <c r="B123" s="28"/>
      <c r="C123" s="28"/>
      <c r="D123" s="43"/>
      <c r="E123" s="43"/>
      <c r="F123" s="28"/>
      <c r="G123" s="28"/>
      <c r="H123" s="30"/>
      <c r="I123" s="30"/>
      <c r="J123" s="28"/>
      <c r="K123" s="30"/>
      <c r="L123" s="30"/>
      <c r="M123" s="30"/>
      <c r="N123" s="30"/>
      <c r="O123" s="28"/>
      <c r="P123" s="30"/>
      <c r="Q123" s="31"/>
      <c r="R123" s="31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</row>
    <row r="124" ht="15.75" customHeight="1">
      <c r="A124" s="28"/>
      <c r="B124" s="28"/>
      <c r="C124" s="28"/>
      <c r="D124" s="43"/>
      <c r="E124" s="43"/>
      <c r="F124" s="28"/>
      <c r="G124" s="28"/>
      <c r="H124" s="30"/>
      <c r="I124" s="30"/>
      <c r="J124" s="28"/>
      <c r="K124" s="30"/>
      <c r="L124" s="30"/>
      <c r="M124" s="30"/>
      <c r="N124" s="30"/>
      <c r="O124" s="28"/>
      <c r="P124" s="30"/>
      <c r="Q124" s="31"/>
      <c r="R124" s="31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</row>
    <row r="125" ht="15.75" customHeight="1">
      <c r="A125" s="28"/>
      <c r="B125" s="28"/>
      <c r="C125" s="28"/>
      <c r="D125" s="43"/>
      <c r="E125" s="43"/>
      <c r="F125" s="28"/>
      <c r="G125" s="28"/>
      <c r="H125" s="30"/>
      <c r="I125" s="30"/>
      <c r="J125" s="28"/>
      <c r="K125" s="30"/>
      <c r="L125" s="30"/>
      <c r="M125" s="30"/>
      <c r="N125" s="30"/>
      <c r="O125" s="28"/>
      <c r="P125" s="30"/>
      <c r="Q125" s="31"/>
      <c r="R125" s="31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</row>
    <row r="126" ht="15.75" customHeight="1">
      <c r="A126" s="28"/>
      <c r="B126" s="28"/>
      <c r="C126" s="28"/>
      <c r="D126" s="43"/>
      <c r="E126" s="43"/>
      <c r="F126" s="28"/>
      <c r="G126" s="28"/>
      <c r="H126" s="30"/>
      <c r="I126" s="30"/>
      <c r="J126" s="28"/>
      <c r="K126" s="30"/>
      <c r="L126" s="30"/>
      <c r="M126" s="30"/>
      <c r="N126" s="30"/>
      <c r="O126" s="28"/>
      <c r="P126" s="30"/>
      <c r="Q126" s="31"/>
      <c r="R126" s="31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</row>
    <row r="127" ht="15.75" customHeight="1">
      <c r="A127" s="28"/>
      <c r="B127" s="28"/>
      <c r="C127" s="28"/>
      <c r="D127" s="43"/>
      <c r="E127" s="43"/>
      <c r="F127" s="28"/>
      <c r="G127" s="28"/>
      <c r="H127" s="30"/>
      <c r="I127" s="30"/>
      <c r="J127" s="28"/>
      <c r="K127" s="30"/>
      <c r="L127" s="30"/>
      <c r="M127" s="30"/>
      <c r="N127" s="30"/>
      <c r="O127" s="28"/>
      <c r="P127" s="30"/>
      <c r="Q127" s="31"/>
      <c r="R127" s="31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</row>
    <row r="128" ht="15.75" customHeight="1">
      <c r="A128" s="28"/>
      <c r="B128" s="28"/>
      <c r="C128" s="28"/>
      <c r="D128" s="43"/>
      <c r="E128" s="43"/>
      <c r="F128" s="28"/>
      <c r="G128" s="28"/>
      <c r="H128" s="30"/>
      <c r="I128" s="30"/>
      <c r="J128" s="28"/>
      <c r="K128" s="30"/>
      <c r="L128" s="30"/>
      <c r="M128" s="30"/>
      <c r="N128" s="30"/>
      <c r="O128" s="28"/>
      <c r="P128" s="30"/>
      <c r="Q128" s="31"/>
      <c r="R128" s="31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</row>
    <row r="129" ht="15.75" customHeight="1">
      <c r="A129" s="28"/>
      <c r="B129" s="28"/>
      <c r="C129" s="28"/>
      <c r="D129" s="43"/>
      <c r="E129" s="43"/>
      <c r="F129" s="28"/>
      <c r="G129" s="28"/>
      <c r="H129" s="30"/>
      <c r="I129" s="30"/>
      <c r="J129" s="28"/>
      <c r="K129" s="30"/>
      <c r="L129" s="30"/>
      <c r="M129" s="30"/>
      <c r="N129" s="30"/>
      <c r="O129" s="28"/>
      <c r="P129" s="30"/>
      <c r="Q129" s="31"/>
      <c r="R129" s="31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</row>
    <row r="130" ht="15.75" customHeight="1">
      <c r="A130" s="28"/>
      <c r="B130" s="28"/>
      <c r="C130" s="28"/>
      <c r="D130" s="43"/>
      <c r="E130" s="43"/>
      <c r="F130" s="28"/>
      <c r="G130" s="28"/>
      <c r="H130" s="30"/>
      <c r="I130" s="30"/>
      <c r="J130" s="28"/>
      <c r="K130" s="30"/>
      <c r="L130" s="30"/>
      <c r="M130" s="30"/>
      <c r="N130" s="30"/>
      <c r="O130" s="28"/>
      <c r="P130" s="30"/>
      <c r="Q130" s="31"/>
      <c r="R130" s="31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</row>
    <row r="131" ht="15.75" customHeight="1">
      <c r="A131" s="28"/>
      <c r="B131" s="28"/>
      <c r="C131" s="28"/>
      <c r="D131" s="43"/>
      <c r="E131" s="43"/>
      <c r="F131" s="28"/>
      <c r="G131" s="28"/>
      <c r="H131" s="30"/>
      <c r="I131" s="30"/>
      <c r="J131" s="28"/>
      <c r="K131" s="30"/>
      <c r="L131" s="30"/>
      <c r="M131" s="30"/>
      <c r="N131" s="30"/>
      <c r="O131" s="28"/>
      <c r="P131" s="30"/>
      <c r="Q131" s="31"/>
      <c r="R131" s="31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</row>
    <row r="132" ht="15.75" customHeight="1">
      <c r="A132" s="28"/>
      <c r="B132" s="28"/>
      <c r="C132" s="28"/>
      <c r="D132" s="43"/>
      <c r="E132" s="43"/>
      <c r="F132" s="28"/>
      <c r="G132" s="28"/>
      <c r="H132" s="30"/>
      <c r="I132" s="30"/>
      <c r="J132" s="28"/>
      <c r="K132" s="30"/>
      <c r="L132" s="30"/>
      <c r="M132" s="30"/>
      <c r="N132" s="30"/>
      <c r="O132" s="28"/>
      <c r="P132" s="30"/>
      <c r="Q132" s="31"/>
      <c r="R132" s="31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</row>
    <row r="133" ht="15.75" customHeight="1">
      <c r="A133" s="28"/>
      <c r="B133" s="28"/>
      <c r="C133" s="28"/>
      <c r="D133" s="43"/>
      <c r="E133" s="43"/>
      <c r="F133" s="28"/>
      <c r="G133" s="28"/>
      <c r="H133" s="30"/>
      <c r="I133" s="30"/>
      <c r="J133" s="28"/>
      <c r="K133" s="30"/>
      <c r="L133" s="30"/>
      <c r="M133" s="30"/>
      <c r="N133" s="30"/>
      <c r="O133" s="28"/>
      <c r="P133" s="30"/>
      <c r="Q133" s="31"/>
      <c r="R133" s="31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</row>
    <row r="134" ht="15.75" customHeight="1">
      <c r="A134" s="28"/>
      <c r="B134" s="28"/>
      <c r="C134" s="28"/>
      <c r="D134" s="43"/>
      <c r="E134" s="43"/>
      <c r="F134" s="28"/>
      <c r="G134" s="28"/>
      <c r="H134" s="30"/>
      <c r="I134" s="30"/>
      <c r="J134" s="28"/>
      <c r="K134" s="30"/>
      <c r="L134" s="30"/>
      <c r="M134" s="30"/>
      <c r="N134" s="30"/>
      <c r="O134" s="28"/>
      <c r="P134" s="30"/>
      <c r="Q134" s="31"/>
      <c r="R134" s="31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</row>
    <row r="135" ht="15.75" customHeight="1">
      <c r="A135" s="28"/>
      <c r="B135" s="28"/>
      <c r="C135" s="28"/>
      <c r="D135" s="43"/>
      <c r="E135" s="43"/>
      <c r="F135" s="28"/>
      <c r="G135" s="28"/>
      <c r="H135" s="30"/>
      <c r="I135" s="30"/>
      <c r="J135" s="28"/>
      <c r="K135" s="30"/>
      <c r="L135" s="30"/>
      <c r="M135" s="30"/>
      <c r="N135" s="30"/>
      <c r="O135" s="28"/>
      <c r="P135" s="30"/>
      <c r="Q135" s="31"/>
      <c r="R135" s="31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</row>
    <row r="136" ht="15.75" customHeight="1">
      <c r="A136" s="28"/>
      <c r="B136" s="28"/>
      <c r="C136" s="28"/>
      <c r="D136" s="43"/>
      <c r="E136" s="43"/>
      <c r="F136" s="28"/>
      <c r="G136" s="28"/>
      <c r="H136" s="30"/>
      <c r="I136" s="30"/>
      <c r="J136" s="28"/>
      <c r="K136" s="30"/>
      <c r="L136" s="30"/>
      <c r="M136" s="30"/>
      <c r="N136" s="30"/>
      <c r="O136" s="28"/>
      <c r="P136" s="30"/>
      <c r="Q136" s="31"/>
      <c r="R136" s="31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</row>
    <row r="137" ht="15.75" customHeight="1">
      <c r="A137" s="28"/>
      <c r="B137" s="28"/>
      <c r="C137" s="28"/>
      <c r="D137" s="43"/>
      <c r="E137" s="43"/>
      <c r="F137" s="28"/>
      <c r="G137" s="28"/>
      <c r="H137" s="30"/>
      <c r="I137" s="30"/>
      <c r="J137" s="28"/>
      <c r="K137" s="30"/>
      <c r="L137" s="30"/>
      <c r="M137" s="30"/>
      <c r="N137" s="30"/>
      <c r="O137" s="28"/>
      <c r="P137" s="30"/>
      <c r="Q137" s="31"/>
      <c r="R137" s="31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</row>
    <row r="138" ht="15.75" customHeight="1">
      <c r="A138" s="28"/>
      <c r="B138" s="28"/>
      <c r="C138" s="28"/>
      <c r="D138" s="43"/>
      <c r="E138" s="43"/>
      <c r="F138" s="28"/>
      <c r="G138" s="28"/>
      <c r="H138" s="30"/>
      <c r="I138" s="30"/>
      <c r="J138" s="28"/>
      <c r="K138" s="30"/>
      <c r="L138" s="30"/>
      <c r="M138" s="30"/>
      <c r="N138" s="30"/>
      <c r="O138" s="28"/>
      <c r="P138" s="30"/>
      <c r="Q138" s="31"/>
      <c r="R138" s="31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</row>
    <row r="139" ht="15.75" customHeight="1">
      <c r="A139" s="28"/>
      <c r="B139" s="28"/>
      <c r="C139" s="28"/>
      <c r="D139" s="43"/>
      <c r="E139" s="43"/>
      <c r="F139" s="28"/>
      <c r="G139" s="28"/>
      <c r="H139" s="30"/>
      <c r="I139" s="30"/>
      <c r="J139" s="28"/>
      <c r="K139" s="30"/>
      <c r="L139" s="30"/>
      <c r="M139" s="30"/>
      <c r="N139" s="30"/>
      <c r="O139" s="28"/>
      <c r="P139" s="30"/>
      <c r="Q139" s="31"/>
      <c r="R139" s="31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</row>
    <row r="140" ht="15.75" customHeight="1">
      <c r="A140" s="28"/>
      <c r="B140" s="28"/>
      <c r="C140" s="28"/>
      <c r="D140" s="43"/>
      <c r="E140" s="43"/>
      <c r="F140" s="28"/>
      <c r="G140" s="28"/>
      <c r="H140" s="30"/>
      <c r="I140" s="30"/>
      <c r="J140" s="28"/>
      <c r="K140" s="30"/>
      <c r="L140" s="30"/>
      <c r="M140" s="30"/>
      <c r="N140" s="30"/>
      <c r="O140" s="28"/>
      <c r="P140" s="30"/>
      <c r="Q140" s="31"/>
      <c r="R140" s="31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</row>
    <row r="141" ht="15.75" customHeight="1">
      <c r="A141" s="28"/>
      <c r="B141" s="28"/>
      <c r="C141" s="28"/>
      <c r="D141" s="43"/>
      <c r="E141" s="43"/>
      <c r="F141" s="28"/>
      <c r="G141" s="28"/>
      <c r="H141" s="30"/>
      <c r="I141" s="30"/>
      <c r="J141" s="28"/>
      <c r="K141" s="30"/>
      <c r="L141" s="30"/>
      <c r="M141" s="30"/>
      <c r="N141" s="30"/>
      <c r="O141" s="28"/>
      <c r="P141" s="30"/>
      <c r="Q141" s="31"/>
      <c r="R141" s="31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</row>
    <row r="142" ht="15.75" customHeight="1">
      <c r="A142" s="28"/>
      <c r="B142" s="28"/>
      <c r="C142" s="28"/>
      <c r="D142" s="43"/>
      <c r="E142" s="43"/>
      <c r="F142" s="28"/>
      <c r="G142" s="28"/>
      <c r="H142" s="30"/>
      <c r="I142" s="30"/>
      <c r="J142" s="28"/>
      <c r="K142" s="30"/>
      <c r="L142" s="30"/>
      <c r="M142" s="30"/>
      <c r="N142" s="30"/>
      <c r="O142" s="28"/>
      <c r="P142" s="30"/>
      <c r="Q142" s="31"/>
      <c r="R142" s="31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</row>
    <row r="143" ht="15.75" customHeight="1">
      <c r="A143" s="28"/>
      <c r="B143" s="28"/>
      <c r="C143" s="28"/>
      <c r="D143" s="43"/>
      <c r="E143" s="43"/>
      <c r="F143" s="28"/>
      <c r="G143" s="28"/>
      <c r="H143" s="30"/>
      <c r="I143" s="30"/>
      <c r="J143" s="28"/>
      <c r="K143" s="30"/>
      <c r="L143" s="30"/>
      <c r="M143" s="30"/>
      <c r="N143" s="30"/>
      <c r="O143" s="28"/>
      <c r="P143" s="30"/>
      <c r="Q143" s="31"/>
      <c r="R143" s="31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</row>
    <row r="144" ht="15.75" customHeight="1">
      <c r="A144" s="28"/>
      <c r="B144" s="28"/>
      <c r="C144" s="28"/>
      <c r="D144" s="43"/>
      <c r="E144" s="43"/>
      <c r="F144" s="28"/>
      <c r="G144" s="28"/>
      <c r="H144" s="30"/>
      <c r="I144" s="30"/>
      <c r="J144" s="28"/>
      <c r="K144" s="30"/>
      <c r="L144" s="30"/>
      <c r="M144" s="30"/>
      <c r="N144" s="30"/>
      <c r="O144" s="28"/>
      <c r="P144" s="30"/>
      <c r="Q144" s="31"/>
      <c r="R144" s="31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</row>
    <row r="145" ht="15.75" customHeight="1">
      <c r="A145" s="28"/>
      <c r="B145" s="28"/>
      <c r="C145" s="28"/>
      <c r="D145" s="43"/>
      <c r="E145" s="43"/>
      <c r="F145" s="28"/>
      <c r="G145" s="28"/>
      <c r="H145" s="30"/>
      <c r="I145" s="30"/>
      <c r="J145" s="28"/>
      <c r="K145" s="30"/>
      <c r="L145" s="30"/>
      <c r="M145" s="30"/>
      <c r="N145" s="30"/>
      <c r="O145" s="28"/>
      <c r="P145" s="30"/>
      <c r="Q145" s="31"/>
      <c r="R145" s="31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</row>
    <row r="146" ht="15.75" customHeight="1">
      <c r="A146" s="28"/>
      <c r="B146" s="28"/>
      <c r="C146" s="28"/>
      <c r="D146" s="43"/>
      <c r="E146" s="43"/>
      <c r="F146" s="28"/>
      <c r="G146" s="28"/>
      <c r="H146" s="30"/>
      <c r="I146" s="30"/>
      <c r="J146" s="28"/>
      <c r="K146" s="30"/>
      <c r="L146" s="30"/>
      <c r="M146" s="30"/>
      <c r="N146" s="30"/>
      <c r="O146" s="28"/>
      <c r="P146" s="30"/>
      <c r="Q146" s="31"/>
      <c r="R146" s="31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</row>
    <row r="147" ht="15.75" customHeight="1">
      <c r="A147" s="28"/>
      <c r="B147" s="28"/>
      <c r="C147" s="28"/>
      <c r="D147" s="43"/>
      <c r="E147" s="43"/>
      <c r="F147" s="28"/>
      <c r="G147" s="28"/>
      <c r="H147" s="30"/>
      <c r="I147" s="30"/>
      <c r="J147" s="28"/>
      <c r="K147" s="30"/>
      <c r="L147" s="30"/>
      <c r="M147" s="30"/>
      <c r="N147" s="30"/>
      <c r="O147" s="28"/>
      <c r="P147" s="30"/>
      <c r="Q147" s="31"/>
      <c r="R147" s="31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</row>
    <row r="148" ht="15.75" customHeight="1">
      <c r="A148" s="28"/>
      <c r="B148" s="28"/>
      <c r="C148" s="28"/>
      <c r="D148" s="43"/>
      <c r="E148" s="43"/>
      <c r="F148" s="28"/>
      <c r="G148" s="28"/>
      <c r="H148" s="30"/>
      <c r="I148" s="30"/>
      <c r="J148" s="28"/>
      <c r="K148" s="30"/>
      <c r="L148" s="30"/>
      <c r="M148" s="30"/>
      <c r="N148" s="30"/>
      <c r="O148" s="28"/>
      <c r="P148" s="30"/>
      <c r="Q148" s="31"/>
      <c r="R148" s="31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</row>
    <row r="149" ht="15.75" customHeight="1">
      <c r="A149" s="28"/>
      <c r="B149" s="28"/>
      <c r="C149" s="28"/>
      <c r="D149" s="43"/>
      <c r="E149" s="43"/>
      <c r="F149" s="28"/>
      <c r="G149" s="28"/>
      <c r="H149" s="30"/>
      <c r="I149" s="30"/>
      <c r="J149" s="28"/>
      <c r="K149" s="30"/>
      <c r="L149" s="30"/>
      <c r="M149" s="30"/>
      <c r="N149" s="30"/>
      <c r="O149" s="28"/>
      <c r="P149" s="30"/>
      <c r="Q149" s="31"/>
      <c r="R149" s="31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</row>
    <row r="150" ht="15.75" customHeight="1">
      <c r="A150" s="28"/>
      <c r="B150" s="28"/>
      <c r="C150" s="28"/>
      <c r="D150" s="43"/>
      <c r="E150" s="43"/>
      <c r="F150" s="28"/>
      <c r="G150" s="28"/>
      <c r="H150" s="30"/>
      <c r="I150" s="30"/>
      <c r="J150" s="28"/>
      <c r="K150" s="30"/>
      <c r="L150" s="30"/>
      <c r="M150" s="30"/>
      <c r="N150" s="30"/>
      <c r="O150" s="28"/>
      <c r="P150" s="30"/>
      <c r="Q150" s="31"/>
      <c r="R150" s="31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</row>
    <row r="151" ht="15.75" customHeight="1">
      <c r="A151" s="28"/>
      <c r="B151" s="28"/>
      <c r="C151" s="28"/>
      <c r="D151" s="43"/>
      <c r="E151" s="43"/>
      <c r="F151" s="28"/>
      <c r="G151" s="28"/>
      <c r="H151" s="30"/>
      <c r="I151" s="30"/>
      <c r="J151" s="28"/>
      <c r="K151" s="30"/>
      <c r="L151" s="30"/>
      <c r="M151" s="30"/>
      <c r="N151" s="30"/>
      <c r="O151" s="28"/>
      <c r="P151" s="30"/>
      <c r="Q151" s="31"/>
      <c r="R151" s="31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</row>
    <row r="152" ht="15.75" customHeight="1">
      <c r="A152" s="28"/>
      <c r="B152" s="28"/>
      <c r="C152" s="28"/>
      <c r="D152" s="43"/>
      <c r="E152" s="43"/>
      <c r="F152" s="28"/>
      <c r="G152" s="28"/>
      <c r="H152" s="30"/>
      <c r="I152" s="30"/>
      <c r="J152" s="28"/>
      <c r="K152" s="30"/>
      <c r="L152" s="30"/>
      <c r="M152" s="30"/>
      <c r="N152" s="30"/>
      <c r="O152" s="28"/>
      <c r="P152" s="30"/>
      <c r="Q152" s="31"/>
      <c r="R152" s="31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</row>
    <row r="153" ht="15.75" customHeight="1">
      <c r="A153" s="28"/>
      <c r="B153" s="28"/>
      <c r="C153" s="28"/>
      <c r="D153" s="43"/>
      <c r="E153" s="43"/>
      <c r="F153" s="28"/>
      <c r="G153" s="28"/>
      <c r="H153" s="30"/>
      <c r="I153" s="30"/>
      <c r="J153" s="28"/>
      <c r="K153" s="30"/>
      <c r="L153" s="30"/>
      <c r="M153" s="30"/>
      <c r="N153" s="30"/>
      <c r="O153" s="28"/>
      <c r="P153" s="30"/>
      <c r="Q153" s="31"/>
      <c r="R153" s="31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</row>
    <row r="154" ht="15.75" customHeight="1">
      <c r="A154" s="28"/>
      <c r="B154" s="28"/>
      <c r="C154" s="28"/>
      <c r="D154" s="43"/>
      <c r="E154" s="43"/>
      <c r="F154" s="28"/>
      <c r="G154" s="28"/>
      <c r="H154" s="30"/>
      <c r="I154" s="30"/>
      <c r="J154" s="28"/>
      <c r="K154" s="30"/>
      <c r="L154" s="30"/>
      <c r="M154" s="30"/>
      <c r="N154" s="30"/>
      <c r="O154" s="28"/>
      <c r="P154" s="30"/>
      <c r="Q154" s="31"/>
      <c r="R154" s="31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</row>
    <row r="155" ht="15.75" customHeight="1">
      <c r="A155" s="28"/>
      <c r="B155" s="28"/>
      <c r="C155" s="28"/>
      <c r="D155" s="43"/>
      <c r="E155" s="43"/>
      <c r="F155" s="28"/>
      <c r="G155" s="28"/>
      <c r="H155" s="30"/>
      <c r="I155" s="30"/>
      <c r="J155" s="28"/>
      <c r="K155" s="30"/>
      <c r="L155" s="30"/>
      <c r="M155" s="30"/>
      <c r="N155" s="30"/>
      <c r="O155" s="28"/>
      <c r="P155" s="30"/>
      <c r="Q155" s="31"/>
      <c r="R155" s="31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</row>
    <row r="156" ht="15.75" customHeight="1">
      <c r="A156" s="28"/>
      <c r="B156" s="28"/>
      <c r="C156" s="28"/>
      <c r="D156" s="43"/>
      <c r="E156" s="43"/>
      <c r="F156" s="28"/>
      <c r="G156" s="28"/>
      <c r="H156" s="30"/>
      <c r="I156" s="30"/>
      <c r="J156" s="28"/>
      <c r="K156" s="30"/>
      <c r="L156" s="30"/>
      <c r="M156" s="30"/>
      <c r="N156" s="30"/>
      <c r="O156" s="28"/>
      <c r="P156" s="30"/>
      <c r="Q156" s="31"/>
      <c r="R156" s="31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</row>
    <row r="157" ht="15.75" customHeight="1">
      <c r="A157" s="28"/>
      <c r="B157" s="28"/>
      <c r="C157" s="28"/>
      <c r="D157" s="43"/>
      <c r="E157" s="43"/>
      <c r="F157" s="28"/>
      <c r="G157" s="28"/>
      <c r="H157" s="30"/>
      <c r="I157" s="30"/>
      <c r="J157" s="28"/>
      <c r="K157" s="30"/>
      <c r="L157" s="30"/>
      <c r="M157" s="30"/>
      <c r="N157" s="30"/>
      <c r="O157" s="28"/>
      <c r="P157" s="30"/>
      <c r="Q157" s="31"/>
      <c r="R157" s="31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</row>
    <row r="158" ht="15.75" customHeight="1">
      <c r="A158" s="28"/>
      <c r="B158" s="28"/>
      <c r="C158" s="28"/>
      <c r="D158" s="43"/>
      <c r="E158" s="43"/>
      <c r="F158" s="28"/>
      <c r="G158" s="28"/>
      <c r="H158" s="30"/>
      <c r="I158" s="30"/>
      <c r="J158" s="28"/>
      <c r="K158" s="30"/>
      <c r="L158" s="30"/>
      <c r="M158" s="30"/>
      <c r="N158" s="30"/>
      <c r="O158" s="28"/>
      <c r="P158" s="30"/>
      <c r="Q158" s="31"/>
      <c r="R158" s="31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</row>
    <row r="159" ht="15.75" customHeight="1">
      <c r="A159" s="28"/>
      <c r="B159" s="28"/>
      <c r="C159" s="28"/>
      <c r="D159" s="43"/>
      <c r="E159" s="43"/>
      <c r="F159" s="28"/>
      <c r="G159" s="28"/>
      <c r="H159" s="30"/>
      <c r="I159" s="30"/>
      <c r="J159" s="28"/>
      <c r="K159" s="30"/>
      <c r="L159" s="30"/>
      <c r="M159" s="30"/>
      <c r="N159" s="30"/>
      <c r="O159" s="28"/>
      <c r="P159" s="30"/>
      <c r="Q159" s="31"/>
      <c r="R159" s="31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</row>
    <row r="160" ht="15.75" customHeight="1">
      <c r="A160" s="28"/>
      <c r="B160" s="28"/>
      <c r="C160" s="28"/>
      <c r="D160" s="43"/>
      <c r="E160" s="43"/>
      <c r="F160" s="28"/>
      <c r="G160" s="28"/>
      <c r="H160" s="30"/>
      <c r="I160" s="30"/>
      <c r="J160" s="28"/>
      <c r="K160" s="30"/>
      <c r="L160" s="30"/>
      <c r="M160" s="30"/>
      <c r="N160" s="30"/>
      <c r="O160" s="28"/>
      <c r="P160" s="30"/>
      <c r="Q160" s="31"/>
      <c r="R160" s="31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</row>
    <row r="161" ht="15.75" customHeight="1">
      <c r="A161" s="28"/>
      <c r="B161" s="28"/>
      <c r="C161" s="28"/>
      <c r="D161" s="43"/>
      <c r="E161" s="43"/>
      <c r="F161" s="28"/>
      <c r="G161" s="28"/>
      <c r="H161" s="30"/>
      <c r="I161" s="30"/>
      <c r="J161" s="28"/>
      <c r="K161" s="30"/>
      <c r="L161" s="30"/>
      <c r="M161" s="30"/>
      <c r="N161" s="30"/>
      <c r="O161" s="28"/>
      <c r="P161" s="30"/>
      <c r="Q161" s="31"/>
      <c r="R161" s="31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</row>
    <row r="162" ht="15.75" customHeight="1">
      <c r="A162" s="28"/>
      <c r="B162" s="28"/>
      <c r="C162" s="28"/>
      <c r="D162" s="43"/>
      <c r="E162" s="43"/>
      <c r="F162" s="28"/>
      <c r="G162" s="28"/>
      <c r="H162" s="30"/>
      <c r="I162" s="30"/>
      <c r="J162" s="28"/>
      <c r="K162" s="30"/>
      <c r="L162" s="30"/>
      <c r="M162" s="30"/>
      <c r="N162" s="30"/>
      <c r="O162" s="28"/>
      <c r="P162" s="30"/>
      <c r="Q162" s="31"/>
      <c r="R162" s="31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</row>
    <row r="163" ht="15.75" customHeight="1">
      <c r="A163" s="28"/>
      <c r="B163" s="28"/>
      <c r="C163" s="28"/>
      <c r="D163" s="43"/>
      <c r="E163" s="43"/>
      <c r="F163" s="28"/>
      <c r="G163" s="28"/>
      <c r="H163" s="30"/>
      <c r="I163" s="30"/>
      <c r="J163" s="28"/>
      <c r="K163" s="30"/>
      <c r="L163" s="30"/>
      <c r="M163" s="30"/>
      <c r="N163" s="30"/>
      <c r="O163" s="28"/>
      <c r="P163" s="30"/>
      <c r="Q163" s="31"/>
      <c r="R163" s="31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</row>
    <row r="164" ht="15.75" customHeight="1">
      <c r="A164" s="28"/>
      <c r="B164" s="28"/>
      <c r="C164" s="28"/>
      <c r="D164" s="43"/>
      <c r="E164" s="43"/>
      <c r="F164" s="28"/>
      <c r="G164" s="28"/>
      <c r="H164" s="30"/>
      <c r="I164" s="30"/>
      <c r="J164" s="28"/>
      <c r="K164" s="30"/>
      <c r="L164" s="30"/>
      <c r="M164" s="30"/>
      <c r="N164" s="30"/>
      <c r="O164" s="28"/>
      <c r="P164" s="30"/>
      <c r="Q164" s="31"/>
      <c r="R164" s="31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</row>
    <row r="165" ht="15.75" customHeight="1">
      <c r="A165" s="28"/>
      <c r="B165" s="28"/>
      <c r="C165" s="28"/>
      <c r="D165" s="43"/>
      <c r="E165" s="43"/>
      <c r="F165" s="28"/>
      <c r="G165" s="28"/>
      <c r="H165" s="30"/>
      <c r="I165" s="30"/>
      <c r="J165" s="28"/>
      <c r="K165" s="30"/>
      <c r="L165" s="30"/>
      <c r="M165" s="30"/>
      <c r="N165" s="30"/>
      <c r="O165" s="28"/>
      <c r="P165" s="30"/>
      <c r="Q165" s="31"/>
      <c r="R165" s="31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</row>
    <row r="166" ht="15.75" customHeight="1">
      <c r="A166" s="28"/>
      <c r="B166" s="28"/>
      <c r="C166" s="28"/>
      <c r="D166" s="43"/>
      <c r="E166" s="43"/>
      <c r="F166" s="28"/>
      <c r="G166" s="28"/>
      <c r="H166" s="30"/>
      <c r="I166" s="30"/>
      <c r="J166" s="28"/>
      <c r="K166" s="30"/>
      <c r="L166" s="30"/>
      <c r="M166" s="30"/>
      <c r="N166" s="30"/>
      <c r="O166" s="28"/>
      <c r="P166" s="30"/>
      <c r="Q166" s="31"/>
      <c r="R166" s="31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</row>
    <row r="167" ht="15.75" customHeight="1">
      <c r="A167" s="28"/>
      <c r="B167" s="28"/>
      <c r="C167" s="28"/>
      <c r="D167" s="43"/>
      <c r="E167" s="43"/>
      <c r="F167" s="28"/>
      <c r="G167" s="28"/>
      <c r="H167" s="30"/>
      <c r="I167" s="30"/>
      <c r="J167" s="28"/>
      <c r="K167" s="30"/>
      <c r="L167" s="30"/>
      <c r="M167" s="30"/>
      <c r="N167" s="30"/>
      <c r="O167" s="28"/>
      <c r="P167" s="30"/>
      <c r="Q167" s="31"/>
      <c r="R167" s="31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</row>
    <row r="168" ht="15.75" customHeight="1">
      <c r="A168" s="28"/>
      <c r="B168" s="28"/>
      <c r="C168" s="28"/>
      <c r="D168" s="43"/>
      <c r="E168" s="43"/>
      <c r="F168" s="28"/>
      <c r="G168" s="28"/>
      <c r="H168" s="30"/>
      <c r="I168" s="30"/>
      <c r="J168" s="28"/>
      <c r="K168" s="30"/>
      <c r="L168" s="30"/>
      <c r="M168" s="30"/>
      <c r="N168" s="30"/>
      <c r="O168" s="28"/>
      <c r="P168" s="30"/>
      <c r="Q168" s="31"/>
      <c r="R168" s="31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</row>
    <row r="169" ht="15.75" customHeight="1">
      <c r="A169" s="28"/>
      <c r="B169" s="28"/>
      <c r="C169" s="28"/>
      <c r="D169" s="43"/>
      <c r="E169" s="43"/>
      <c r="F169" s="28"/>
      <c r="G169" s="28"/>
      <c r="H169" s="30"/>
      <c r="I169" s="30"/>
      <c r="J169" s="28"/>
      <c r="K169" s="30"/>
      <c r="L169" s="30"/>
      <c r="M169" s="30"/>
      <c r="N169" s="30"/>
      <c r="O169" s="28"/>
      <c r="P169" s="30"/>
      <c r="Q169" s="31"/>
      <c r="R169" s="31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</row>
    <row r="170" ht="15.75" customHeight="1">
      <c r="A170" s="28"/>
      <c r="B170" s="28"/>
      <c r="C170" s="28"/>
      <c r="D170" s="43"/>
      <c r="E170" s="43"/>
      <c r="F170" s="28"/>
      <c r="G170" s="28"/>
      <c r="H170" s="30"/>
      <c r="I170" s="30"/>
      <c r="J170" s="28"/>
      <c r="K170" s="30"/>
      <c r="L170" s="30"/>
      <c r="M170" s="30"/>
      <c r="N170" s="30"/>
      <c r="O170" s="28"/>
      <c r="P170" s="30"/>
      <c r="Q170" s="31"/>
      <c r="R170" s="31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</row>
    <row r="171" ht="15.75" customHeight="1">
      <c r="A171" s="28"/>
      <c r="B171" s="28"/>
      <c r="C171" s="28"/>
      <c r="D171" s="43"/>
      <c r="E171" s="43"/>
      <c r="F171" s="28"/>
      <c r="G171" s="28"/>
      <c r="H171" s="30"/>
      <c r="I171" s="30"/>
      <c r="J171" s="28"/>
      <c r="K171" s="30"/>
      <c r="L171" s="30"/>
      <c r="M171" s="30"/>
      <c r="N171" s="30"/>
      <c r="O171" s="28"/>
      <c r="P171" s="30"/>
      <c r="Q171" s="31"/>
      <c r="R171" s="31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</row>
    <row r="172" ht="15.75" customHeight="1">
      <c r="A172" s="28"/>
      <c r="B172" s="28"/>
      <c r="C172" s="28"/>
      <c r="D172" s="43"/>
      <c r="E172" s="43"/>
      <c r="F172" s="28"/>
      <c r="G172" s="28"/>
      <c r="H172" s="30"/>
      <c r="I172" s="30"/>
      <c r="J172" s="28"/>
      <c r="K172" s="30"/>
      <c r="L172" s="30"/>
      <c r="M172" s="30"/>
      <c r="N172" s="30"/>
      <c r="O172" s="28"/>
      <c r="P172" s="30"/>
      <c r="Q172" s="31"/>
      <c r="R172" s="31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</row>
    <row r="173" ht="15.75" customHeight="1">
      <c r="A173" s="28"/>
      <c r="B173" s="28"/>
      <c r="C173" s="28"/>
      <c r="D173" s="43"/>
      <c r="E173" s="43"/>
      <c r="F173" s="28"/>
      <c r="G173" s="28"/>
      <c r="H173" s="30"/>
      <c r="I173" s="30"/>
      <c r="J173" s="28"/>
      <c r="K173" s="30"/>
      <c r="L173" s="30"/>
      <c r="M173" s="30"/>
      <c r="N173" s="30"/>
      <c r="O173" s="28"/>
      <c r="P173" s="30"/>
      <c r="Q173" s="31"/>
      <c r="R173" s="31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</row>
    <row r="174" ht="15.75" customHeight="1">
      <c r="A174" s="28"/>
      <c r="B174" s="28"/>
      <c r="C174" s="28"/>
      <c r="D174" s="43"/>
      <c r="E174" s="43"/>
      <c r="F174" s="28"/>
      <c r="G174" s="28"/>
      <c r="H174" s="30"/>
      <c r="I174" s="30"/>
      <c r="J174" s="28"/>
      <c r="K174" s="30"/>
      <c r="L174" s="30"/>
      <c r="M174" s="30"/>
      <c r="N174" s="30"/>
      <c r="O174" s="28"/>
      <c r="P174" s="30"/>
      <c r="Q174" s="31"/>
      <c r="R174" s="31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</row>
    <row r="175" ht="15.75" customHeight="1">
      <c r="A175" s="28"/>
      <c r="B175" s="28"/>
      <c r="C175" s="28"/>
      <c r="D175" s="43"/>
      <c r="E175" s="43"/>
      <c r="F175" s="28"/>
      <c r="G175" s="28"/>
      <c r="H175" s="30"/>
      <c r="I175" s="30"/>
      <c r="J175" s="28"/>
      <c r="K175" s="30"/>
      <c r="L175" s="30"/>
      <c r="M175" s="30"/>
      <c r="N175" s="30"/>
      <c r="O175" s="28"/>
      <c r="P175" s="30"/>
      <c r="Q175" s="31"/>
      <c r="R175" s="31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</row>
    <row r="176" ht="15.75" customHeight="1">
      <c r="A176" s="28"/>
      <c r="B176" s="28"/>
      <c r="C176" s="28"/>
      <c r="D176" s="43"/>
      <c r="E176" s="43"/>
      <c r="F176" s="28"/>
      <c r="G176" s="28"/>
      <c r="H176" s="30"/>
      <c r="I176" s="30"/>
      <c r="J176" s="28"/>
      <c r="K176" s="30"/>
      <c r="L176" s="30"/>
      <c r="M176" s="30"/>
      <c r="N176" s="30"/>
      <c r="O176" s="28"/>
      <c r="P176" s="30"/>
      <c r="Q176" s="31"/>
      <c r="R176" s="31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</row>
    <row r="177" ht="15.75" customHeight="1">
      <c r="A177" s="28"/>
      <c r="B177" s="28"/>
      <c r="C177" s="28"/>
      <c r="D177" s="43"/>
      <c r="E177" s="43"/>
      <c r="F177" s="28"/>
      <c r="G177" s="28"/>
      <c r="H177" s="30"/>
      <c r="I177" s="30"/>
      <c r="J177" s="28"/>
      <c r="K177" s="30"/>
      <c r="L177" s="30"/>
      <c r="M177" s="30"/>
      <c r="N177" s="30"/>
      <c r="O177" s="28"/>
      <c r="P177" s="30"/>
      <c r="Q177" s="31"/>
      <c r="R177" s="31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</row>
    <row r="178" ht="15.75" customHeight="1">
      <c r="A178" s="28"/>
      <c r="B178" s="28"/>
      <c r="C178" s="28"/>
      <c r="D178" s="43"/>
      <c r="E178" s="43"/>
      <c r="F178" s="28"/>
      <c r="G178" s="28"/>
      <c r="H178" s="30"/>
      <c r="I178" s="30"/>
      <c r="J178" s="28"/>
      <c r="K178" s="30"/>
      <c r="L178" s="30"/>
      <c r="M178" s="30"/>
      <c r="N178" s="30"/>
      <c r="O178" s="28"/>
      <c r="P178" s="30"/>
      <c r="Q178" s="31"/>
      <c r="R178" s="31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</row>
    <row r="179" ht="15.75" customHeight="1">
      <c r="A179" s="28"/>
      <c r="B179" s="28"/>
      <c r="C179" s="28"/>
      <c r="D179" s="43"/>
      <c r="E179" s="43"/>
      <c r="F179" s="28"/>
      <c r="G179" s="28"/>
      <c r="H179" s="30"/>
      <c r="I179" s="30"/>
      <c r="J179" s="28"/>
      <c r="K179" s="30"/>
      <c r="L179" s="30"/>
      <c r="M179" s="30"/>
      <c r="N179" s="30"/>
      <c r="O179" s="28"/>
      <c r="P179" s="30"/>
      <c r="Q179" s="31"/>
      <c r="R179" s="31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</row>
    <row r="180" ht="15.75" customHeight="1">
      <c r="A180" s="28"/>
      <c r="B180" s="28"/>
      <c r="C180" s="28"/>
      <c r="D180" s="43"/>
      <c r="E180" s="43"/>
      <c r="F180" s="28"/>
      <c r="G180" s="28"/>
      <c r="H180" s="30"/>
      <c r="I180" s="30"/>
      <c r="J180" s="28"/>
      <c r="K180" s="30"/>
      <c r="L180" s="30"/>
      <c r="M180" s="30"/>
      <c r="N180" s="30"/>
      <c r="O180" s="28"/>
      <c r="P180" s="30"/>
      <c r="Q180" s="31"/>
      <c r="R180" s="31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</row>
    <row r="181" ht="15.75" customHeight="1">
      <c r="A181" s="28"/>
      <c r="B181" s="28"/>
      <c r="C181" s="28"/>
      <c r="D181" s="43"/>
      <c r="E181" s="43"/>
      <c r="F181" s="28"/>
      <c r="G181" s="28"/>
      <c r="H181" s="30"/>
      <c r="I181" s="30"/>
      <c r="J181" s="28"/>
      <c r="K181" s="30"/>
      <c r="L181" s="30"/>
      <c r="M181" s="30"/>
      <c r="N181" s="30"/>
      <c r="O181" s="28"/>
      <c r="P181" s="30"/>
      <c r="Q181" s="31"/>
      <c r="R181" s="31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</row>
    <row r="182" ht="15.75" customHeight="1">
      <c r="A182" s="28"/>
      <c r="B182" s="28"/>
      <c r="C182" s="28"/>
      <c r="D182" s="43"/>
      <c r="E182" s="43"/>
      <c r="F182" s="28"/>
      <c r="G182" s="28"/>
      <c r="H182" s="30"/>
      <c r="I182" s="30"/>
      <c r="J182" s="28"/>
      <c r="K182" s="30"/>
      <c r="L182" s="30"/>
      <c r="M182" s="30"/>
      <c r="N182" s="30"/>
      <c r="O182" s="28"/>
      <c r="P182" s="30"/>
      <c r="Q182" s="31"/>
      <c r="R182" s="31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</row>
    <row r="183" ht="15.75" customHeight="1">
      <c r="A183" s="28"/>
      <c r="B183" s="28"/>
      <c r="C183" s="28"/>
      <c r="D183" s="43"/>
      <c r="E183" s="43"/>
      <c r="F183" s="28"/>
      <c r="G183" s="28"/>
      <c r="H183" s="30"/>
      <c r="I183" s="30"/>
      <c r="J183" s="28"/>
      <c r="K183" s="30"/>
      <c r="L183" s="30"/>
      <c r="M183" s="30"/>
      <c r="N183" s="30"/>
      <c r="O183" s="28"/>
      <c r="P183" s="30"/>
      <c r="Q183" s="31"/>
      <c r="R183" s="31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</row>
    <row r="184" ht="15.75" customHeight="1">
      <c r="A184" s="28"/>
      <c r="B184" s="28"/>
      <c r="C184" s="28"/>
      <c r="D184" s="43"/>
      <c r="E184" s="43"/>
      <c r="F184" s="28"/>
      <c r="G184" s="28"/>
      <c r="H184" s="30"/>
      <c r="I184" s="30"/>
      <c r="J184" s="28"/>
      <c r="K184" s="30"/>
      <c r="L184" s="30"/>
      <c r="M184" s="30"/>
      <c r="N184" s="30"/>
      <c r="O184" s="28"/>
      <c r="P184" s="30"/>
      <c r="Q184" s="31"/>
      <c r="R184" s="31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</row>
    <row r="185" ht="15.75" customHeight="1">
      <c r="A185" s="28"/>
      <c r="B185" s="28"/>
      <c r="C185" s="28"/>
      <c r="D185" s="43"/>
      <c r="E185" s="43"/>
      <c r="F185" s="28"/>
      <c r="G185" s="28"/>
      <c r="H185" s="30"/>
      <c r="I185" s="30"/>
      <c r="J185" s="28"/>
      <c r="K185" s="30"/>
      <c r="L185" s="30"/>
      <c r="M185" s="30"/>
      <c r="N185" s="30"/>
      <c r="O185" s="28"/>
      <c r="P185" s="30"/>
      <c r="Q185" s="31"/>
      <c r="R185" s="31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</row>
    <row r="186" ht="15.75" customHeight="1">
      <c r="A186" s="28"/>
      <c r="B186" s="28"/>
      <c r="C186" s="28"/>
      <c r="D186" s="43"/>
      <c r="E186" s="43"/>
      <c r="F186" s="28"/>
      <c r="G186" s="28"/>
      <c r="H186" s="30"/>
      <c r="I186" s="30"/>
      <c r="J186" s="28"/>
      <c r="K186" s="30"/>
      <c r="L186" s="30"/>
      <c r="M186" s="30"/>
      <c r="N186" s="30"/>
      <c r="O186" s="28"/>
      <c r="P186" s="30"/>
      <c r="Q186" s="31"/>
      <c r="R186" s="31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</row>
    <row r="187" ht="15.75" customHeight="1">
      <c r="A187" s="28"/>
      <c r="B187" s="28"/>
      <c r="C187" s="28"/>
      <c r="D187" s="43"/>
      <c r="E187" s="43"/>
      <c r="F187" s="28"/>
      <c r="G187" s="28"/>
      <c r="H187" s="30"/>
      <c r="I187" s="30"/>
      <c r="J187" s="28"/>
      <c r="K187" s="30"/>
      <c r="L187" s="30"/>
      <c r="M187" s="30"/>
      <c r="N187" s="30"/>
      <c r="O187" s="28"/>
      <c r="P187" s="30"/>
      <c r="Q187" s="31"/>
      <c r="R187" s="31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</row>
    <row r="188" ht="15.75" customHeight="1">
      <c r="A188" s="28"/>
      <c r="B188" s="28"/>
      <c r="C188" s="28"/>
      <c r="D188" s="43"/>
      <c r="E188" s="43"/>
      <c r="F188" s="28"/>
      <c r="G188" s="28"/>
      <c r="H188" s="30"/>
      <c r="I188" s="30"/>
      <c r="J188" s="28"/>
      <c r="K188" s="30"/>
      <c r="L188" s="30"/>
      <c r="M188" s="30"/>
      <c r="N188" s="30"/>
      <c r="O188" s="28"/>
      <c r="P188" s="30"/>
      <c r="Q188" s="31"/>
      <c r="R188" s="31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</row>
    <row r="189" ht="15.75" customHeight="1">
      <c r="A189" s="28"/>
      <c r="B189" s="28"/>
      <c r="C189" s="28"/>
      <c r="D189" s="43"/>
      <c r="E189" s="43"/>
      <c r="F189" s="28"/>
      <c r="G189" s="28"/>
      <c r="H189" s="30"/>
      <c r="I189" s="30"/>
      <c r="J189" s="28"/>
      <c r="K189" s="30"/>
      <c r="L189" s="30"/>
      <c r="M189" s="30"/>
      <c r="N189" s="30"/>
      <c r="O189" s="28"/>
      <c r="P189" s="30"/>
      <c r="Q189" s="31"/>
      <c r="R189" s="31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</row>
    <row r="190" ht="15.75" customHeight="1">
      <c r="A190" s="28"/>
      <c r="B190" s="28"/>
      <c r="C190" s="28"/>
      <c r="D190" s="43"/>
      <c r="E190" s="43"/>
      <c r="F190" s="28"/>
      <c r="G190" s="28"/>
      <c r="H190" s="30"/>
      <c r="I190" s="30"/>
      <c r="J190" s="28"/>
      <c r="K190" s="30"/>
      <c r="L190" s="30"/>
      <c r="M190" s="30"/>
      <c r="N190" s="30"/>
      <c r="O190" s="28"/>
      <c r="P190" s="30"/>
      <c r="Q190" s="31"/>
      <c r="R190" s="31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</row>
    <row r="191" ht="15.75" customHeight="1">
      <c r="A191" s="28"/>
      <c r="B191" s="28"/>
      <c r="C191" s="28"/>
      <c r="D191" s="43"/>
      <c r="E191" s="43"/>
      <c r="F191" s="28"/>
      <c r="G191" s="28"/>
      <c r="H191" s="30"/>
      <c r="I191" s="30"/>
      <c r="J191" s="28"/>
      <c r="K191" s="30"/>
      <c r="L191" s="30"/>
      <c r="M191" s="30"/>
      <c r="N191" s="30"/>
      <c r="O191" s="28"/>
      <c r="P191" s="30"/>
      <c r="Q191" s="31"/>
      <c r="R191" s="31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</row>
    <row r="192" ht="15.75" customHeight="1">
      <c r="A192" s="28"/>
      <c r="B192" s="28"/>
      <c r="C192" s="28"/>
      <c r="D192" s="43"/>
      <c r="E192" s="43"/>
      <c r="F192" s="28"/>
      <c r="G192" s="28"/>
      <c r="H192" s="30"/>
      <c r="I192" s="30"/>
      <c r="J192" s="28"/>
      <c r="K192" s="30"/>
      <c r="L192" s="30"/>
      <c r="M192" s="30"/>
      <c r="N192" s="30"/>
      <c r="O192" s="28"/>
      <c r="P192" s="30"/>
      <c r="Q192" s="31"/>
      <c r="R192" s="31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</row>
    <row r="193" ht="15.75" customHeight="1">
      <c r="A193" s="28"/>
      <c r="B193" s="28"/>
      <c r="C193" s="28"/>
      <c r="D193" s="43"/>
      <c r="E193" s="43"/>
      <c r="F193" s="28"/>
      <c r="G193" s="28"/>
      <c r="H193" s="30"/>
      <c r="I193" s="30"/>
      <c r="J193" s="28"/>
      <c r="K193" s="30"/>
      <c r="L193" s="30"/>
      <c r="M193" s="30"/>
      <c r="N193" s="30"/>
      <c r="O193" s="28"/>
      <c r="P193" s="30"/>
      <c r="Q193" s="31"/>
      <c r="R193" s="31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</row>
    <row r="194" ht="15.75" customHeight="1">
      <c r="A194" s="28"/>
      <c r="B194" s="28"/>
      <c r="C194" s="28"/>
      <c r="D194" s="43"/>
      <c r="E194" s="43"/>
      <c r="F194" s="28"/>
      <c r="G194" s="28"/>
      <c r="H194" s="30"/>
      <c r="I194" s="30"/>
      <c r="J194" s="28"/>
      <c r="K194" s="30"/>
      <c r="L194" s="30"/>
      <c r="M194" s="30"/>
      <c r="N194" s="30"/>
      <c r="O194" s="28"/>
      <c r="P194" s="30"/>
      <c r="Q194" s="31"/>
      <c r="R194" s="31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</row>
    <row r="195" ht="15.75" customHeight="1">
      <c r="A195" s="28"/>
      <c r="B195" s="28"/>
      <c r="C195" s="28"/>
      <c r="D195" s="43"/>
      <c r="E195" s="43"/>
      <c r="F195" s="28"/>
      <c r="G195" s="28"/>
      <c r="H195" s="30"/>
      <c r="I195" s="30"/>
      <c r="J195" s="28"/>
      <c r="K195" s="30"/>
      <c r="L195" s="30"/>
      <c r="M195" s="30"/>
      <c r="N195" s="30"/>
      <c r="O195" s="28"/>
      <c r="P195" s="30"/>
      <c r="Q195" s="31"/>
      <c r="R195" s="31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</row>
    <row r="196" ht="15.75" customHeight="1">
      <c r="A196" s="28"/>
      <c r="B196" s="28"/>
      <c r="C196" s="28"/>
      <c r="D196" s="43"/>
      <c r="E196" s="43"/>
      <c r="F196" s="28"/>
      <c r="G196" s="28"/>
      <c r="H196" s="30"/>
      <c r="I196" s="30"/>
      <c r="J196" s="28"/>
      <c r="K196" s="30"/>
      <c r="L196" s="30"/>
      <c r="M196" s="30"/>
      <c r="N196" s="30"/>
      <c r="O196" s="28"/>
      <c r="P196" s="30"/>
      <c r="Q196" s="31"/>
      <c r="R196" s="31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</row>
    <row r="197" ht="15.75" customHeight="1">
      <c r="A197" s="28"/>
      <c r="B197" s="28"/>
      <c r="C197" s="28"/>
      <c r="D197" s="43"/>
      <c r="E197" s="43"/>
      <c r="F197" s="28"/>
      <c r="G197" s="28"/>
      <c r="H197" s="30"/>
      <c r="I197" s="30"/>
      <c r="J197" s="28"/>
      <c r="K197" s="30"/>
      <c r="L197" s="30"/>
      <c r="M197" s="30"/>
      <c r="N197" s="30"/>
      <c r="O197" s="28"/>
      <c r="P197" s="30"/>
      <c r="Q197" s="31"/>
      <c r="R197" s="31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</row>
    <row r="198" ht="15.75" customHeight="1">
      <c r="A198" s="28"/>
      <c r="B198" s="28"/>
      <c r="C198" s="28"/>
      <c r="D198" s="43"/>
      <c r="E198" s="43"/>
      <c r="F198" s="28"/>
      <c r="G198" s="28"/>
      <c r="H198" s="30"/>
      <c r="I198" s="30"/>
      <c r="J198" s="28"/>
      <c r="K198" s="30"/>
      <c r="L198" s="30"/>
      <c r="M198" s="30"/>
      <c r="N198" s="30"/>
      <c r="O198" s="28"/>
      <c r="P198" s="30"/>
      <c r="Q198" s="31"/>
      <c r="R198" s="31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</row>
    <row r="199" ht="15.75" customHeight="1">
      <c r="A199" s="28"/>
      <c r="B199" s="28"/>
      <c r="C199" s="28"/>
      <c r="D199" s="43"/>
      <c r="E199" s="43"/>
      <c r="F199" s="28"/>
      <c r="G199" s="28"/>
      <c r="H199" s="30"/>
      <c r="I199" s="30"/>
      <c r="J199" s="28"/>
      <c r="K199" s="30"/>
      <c r="L199" s="30"/>
      <c r="M199" s="30"/>
      <c r="N199" s="30"/>
      <c r="O199" s="28"/>
      <c r="P199" s="30"/>
      <c r="Q199" s="31"/>
      <c r="R199" s="31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</row>
    <row r="200" ht="15.75" customHeight="1">
      <c r="A200" s="28"/>
      <c r="B200" s="28"/>
      <c r="C200" s="28"/>
      <c r="D200" s="43"/>
      <c r="E200" s="43"/>
      <c r="F200" s="28"/>
      <c r="G200" s="28"/>
      <c r="H200" s="30"/>
      <c r="I200" s="30"/>
      <c r="J200" s="28"/>
      <c r="K200" s="30"/>
      <c r="L200" s="30"/>
      <c r="M200" s="30"/>
      <c r="N200" s="30"/>
      <c r="O200" s="28"/>
      <c r="P200" s="30"/>
      <c r="Q200" s="31"/>
      <c r="R200" s="31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</row>
    <row r="201" ht="15.75" customHeight="1">
      <c r="A201" s="28"/>
      <c r="B201" s="28"/>
      <c r="C201" s="28"/>
      <c r="D201" s="43"/>
      <c r="E201" s="43"/>
      <c r="F201" s="28"/>
      <c r="G201" s="28"/>
      <c r="H201" s="30"/>
      <c r="I201" s="30"/>
      <c r="J201" s="28"/>
      <c r="K201" s="30"/>
      <c r="L201" s="30"/>
      <c r="M201" s="30"/>
      <c r="N201" s="30"/>
      <c r="O201" s="28"/>
      <c r="P201" s="30"/>
      <c r="Q201" s="31"/>
      <c r="R201" s="31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</row>
    <row r="202" ht="15.75" customHeight="1">
      <c r="A202" s="28"/>
      <c r="B202" s="28"/>
      <c r="C202" s="28"/>
      <c r="D202" s="43"/>
      <c r="E202" s="43"/>
      <c r="F202" s="28"/>
      <c r="G202" s="28"/>
      <c r="H202" s="30"/>
      <c r="I202" s="30"/>
      <c r="J202" s="28"/>
      <c r="K202" s="30"/>
      <c r="L202" s="30"/>
      <c r="M202" s="30"/>
      <c r="N202" s="30"/>
      <c r="O202" s="28"/>
      <c r="P202" s="30"/>
      <c r="Q202" s="31"/>
      <c r="R202" s="31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</row>
    <row r="203" ht="15.75" customHeight="1">
      <c r="A203" s="28"/>
      <c r="B203" s="28"/>
      <c r="C203" s="28"/>
      <c r="D203" s="43"/>
      <c r="E203" s="43"/>
      <c r="F203" s="28"/>
      <c r="G203" s="28"/>
      <c r="H203" s="30"/>
      <c r="I203" s="30"/>
      <c r="J203" s="28"/>
      <c r="K203" s="30"/>
      <c r="L203" s="30"/>
      <c r="M203" s="30"/>
      <c r="N203" s="30"/>
      <c r="O203" s="28"/>
      <c r="P203" s="30"/>
      <c r="Q203" s="31"/>
      <c r="R203" s="31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</row>
    <row r="204" ht="15.75" customHeight="1">
      <c r="A204" s="28"/>
      <c r="B204" s="28"/>
      <c r="C204" s="28"/>
      <c r="D204" s="43"/>
      <c r="E204" s="43"/>
      <c r="F204" s="28"/>
      <c r="G204" s="28"/>
      <c r="H204" s="30"/>
      <c r="I204" s="30"/>
      <c r="J204" s="28"/>
      <c r="K204" s="30"/>
      <c r="L204" s="30"/>
      <c r="M204" s="30"/>
      <c r="N204" s="30"/>
      <c r="O204" s="28"/>
      <c r="P204" s="30"/>
      <c r="Q204" s="31"/>
      <c r="R204" s="31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</row>
    <row r="205" ht="15.75" customHeight="1">
      <c r="A205" s="28"/>
      <c r="B205" s="28"/>
      <c r="C205" s="28"/>
      <c r="D205" s="43"/>
      <c r="E205" s="43"/>
      <c r="F205" s="28"/>
      <c r="G205" s="28"/>
      <c r="H205" s="30"/>
      <c r="I205" s="30"/>
      <c r="J205" s="28"/>
      <c r="K205" s="30"/>
      <c r="L205" s="30"/>
      <c r="M205" s="30"/>
      <c r="N205" s="30"/>
      <c r="O205" s="28"/>
      <c r="P205" s="30"/>
      <c r="Q205" s="31"/>
      <c r="R205" s="31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</row>
    <row r="206" ht="15.75" customHeight="1">
      <c r="A206" s="28"/>
      <c r="B206" s="28"/>
      <c r="C206" s="28"/>
      <c r="D206" s="43"/>
      <c r="E206" s="43"/>
      <c r="F206" s="28"/>
      <c r="G206" s="28"/>
      <c r="H206" s="30"/>
      <c r="I206" s="30"/>
      <c r="J206" s="28"/>
      <c r="K206" s="30"/>
      <c r="L206" s="30"/>
      <c r="M206" s="30"/>
      <c r="N206" s="30"/>
      <c r="O206" s="28"/>
      <c r="P206" s="30"/>
      <c r="Q206" s="31"/>
      <c r="R206" s="31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</row>
    <row r="207" ht="15.75" customHeight="1">
      <c r="A207" s="28"/>
      <c r="B207" s="28"/>
      <c r="C207" s="28"/>
      <c r="D207" s="43"/>
      <c r="E207" s="43"/>
      <c r="F207" s="28"/>
      <c r="G207" s="28"/>
      <c r="H207" s="30"/>
      <c r="I207" s="30"/>
      <c r="J207" s="28"/>
      <c r="K207" s="30"/>
      <c r="L207" s="30"/>
      <c r="M207" s="30"/>
      <c r="N207" s="30"/>
      <c r="O207" s="28"/>
      <c r="P207" s="30"/>
      <c r="Q207" s="31"/>
      <c r="R207" s="31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</row>
    <row r="208" ht="15.75" customHeight="1">
      <c r="A208" s="28"/>
      <c r="B208" s="28"/>
      <c r="C208" s="28"/>
      <c r="D208" s="43"/>
      <c r="E208" s="43"/>
      <c r="F208" s="28"/>
      <c r="G208" s="28"/>
      <c r="H208" s="30"/>
      <c r="I208" s="30"/>
      <c r="J208" s="28"/>
      <c r="K208" s="30"/>
      <c r="L208" s="30"/>
      <c r="M208" s="30"/>
      <c r="N208" s="30"/>
      <c r="O208" s="28"/>
      <c r="P208" s="30"/>
      <c r="Q208" s="31"/>
      <c r="R208" s="31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</row>
    <row r="209" ht="15.75" customHeight="1">
      <c r="A209" s="28"/>
      <c r="B209" s="28"/>
      <c r="C209" s="28"/>
      <c r="D209" s="43"/>
      <c r="E209" s="43"/>
      <c r="F209" s="28"/>
      <c r="G209" s="28"/>
      <c r="H209" s="30"/>
      <c r="I209" s="30"/>
      <c r="J209" s="28"/>
      <c r="K209" s="30"/>
      <c r="L209" s="30"/>
      <c r="M209" s="30"/>
      <c r="N209" s="30"/>
      <c r="O209" s="28"/>
      <c r="P209" s="30"/>
      <c r="Q209" s="31"/>
      <c r="R209" s="31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</row>
    <row r="210" ht="15.75" customHeight="1">
      <c r="A210" s="28"/>
      <c r="B210" s="28"/>
      <c r="C210" s="28"/>
      <c r="D210" s="43"/>
      <c r="E210" s="43"/>
      <c r="F210" s="28"/>
      <c r="G210" s="28"/>
      <c r="H210" s="30"/>
      <c r="I210" s="30"/>
      <c r="J210" s="28"/>
      <c r="K210" s="30"/>
      <c r="L210" s="30"/>
      <c r="M210" s="30"/>
      <c r="N210" s="30"/>
      <c r="O210" s="28"/>
      <c r="P210" s="30"/>
      <c r="Q210" s="31"/>
      <c r="R210" s="31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</row>
    <row r="211" ht="15.75" customHeight="1">
      <c r="A211" s="28"/>
      <c r="B211" s="28"/>
      <c r="C211" s="28"/>
      <c r="D211" s="43"/>
      <c r="E211" s="43"/>
      <c r="F211" s="28"/>
      <c r="G211" s="28"/>
      <c r="H211" s="30"/>
      <c r="I211" s="30"/>
      <c r="J211" s="28"/>
      <c r="K211" s="30"/>
      <c r="L211" s="30"/>
      <c r="M211" s="30"/>
      <c r="N211" s="30"/>
      <c r="O211" s="28"/>
      <c r="P211" s="30"/>
      <c r="Q211" s="31"/>
      <c r="R211" s="31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</row>
    <row r="212" ht="15.75" customHeight="1">
      <c r="A212" s="28"/>
      <c r="B212" s="28"/>
      <c r="C212" s="28"/>
      <c r="D212" s="43"/>
      <c r="E212" s="43"/>
      <c r="F212" s="28"/>
      <c r="G212" s="28"/>
      <c r="H212" s="30"/>
      <c r="I212" s="30"/>
      <c r="J212" s="28"/>
      <c r="K212" s="30"/>
      <c r="L212" s="30"/>
      <c r="M212" s="30"/>
      <c r="N212" s="30"/>
      <c r="O212" s="28"/>
      <c r="P212" s="30"/>
      <c r="Q212" s="31"/>
      <c r="R212" s="31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</row>
    <row r="213" ht="15.75" customHeight="1">
      <c r="A213" s="28"/>
      <c r="B213" s="28"/>
      <c r="C213" s="28"/>
      <c r="D213" s="43"/>
      <c r="E213" s="43"/>
      <c r="F213" s="28"/>
      <c r="G213" s="28"/>
      <c r="H213" s="30"/>
      <c r="I213" s="30"/>
      <c r="J213" s="28"/>
      <c r="K213" s="30"/>
      <c r="L213" s="30"/>
      <c r="M213" s="30"/>
      <c r="N213" s="30"/>
      <c r="O213" s="28"/>
      <c r="P213" s="30"/>
      <c r="Q213" s="31"/>
      <c r="R213" s="31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</row>
    <row r="214" ht="15.75" customHeight="1">
      <c r="A214" s="28"/>
      <c r="B214" s="28"/>
      <c r="C214" s="28"/>
      <c r="D214" s="43"/>
      <c r="E214" s="43"/>
      <c r="F214" s="28"/>
      <c r="G214" s="28"/>
      <c r="H214" s="30"/>
      <c r="I214" s="30"/>
      <c r="J214" s="28"/>
      <c r="K214" s="30"/>
      <c r="L214" s="30"/>
      <c r="M214" s="30"/>
      <c r="N214" s="30"/>
      <c r="O214" s="28"/>
      <c r="P214" s="30"/>
      <c r="Q214" s="31"/>
      <c r="R214" s="31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</row>
    <row r="215" ht="15.75" customHeight="1">
      <c r="A215" s="28"/>
      <c r="B215" s="28"/>
      <c r="C215" s="28"/>
      <c r="D215" s="43"/>
      <c r="E215" s="43"/>
      <c r="F215" s="28"/>
      <c r="G215" s="28"/>
      <c r="H215" s="30"/>
      <c r="I215" s="30"/>
      <c r="J215" s="28"/>
      <c r="K215" s="30"/>
      <c r="L215" s="30"/>
      <c r="M215" s="30"/>
      <c r="N215" s="30"/>
      <c r="O215" s="28"/>
      <c r="P215" s="30"/>
      <c r="Q215" s="31"/>
      <c r="R215" s="31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</row>
    <row r="216" ht="15.75" customHeight="1">
      <c r="A216" s="28"/>
      <c r="B216" s="28"/>
      <c r="C216" s="28"/>
      <c r="D216" s="43"/>
      <c r="E216" s="43"/>
      <c r="F216" s="28"/>
      <c r="G216" s="28"/>
      <c r="H216" s="30"/>
      <c r="I216" s="30"/>
      <c r="J216" s="28"/>
      <c r="K216" s="30"/>
      <c r="L216" s="30"/>
      <c r="M216" s="30"/>
      <c r="N216" s="30"/>
      <c r="O216" s="28"/>
      <c r="P216" s="30"/>
      <c r="Q216" s="31"/>
      <c r="R216" s="31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</row>
    <row r="217" ht="15.75" customHeight="1">
      <c r="A217" s="28"/>
      <c r="B217" s="28"/>
      <c r="C217" s="28"/>
      <c r="D217" s="43"/>
      <c r="E217" s="43"/>
      <c r="F217" s="28"/>
      <c r="G217" s="28"/>
      <c r="H217" s="30"/>
      <c r="I217" s="30"/>
      <c r="J217" s="28"/>
      <c r="K217" s="30"/>
      <c r="L217" s="30"/>
      <c r="M217" s="30"/>
      <c r="N217" s="30"/>
      <c r="O217" s="28"/>
      <c r="P217" s="30"/>
      <c r="Q217" s="31"/>
      <c r="R217" s="31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</row>
    <row r="218" ht="15.75" customHeight="1">
      <c r="A218" s="28"/>
      <c r="B218" s="28"/>
      <c r="C218" s="28"/>
      <c r="D218" s="43"/>
      <c r="E218" s="43"/>
      <c r="F218" s="28"/>
      <c r="G218" s="28"/>
      <c r="H218" s="30"/>
      <c r="I218" s="30"/>
      <c r="J218" s="28"/>
      <c r="K218" s="30"/>
      <c r="L218" s="30"/>
      <c r="M218" s="30"/>
      <c r="N218" s="30"/>
      <c r="O218" s="28"/>
      <c r="P218" s="30"/>
      <c r="Q218" s="31"/>
      <c r="R218" s="31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</row>
    <row r="219" ht="15.75" customHeight="1">
      <c r="A219" s="28"/>
      <c r="B219" s="28"/>
      <c r="C219" s="28"/>
      <c r="D219" s="43"/>
      <c r="E219" s="43"/>
      <c r="F219" s="28"/>
      <c r="G219" s="28"/>
      <c r="H219" s="30"/>
      <c r="I219" s="30"/>
      <c r="J219" s="28"/>
      <c r="K219" s="30"/>
      <c r="L219" s="30"/>
      <c r="M219" s="30"/>
      <c r="N219" s="30"/>
      <c r="O219" s="28"/>
      <c r="P219" s="30"/>
      <c r="Q219" s="31"/>
      <c r="R219" s="31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</row>
    <row r="220" ht="15.75" customHeight="1">
      <c r="A220" s="28"/>
      <c r="B220" s="28"/>
      <c r="C220" s="28"/>
      <c r="D220" s="43"/>
      <c r="E220" s="43"/>
      <c r="F220" s="28"/>
      <c r="G220" s="28"/>
      <c r="H220" s="30"/>
      <c r="I220" s="30"/>
      <c r="J220" s="28"/>
      <c r="K220" s="30"/>
      <c r="L220" s="30"/>
      <c r="M220" s="30"/>
      <c r="N220" s="30"/>
      <c r="O220" s="28"/>
      <c r="P220" s="30"/>
      <c r="Q220" s="31"/>
      <c r="R220" s="31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</row>
    <row r="221" ht="15.75" customHeight="1">
      <c r="A221" s="28"/>
      <c r="B221" s="28"/>
      <c r="C221" s="28"/>
      <c r="D221" s="43"/>
      <c r="E221" s="43"/>
      <c r="F221" s="28"/>
      <c r="G221" s="28"/>
      <c r="H221" s="30"/>
      <c r="I221" s="30"/>
      <c r="J221" s="28"/>
      <c r="K221" s="30"/>
      <c r="L221" s="30"/>
      <c r="M221" s="30"/>
      <c r="N221" s="30"/>
      <c r="O221" s="28"/>
      <c r="P221" s="30"/>
      <c r="Q221" s="31"/>
      <c r="R221" s="31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</row>
    <row r="222" ht="15.75" customHeight="1">
      <c r="A222" s="28"/>
      <c r="B222" s="28"/>
      <c r="C222" s="28"/>
      <c r="D222" s="43"/>
      <c r="E222" s="43"/>
      <c r="F222" s="28"/>
      <c r="G222" s="28"/>
      <c r="H222" s="30"/>
      <c r="I222" s="30"/>
      <c r="J222" s="28"/>
      <c r="K222" s="30"/>
      <c r="L222" s="30"/>
      <c r="M222" s="30"/>
      <c r="N222" s="30"/>
      <c r="O222" s="28"/>
      <c r="P222" s="30"/>
      <c r="Q222" s="31"/>
      <c r="R222" s="31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</row>
    <row r="223" ht="15.75" customHeight="1">
      <c r="A223" s="28"/>
      <c r="B223" s="28"/>
      <c r="C223" s="28"/>
      <c r="D223" s="43"/>
      <c r="E223" s="43"/>
      <c r="F223" s="28"/>
      <c r="G223" s="28"/>
      <c r="H223" s="30"/>
      <c r="I223" s="30"/>
      <c r="J223" s="28"/>
      <c r="K223" s="30"/>
      <c r="L223" s="30"/>
      <c r="M223" s="30"/>
      <c r="N223" s="30"/>
      <c r="O223" s="28"/>
      <c r="P223" s="30"/>
      <c r="Q223" s="31"/>
      <c r="R223" s="31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</row>
    <row r="224" ht="15.75" customHeight="1">
      <c r="A224" s="28"/>
      <c r="B224" s="28"/>
      <c r="C224" s="28"/>
      <c r="D224" s="43"/>
      <c r="E224" s="43"/>
      <c r="F224" s="28"/>
      <c r="G224" s="28"/>
      <c r="H224" s="30"/>
      <c r="I224" s="30"/>
      <c r="J224" s="28"/>
      <c r="K224" s="30"/>
      <c r="L224" s="30"/>
      <c r="M224" s="30"/>
      <c r="N224" s="30"/>
      <c r="O224" s="28"/>
      <c r="P224" s="30"/>
      <c r="Q224" s="31"/>
      <c r="R224" s="31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</row>
    <row r="225" ht="15.75" customHeight="1">
      <c r="A225" s="28"/>
      <c r="B225" s="28"/>
      <c r="C225" s="28"/>
      <c r="D225" s="43"/>
      <c r="E225" s="43"/>
      <c r="F225" s="28"/>
      <c r="G225" s="28"/>
      <c r="H225" s="30"/>
      <c r="I225" s="30"/>
      <c r="J225" s="28"/>
      <c r="K225" s="30"/>
      <c r="L225" s="30"/>
      <c r="M225" s="30"/>
      <c r="N225" s="30"/>
      <c r="O225" s="28"/>
      <c r="P225" s="30"/>
      <c r="Q225" s="31"/>
      <c r="R225" s="31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</row>
    <row r="226" ht="15.75" customHeight="1">
      <c r="A226" s="28"/>
      <c r="B226" s="28"/>
      <c r="C226" s="28"/>
      <c r="D226" s="43"/>
      <c r="E226" s="43"/>
      <c r="F226" s="28"/>
      <c r="G226" s="28"/>
      <c r="H226" s="30"/>
      <c r="I226" s="30"/>
      <c r="J226" s="28"/>
      <c r="K226" s="30"/>
      <c r="L226" s="30"/>
      <c r="M226" s="30"/>
      <c r="N226" s="30"/>
      <c r="O226" s="28"/>
      <c r="P226" s="30"/>
      <c r="Q226" s="31"/>
      <c r="R226" s="31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</row>
    <row r="227" ht="15.75" customHeight="1">
      <c r="A227" s="28"/>
      <c r="B227" s="28"/>
      <c r="C227" s="28"/>
      <c r="D227" s="43"/>
      <c r="E227" s="43"/>
      <c r="F227" s="28"/>
      <c r="G227" s="28"/>
      <c r="H227" s="30"/>
      <c r="I227" s="30"/>
      <c r="J227" s="28"/>
      <c r="K227" s="30"/>
      <c r="L227" s="30"/>
      <c r="M227" s="30"/>
      <c r="N227" s="30"/>
      <c r="O227" s="28"/>
      <c r="P227" s="30"/>
      <c r="Q227" s="31"/>
      <c r="R227" s="31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</row>
    <row r="228" ht="15.75" customHeight="1">
      <c r="A228" s="28"/>
      <c r="B228" s="28"/>
      <c r="C228" s="28"/>
      <c r="D228" s="43"/>
      <c r="E228" s="43"/>
      <c r="F228" s="28"/>
      <c r="G228" s="28"/>
      <c r="H228" s="30"/>
      <c r="I228" s="30"/>
      <c r="J228" s="28"/>
      <c r="K228" s="30"/>
      <c r="L228" s="30"/>
      <c r="M228" s="30"/>
      <c r="N228" s="30"/>
      <c r="O228" s="28"/>
      <c r="P228" s="30"/>
      <c r="Q228" s="31"/>
      <c r="R228" s="31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</row>
    <row r="229" ht="15.75" customHeight="1">
      <c r="A229" s="28"/>
      <c r="B229" s="28"/>
      <c r="C229" s="28"/>
      <c r="D229" s="43"/>
      <c r="E229" s="43"/>
      <c r="F229" s="28"/>
      <c r="G229" s="28"/>
      <c r="H229" s="30"/>
      <c r="I229" s="30"/>
      <c r="J229" s="28"/>
      <c r="K229" s="30"/>
      <c r="L229" s="30"/>
      <c r="M229" s="30"/>
      <c r="N229" s="30"/>
      <c r="O229" s="28"/>
      <c r="P229" s="30"/>
      <c r="Q229" s="31"/>
      <c r="R229" s="31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</row>
    <row r="230" ht="15.75" customHeight="1">
      <c r="A230" s="28"/>
      <c r="B230" s="28"/>
      <c r="C230" s="28"/>
      <c r="D230" s="43"/>
      <c r="E230" s="43"/>
      <c r="F230" s="28"/>
      <c r="G230" s="28"/>
      <c r="H230" s="30"/>
      <c r="I230" s="30"/>
      <c r="J230" s="28"/>
      <c r="K230" s="30"/>
      <c r="L230" s="30"/>
      <c r="M230" s="30"/>
      <c r="N230" s="30"/>
      <c r="O230" s="28"/>
      <c r="P230" s="30"/>
      <c r="Q230" s="31"/>
      <c r="R230" s="31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</row>
    <row r="231" ht="15.75" customHeight="1">
      <c r="A231" s="28"/>
      <c r="B231" s="28"/>
      <c r="C231" s="28"/>
      <c r="D231" s="43"/>
      <c r="E231" s="43"/>
      <c r="F231" s="28"/>
      <c r="G231" s="28"/>
      <c r="H231" s="30"/>
      <c r="I231" s="30"/>
      <c r="J231" s="28"/>
      <c r="K231" s="30"/>
      <c r="L231" s="30"/>
      <c r="M231" s="30"/>
      <c r="N231" s="30"/>
      <c r="O231" s="28"/>
      <c r="P231" s="30"/>
      <c r="Q231" s="31"/>
      <c r="R231" s="31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</row>
    <row r="232" ht="15.75" customHeight="1">
      <c r="A232" s="28"/>
      <c r="B232" s="28"/>
      <c r="C232" s="28"/>
      <c r="D232" s="43"/>
      <c r="E232" s="43"/>
      <c r="F232" s="28"/>
      <c r="G232" s="28"/>
      <c r="H232" s="30"/>
      <c r="I232" s="30"/>
      <c r="J232" s="28"/>
      <c r="K232" s="30"/>
      <c r="L232" s="30"/>
      <c r="M232" s="30"/>
      <c r="N232" s="30"/>
      <c r="O232" s="28"/>
      <c r="P232" s="30"/>
      <c r="Q232" s="31"/>
      <c r="R232" s="31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</row>
    <row r="233" ht="15.75" customHeight="1">
      <c r="A233" s="28"/>
      <c r="B233" s="28"/>
      <c r="C233" s="28"/>
      <c r="D233" s="43"/>
      <c r="E233" s="43"/>
      <c r="F233" s="28"/>
      <c r="G233" s="28"/>
      <c r="H233" s="30"/>
      <c r="I233" s="30"/>
      <c r="J233" s="28"/>
      <c r="K233" s="30"/>
      <c r="L233" s="30"/>
      <c r="M233" s="30"/>
      <c r="N233" s="30"/>
      <c r="O233" s="28"/>
      <c r="P233" s="30"/>
      <c r="Q233" s="31"/>
      <c r="R233" s="31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</row>
    <row r="234" ht="15.75" customHeight="1">
      <c r="A234" s="28"/>
      <c r="B234" s="28"/>
      <c r="C234" s="28"/>
      <c r="D234" s="43"/>
      <c r="E234" s="43"/>
      <c r="F234" s="28"/>
      <c r="G234" s="28"/>
      <c r="H234" s="30"/>
      <c r="I234" s="30"/>
      <c r="J234" s="28"/>
      <c r="K234" s="30"/>
      <c r="L234" s="30"/>
      <c r="M234" s="30"/>
      <c r="N234" s="30"/>
      <c r="O234" s="28"/>
      <c r="P234" s="30"/>
      <c r="Q234" s="31"/>
      <c r="R234" s="31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</row>
    <row r="235" ht="15.75" customHeight="1">
      <c r="A235" s="28"/>
      <c r="B235" s="28"/>
      <c r="C235" s="28"/>
      <c r="D235" s="43"/>
      <c r="E235" s="43"/>
      <c r="F235" s="28"/>
      <c r="G235" s="28"/>
      <c r="H235" s="30"/>
      <c r="I235" s="30"/>
      <c r="J235" s="28"/>
      <c r="K235" s="30"/>
      <c r="L235" s="30"/>
      <c r="M235" s="30"/>
      <c r="N235" s="30"/>
      <c r="O235" s="28"/>
      <c r="P235" s="30"/>
      <c r="Q235" s="31"/>
      <c r="R235" s="31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</row>
    <row r="236" ht="15.75" customHeight="1">
      <c r="A236" s="28"/>
      <c r="B236" s="28"/>
      <c r="C236" s="28"/>
      <c r="D236" s="43"/>
      <c r="E236" s="43"/>
      <c r="F236" s="28"/>
      <c r="G236" s="28"/>
      <c r="H236" s="30"/>
      <c r="I236" s="30"/>
      <c r="J236" s="28"/>
      <c r="K236" s="30"/>
      <c r="L236" s="30"/>
      <c r="M236" s="30"/>
      <c r="N236" s="30"/>
      <c r="O236" s="28"/>
      <c r="P236" s="30"/>
      <c r="Q236" s="31"/>
      <c r="R236" s="31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</row>
    <row r="237" ht="15.75" customHeight="1">
      <c r="A237" s="28"/>
      <c r="B237" s="28"/>
      <c r="C237" s="28"/>
      <c r="D237" s="43"/>
      <c r="E237" s="43"/>
      <c r="F237" s="28"/>
      <c r="G237" s="28"/>
      <c r="H237" s="30"/>
      <c r="I237" s="30"/>
      <c r="J237" s="28"/>
      <c r="K237" s="30"/>
      <c r="L237" s="30"/>
      <c r="M237" s="30"/>
      <c r="N237" s="30"/>
      <c r="O237" s="28"/>
      <c r="P237" s="30"/>
      <c r="Q237" s="31"/>
      <c r="R237" s="31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</row>
    <row r="238" ht="15.75" customHeight="1">
      <c r="A238" s="28"/>
      <c r="B238" s="28"/>
      <c r="C238" s="28"/>
      <c r="D238" s="43"/>
      <c r="E238" s="43"/>
      <c r="F238" s="28"/>
      <c r="G238" s="28"/>
      <c r="H238" s="30"/>
      <c r="I238" s="30"/>
      <c r="J238" s="28"/>
      <c r="K238" s="30"/>
      <c r="L238" s="30"/>
      <c r="M238" s="30"/>
      <c r="N238" s="30"/>
      <c r="O238" s="28"/>
      <c r="P238" s="30"/>
      <c r="Q238" s="31"/>
      <c r="R238" s="31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</row>
    <row r="239" ht="15.75" customHeight="1">
      <c r="A239" s="28"/>
      <c r="B239" s="28"/>
      <c r="C239" s="28"/>
      <c r="D239" s="43"/>
      <c r="E239" s="43"/>
      <c r="F239" s="28"/>
      <c r="G239" s="28"/>
      <c r="H239" s="30"/>
      <c r="I239" s="30"/>
      <c r="J239" s="28"/>
      <c r="K239" s="30"/>
      <c r="L239" s="30"/>
      <c r="M239" s="30"/>
      <c r="N239" s="30"/>
      <c r="O239" s="28"/>
      <c r="P239" s="30"/>
      <c r="Q239" s="31"/>
      <c r="R239" s="31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</row>
    <row r="240" ht="15.75" customHeight="1">
      <c r="A240" s="28"/>
      <c r="B240" s="28"/>
      <c r="C240" s="28"/>
      <c r="D240" s="43"/>
      <c r="E240" s="43"/>
      <c r="F240" s="28"/>
      <c r="G240" s="28"/>
      <c r="H240" s="30"/>
      <c r="I240" s="30"/>
      <c r="J240" s="28"/>
      <c r="K240" s="30"/>
      <c r="L240" s="30"/>
      <c r="M240" s="30"/>
      <c r="N240" s="30"/>
      <c r="O240" s="28"/>
      <c r="P240" s="30"/>
      <c r="Q240" s="31"/>
      <c r="R240" s="31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</row>
    <row r="241" ht="15.75" customHeight="1">
      <c r="A241" s="28"/>
      <c r="B241" s="28"/>
      <c r="C241" s="28"/>
      <c r="D241" s="43"/>
      <c r="E241" s="43"/>
      <c r="F241" s="28"/>
      <c r="G241" s="28"/>
      <c r="H241" s="30"/>
      <c r="I241" s="30"/>
      <c r="J241" s="28"/>
      <c r="K241" s="30"/>
      <c r="L241" s="30"/>
      <c r="M241" s="30"/>
      <c r="N241" s="30"/>
      <c r="O241" s="28"/>
      <c r="P241" s="30"/>
      <c r="Q241" s="31"/>
      <c r="R241" s="31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</row>
    <row r="242" ht="15.75" customHeight="1">
      <c r="A242" s="28"/>
      <c r="B242" s="28"/>
      <c r="C242" s="28"/>
      <c r="D242" s="43"/>
      <c r="E242" s="43"/>
      <c r="F242" s="28"/>
      <c r="G242" s="28"/>
      <c r="H242" s="30"/>
      <c r="I242" s="30"/>
      <c r="J242" s="28"/>
      <c r="K242" s="30"/>
      <c r="L242" s="30"/>
      <c r="M242" s="30"/>
      <c r="N242" s="30"/>
      <c r="O242" s="28"/>
      <c r="P242" s="30"/>
      <c r="Q242" s="31"/>
      <c r="R242" s="31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</row>
    <row r="243" ht="15.75" customHeight="1">
      <c r="A243" s="28"/>
      <c r="B243" s="28"/>
      <c r="C243" s="28"/>
      <c r="D243" s="43"/>
      <c r="E243" s="43"/>
      <c r="F243" s="28"/>
      <c r="G243" s="28"/>
      <c r="H243" s="30"/>
      <c r="I243" s="30"/>
      <c r="J243" s="28"/>
      <c r="K243" s="30"/>
      <c r="L243" s="30"/>
      <c r="M243" s="30"/>
      <c r="N243" s="30"/>
      <c r="O243" s="28"/>
      <c r="P243" s="30"/>
      <c r="Q243" s="31"/>
      <c r="R243" s="31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</row>
    <row r="244" ht="15.75" customHeight="1">
      <c r="A244" s="28"/>
      <c r="B244" s="28"/>
      <c r="C244" s="28"/>
      <c r="D244" s="43"/>
      <c r="E244" s="43"/>
      <c r="F244" s="28"/>
      <c r="G244" s="28"/>
      <c r="H244" s="30"/>
      <c r="I244" s="30"/>
      <c r="J244" s="28"/>
      <c r="K244" s="30"/>
      <c r="L244" s="30"/>
      <c r="M244" s="30"/>
      <c r="N244" s="30"/>
      <c r="O244" s="28"/>
      <c r="P244" s="30"/>
      <c r="Q244" s="31"/>
      <c r="R244" s="31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</row>
    <row r="245" ht="15.75" customHeight="1">
      <c r="A245" s="28"/>
      <c r="B245" s="28"/>
      <c r="C245" s="28"/>
      <c r="D245" s="43"/>
      <c r="E245" s="43"/>
      <c r="F245" s="28"/>
      <c r="G245" s="28"/>
      <c r="H245" s="30"/>
      <c r="I245" s="30"/>
      <c r="J245" s="28"/>
      <c r="K245" s="30"/>
      <c r="L245" s="30"/>
      <c r="M245" s="30"/>
      <c r="N245" s="30"/>
      <c r="O245" s="28"/>
      <c r="P245" s="30"/>
      <c r="Q245" s="31"/>
      <c r="R245" s="31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</row>
    <row r="246" ht="15.75" customHeight="1">
      <c r="A246" s="28"/>
      <c r="B246" s="28"/>
      <c r="C246" s="28"/>
      <c r="D246" s="43"/>
      <c r="E246" s="43"/>
      <c r="F246" s="28"/>
      <c r="G246" s="28"/>
      <c r="H246" s="30"/>
      <c r="I246" s="30"/>
      <c r="J246" s="28"/>
      <c r="K246" s="30"/>
      <c r="L246" s="30"/>
      <c r="M246" s="30"/>
      <c r="N246" s="30"/>
      <c r="O246" s="28"/>
      <c r="P246" s="30"/>
      <c r="Q246" s="31"/>
      <c r="R246" s="31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</row>
    <row r="247" ht="15.75" customHeight="1">
      <c r="A247" s="28"/>
      <c r="B247" s="28"/>
      <c r="C247" s="28"/>
      <c r="D247" s="43"/>
      <c r="E247" s="43"/>
      <c r="F247" s="28"/>
      <c r="G247" s="28"/>
      <c r="H247" s="30"/>
      <c r="I247" s="30"/>
      <c r="J247" s="28"/>
      <c r="K247" s="30"/>
      <c r="L247" s="30"/>
      <c r="M247" s="30"/>
      <c r="N247" s="30"/>
      <c r="O247" s="28"/>
      <c r="P247" s="30"/>
      <c r="Q247" s="31"/>
      <c r="R247" s="31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</row>
    <row r="248" ht="15.75" customHeight="1">
      <c r="A248" s="28"/>
      <c r="B248" s="28"/>
      <c r="C248" s="28"/>
      <c r="D248" s="43"/>
      <c r="E248" s="43"/>
      <c r="F248" s="28"/>
      <c r="G248" s="28"/>
      <c r="H248" s="30"/>
      <c r="I248" s="30"/>
      <c r="J248" s="28"/>
      <c r="K248" s="30"/>
      <c r="L248" s="30"/>
      <c r="M248" s="30"/>
      <c r="N248" s="30"/>
      <c r="O248" s="28"/>
      <c r="P248" s="30"/>
      <c r="Q248" s="31"/>
      <c r="R248" s="31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</row>
    <row r="249" ht="15.75" customHeight="1">
      <c r="A249" s="28"/>
      <c r="B249" s="28"/>
      <c r="C249" s="28"/>
      <c r="D249" s="43"/>
      <c r="E249" s="43"/>
      <c r="F249" s="28"/>
      <c r="G249" s="28"/>
      <c r="H249" s="30"/>
      <c r="I249" s="30"/>
      <c r="J249" s="28"/>
      <c r="K249" s="30"/>
      <c r="L249" s="30"/>
      <c r="M249" s="30"/>
      <c r="N249" s="30"/>
      <c r="O249" s="28"/>
      <c r="P249" s="30"/>
      <c r="Q249" s="31"/>
      <c r="R249" s="31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</row>
    <row r="250" ht="15.75" customHeight="1">
      <c r="A250" s="28"/>
      <c r="B250" s="28"/>
      <c r="C250" s="28"/>
      <c r="D250" s="43"/>
      <c r="E250" s="43"/>
      <c r="F250" s="28"/>
      <c r="G250" s="28"/>
      <c r="H250" s="30"/>
      <c r="I250" s="30"/>
      <c r="J250" s="28"/>
      <c r="K250" s="30"/>
      <c r="L250" s="30"/>
      <c r="M250" s="30"/>
      <c r="N250" s="30"/>
      <c r="O250" s="28"/>
      <c r="P250" s="30"/>
      <c r="Q250" s="31"/>
      <c r="R250" s="31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</row>
    <row r="251" ht="15.75" customHeight="1">
      <c r="A251" s="28"/>
      <c r="B251" s="28"/>
      <c r="C251" s="28"/>
      <c r="D251" s="43"/>
      <c r="E251" s="43"/>
      <c r="F251" s="28"/>
      <c r="G251" s="28"/>
      <c r="H251" s="30"/>
      <c r="I251" s="30"/>
      <c r="J251" s="28"/>
      <c r="K251" s="30"/>
      <c r="L251" s="30"/>
      <c r="M251" s="30"/>
      <c r="N251" s="30"/>
      <c r="O251" s="28"/>
      <c r="P251" s="30"/>
      <c r="Q251" s="31"/>
      <c r="R251" s="31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</row>
    <row r="252" ht="15.75" customHeight="1">
      <c r="A252" s="28"/>
      <c r="B252" s="28"/>
      <c r="C252" s="28"/>
      <c r="D252" s="43"/>
      <c r="E252" s="43"/>
      <c r="F252" s="28"/>
      <c r="G252" s="28"/>
      <c r="H252" s="30"/>
      <c r="I252" s="30"/>
      <c r="J252" s="28"/>
      <c r="K252" s="30"/>
      <c r="L252" s="30"/>
      <c r="M252" s="30"/>
      <c r="N252" s="30"/>
      <c r="O252" s="28"/>
      <c r="P252" s="30"/>
      <c r="Q252" s="31"/>
      <c r="R252" s="31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</row>
    <row r="253" ht="15.75" customHeight="1">
      <c r="A253" s="28"/>
      <c r="B253" s="28"/>
      <c r="C253" s="28"/>
      <c r="D253" s="43"/>
      <c r="E253" s="43"/>
      <c r="F253" s="28"/>
      <c r="G253" s="28"/>
      <c r="H253" s="30"/>
      <c r="I253" s="30"/>
      <c r="J253" s="28"/>
      <c r="K253" s="30"/>
      <c r="L253" s="30"/>
      <c r="M253" s="30"/>
      <c r="N253" s="30"/>
      <c r="O253" s="28"/>
      <c r="P253" s="30"/>
      <c r="Q253" s="31"/>
      <c r="R253" s="31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</row>
    <row r="254" ht="15.75" customHeight="1">
      <c r="A254" s="28"/>
      <c r="B254" s="28"/>
      <c r="C254" s="28"/>
      <c r="D254" s="43"/>
      <c r="E254" s="43"/>
      <c r="F254" s="28"/>
      <c r="G254" s="28"/>
      <c r="H254" s="30"/>
      <c r="I254" s="30"/>
      <c r="J254" s="28"/>
      <c r="K254" s="30"/>
      <c r="L254" s="30"/>
      <c r="M254" s="30"/>
      <c r="N254" s="30"/>
      <c r="O254" s="28"/>
      <c r="P254" s="30"/>
      <c r="Q254" s="31"/>
      <c r="R254" s="31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</row>
    <row r="255" ht="15.75" customHeight="1">
      <c r="A255" s="28"/>
      <c r="B255" s="28"/>
      <c r="C255" s="28"/>
      <c r="D255" s="43"/>
      <c r="E255" s="43"/>
      <c r="F255" s="28"/>
      <c r="G255" s="28"/>
      <c r="H255" s="30"/>
      <c r="I255" s="30"/>
      <c r="J255" s="28"/>
      <c r="K255" s="30"/>
      <c r="L255" s="30"/>
      <c r="M255" s="30"/>
      <c r="N255" s="30"/>
      <c r="O255" s="28"/>
      <c r="P255" s="30"/>
      <c r="Q255" s="31"/>
      <c r="R255" s="31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</row>
    <row r="256" ht="15.75" customHeight="1">
      <c r="A256" s="28"/>
      <c r="B256" s="28"/>
      <c r="C256" s="28"/>
      <c r="D256" s="43"/>
      <c r="E256" s="43"/>
      <c r="F256" s="28"/>
      <c r="G256" s="28"/>
      <c r="H256" s="30"/>
      <c r="I256" s="30"/>
      <c r="J256" s="28"/>
      <c r="K256" s="30"/>
      <c r="L256" s="30"/>
      <c r="M256" s="30"/>
      <c r="N256" s="30"/>
      <c r="O256" s="28"/>
      <c r="P256" s="30"/>
      <c r="Q256" s="31"/>
      <c r="R256" s="31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</row>
    <row r="257" ht="15.75" customHeight="1">
      <c r="A257" s="28"/>
      <c r="B257" s="28"/>
      <c r="C257" s="28"/>
      <c r="D257" s="43"/>
      <c r="E257" s="43"/>
      <c r="F257" s="28"/>
      <c r="G257" s="28"/>
      <c r="H257" s="30"/>
      <c r="I257" s="30"/>
      <c r="J257" s="28"/>
      <c r="K257" s="30"/>
      <c r="L257" s="30"/>
      <c r="M257" s="30"/>
      <c r="N257" s="30"/>
      <c r="O257" s="28"/>
      <c r="P257" s="30"/>
      <c r="Q257" s="31"/>
      <c r="R257" s="31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</row>
    <row r="258" ht="15.75" customHeight="1">
      <c r="A258" s="28"/>
      <c r="B258" s="28"/>
      <c r="C258" s="28"/>
      <c r="D258" s="43"/>
      <c r="E258" s="43"/>
      <c r="F258" s="28"/>
      <c r="G258" s="28"/>
      <c r="H258" s="30"/>
      <c r="I258" s="30"/>
      <c r="J258" s="28"/>
      <c r="K258" s="30"/>
      <c r="L258" s="30"/>
      <c r="M258" s="30"/>
      <c r="N258" s="30"/>
      <c r="O258" s="28"/>
      <c r="P258" s="30"/>
      <c r="Q258" s="31"/>
      <c r="R258" s="31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</row>
    <row r="259" ht="15.75" customHeight="1">
      <c r="A259" s="28"/>
      <c r="B259" s="28"/>
      <c r="C259" s="28"/>
      <c r="D259" s="43"/>
      <c r="E259" s="43"/>
      <c r="F259" s="28"/>
      <c r="G259" s="28"/>
      <c r="H259" s="30"/>
      <c r="I259" s="30"/>
      <c r="J259" s="28"/>
      <c r="K259" s="30"/>
      <c r="L259" s="30"/>
      <c r="M259" s="30"/>
      <c r="N259" s="30"/>
      <c r="O259" s="28"/>
      <c r="P259" s="30"/>
      <c r="Q259" s="31"/>
      <c r="R259" s="31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</row>
    <row r="260" ht="15.75" customHeight="1">
      <c r="A260" s="28"/>
      <c r="B260" s="28"/>
      <c r="C260" s="28"/>
      <c r="D260" s="43"/>
      <c r="E260" s="43"/>
      <c r="F260" s="28"/>
      <c r="G260" s="28"/>
      <c r="H260" s="30"/>
      <c r="I260" s="30"/>
      <c r="J260" s="28"/>
      <c r="K260" s="30"/>
      <c r="L260" s="30"/>
      <c r="M260" s="30"/>
      <c r="N260" s="30"/>
      <c r="O260" s="28"/>
      <c r="P260" s="30"/>
      <c r="Q260" s="31"/>
      <c r="R260" s="31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</row>
    <row r="261" ht="15.75" customHeight="1">
      <c r="A261" s="28"/>
      <c r="B261" s="28"/>
      <c r="C261" s="28"/>
      <c r="D261" s="43"/>
      <c r="E261" s="43"/>
      <c r="F261" s="28"/>
      <c r="G261" s="28"/>
      <c r="H261" s="30"/>
      <c r="I261" s="30"/>
      <c r="J261" s="28"/>
      <c r="K261" s="30"/>
      <c r="L261" s="30"/>
      <c r="M261" s="30"/>
      <c r="N261" s="30"/>
      <c r="O261" s="28"/>
      <c r="P261" s="30"/>
      <c r="Q261" s="31"/>
      <c r="R261" s="31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</row>
    <row r="262" ht="15.75" customHeight="1">
      <c r="A262" s="28"/>
      <c r="B262" s="28"/>
      <c r="C262" s="28"/>
      <c r="D262" s="43"/>
      <c r="E262" s="43"/>
      <c r="F262" s="28"/>
      <c r="G262" s="28"/>
      <c r="H262" s="30"/>
      <c r="I262" s="30"/>
      <c r="J262" s="28"/>
      <c r="K262" s="30"/>
      <c r="L262" s="30"/>
      <c r="M262" s="30"/>
      <c r="N262" s="30"/>
      <c r="O262" s="28"/>
      <c r="P262" s="30"/>
      <c r="Q262" s="31"/>
      <c r="R262" s="31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</row>
    <row r="263" ht="15.75" customHeight="1">
      <c r="A263" s="28"/>
      <c r="B263" s="28"/>
      <c r="C263" s="28"/>
      <c r="D263" s="43"/>
      <c r="E263" s="43"/>
      <c r="F263" s="28"/>
      <c r="G263" s="28"/>
      <c r="H263" s="30"/>
      <c r="I263" s="30"/>
      <c r="J263" s="28"/>
      <c r="K263" s="30"/>
      <c r="L263" s="30"/>
      <c r="M263" s="30"/>
      <c r="N263" s="30"/>
      <c r="O263" s="28"/>
      <c r="P263" s="30"/>
      <c r="Q263" s="31"/>
      <c r="R263" s="31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</row>
    <row r="264" ht="15.75" customHeight="1">
      <c r="A264" s="28"/>
      <c r="B264" s="28"/>
      <c r="C264" s="28"/>
      <c r="D264" s="43"/>
      <c r="E264" s="43"/>
      <c r="F264" s="28"/>
      <c r="G264" s="28"/>
      <c r="H264" s="30"/>
      <c r="I264" s="30"/>
      <c r="J264" s="28"/>
      <c r="K264" s="30"/>
      <c r="L264" s="30"/>
      <c r="M264" s="30"/>
      <c r="N264" s="30"/>
      <c r="O264" s="28"/>
      <c r="P264" s="30"/>
      <c r="Q264" s="31"/>
      <c r="R264" s="31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</row>
    <row r="265" ht="15.75" customHeight="1">
      <c r="A265" s="28"/>
      <c r="B265" s="28"/>
      <c r="C265" s="28"/>
      <c r="D265" s="43"/>
      <c r="E265" s="43"/>
      <c r="F265" s="28"/>
      <c r="G265" s="28"/>
      <c r="H265" s="30"/>
      <c r="I265" s="30"/>
      <c r="J265" s="28"/>
      <c r="K265" s="30"/>
      <c r="L265" s="30"/>
      <c r="M265" s="30"/>
      <c r="N265" s="30"/>
      <c r="O265" s="28"/>
      <c r="P265" s="30"/>
      <c r="Q265" s="31"/>
      <c r="R265" s="31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</row>
    <row r="266" ht="15.75" customHeight="1">
      <c r="A266" s="28"/>
      <c r="B266" s="28"/>
      <c r="C266" s="28"/>
      <c r="D266" s="43"/>
      <c r="E266" s="43"/>
      <c r="F266" s="28"/>
      <c r="G266" s="28"/>
      <c r="H266" s="30"/>
      <c r="I266" s="30"/>
      <c r="J266" s="28"/>
      <c r="K266" s="30"/>
      <c r="L266" s="30"/>
      <c r="M266" s="30"/>
      <c r="N266" s="30"/>
      <c r="O266" s="28"/>
      <c r="P266" s="30"/>
      <c r="Q266" s="31"/>
      <c r="R266" s="31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</row>
    <row r="267" ht="15.75" customHeight="1">
      <c r="A267" s="28"/>
      <c r="B267" s="28"/>
      <c r="C267" s="28"/>
      <c r="D267" s="43"/>
      <c r="E267" s="43"/>
      <c r="F267" s="28"/>
      <c r="G267" s="28"/>
      <c r="H267" s="30"/>
      <c r="I267" s="30"/>
      <c r="J267" s="28"/>
      <c r="K267" s="30"/>
      <c r="L267" s="30"/>
      <c r="M267" s="30"/>
      <c r="N267" s="30"/>
      <c r="O267" s="28"/>
      <c r="P267" s="30"/>
      <c r="Q267" s="31"/>
      <c r="R267" s="31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</row>
    <row r="268" ht="15.75" customHeight="1">
      <c r="A268" s="28"/>
      <c r="B268" s="28"/>
      <c r="C268" s="28"/>
      <c r="D268" s="43"/>
      <c r="E268" s="43"/>
      <c r="F268" s="28"/>
      <c r="G268" s="28"/>
      <c r="H268" s="30"/>
      <c r="I268" s="30"/>
      <c r="J268" s="28"/>
      <c r="K268" s="30"/>
      <c r="L268" s="30"/>
      <c r="M268" s="30"/>
      <c r="N268" s="30"/>
      <c r="O268" s="28"/>
      <c r="P268" s="30"/>
      <c r="Q268" s="31"/>
      <c r="R268" s="31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</row>
    <row r="269" ht="15.75" customHeight="1">
      <c r="A269" s="28"/>
      <c r="B269" s="28"/>
      <c r="C269" s="28"/>
      <c r="D269" s="43"/>
      <c r="E269" s="43"/>
      <c r="F269" s="28"/>
      <c r="G269" s="28"/>
      <c r="H269" s="30"/>
      <c r="I269" s="30"/>
      <c r="J269" s="28"/>
      <c r="K269" s="30"/>
      <c r="L269" s="30"/>
      <c r="M269" s="30"/>
      <c r="N269" s="30"/>
      <c r="O269" s="28"/>
      <c r="P269" s="30"/>
      <c r="Q269" s="31"/>
      <c r="R269" s="31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</row>
    <row r="270" ht="15.75" customHeight="1">
      <c r="A270" s="28"/>
      <c r="B270" s="28"/>
      <c r="C270" s="28"/>
      <c r="D270" s="43"/>
      <c r="E270" s="43"/>
      <c r="F270" s="28"/>
      <c r="G270" s="28"/>
      <c r="H270" s="30"/>
      <c r="I270" s="30"/>
      <c r="J270" s="28"/>
      <c r="K270" s="30"/>
      <c r="L270" s="30"/>
      <c r="M270" s="30"/>
      <c r="N270" s="30"/>
      <c r="O270" s="28"/>
      <c r="P270" s="30"/>
      <c r="Q270" s="31"/>
      <c r="R270" s="31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</row>
    <row r="271" ht="15.75" customHeight="1">
      <c r="A271" s="28"/>
      <c r="B271" s="28"/>
      <c r="C271" s="28"/>
      <c r="D271" s="43"/>
      <c r="E271" s="43"/>
      <c r="F271" s="28"/>
      <c r="G271" s="28"/>
      <c r="H271" s="30"/>
      <c r="I271" s="30"/>
      <c r="J271" s="28"/>
      <c r="K271" s="30"/>
      <c r="L271" s="30"/>
      <c r="M271" s="30"/>
      <c r="N271" s="30"/>
      <c r="O271" s="28"/>
      <c r="P271" s="30"/>
      <c r="Q271" s="31"/>
      <c r="R271" s="31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</row>
    <row r="272" ht="15.75" customHeight="1">
      <c r="A272" s="28"/>
      <c r="B272" s="28"/>
      <c r="C272" s="28"/>
      <c r="D272" s="43"/>
      <c r="E272" s="43"/>
      <c r="F272" s="28"/>
      <c r="G272" s="28"/>
      <c r="H272" s="30"/>
      <c r="I272" s="30"/>
      <c r="J272" s="28"/>
      <c r="K272" s="30"/>
      <c r="L272" s="30"/>
      <c r="M272" s="30"/>
      <c r="N272" s="30"/>
      <c r="O272" s="28"/>
      <c r="P272" s="30"/>
      <c r="Q272" s="31"/>
      <c r="R272" s="31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</row>
    <row r="273" ht="15.75" customHeight="1">
      <c r="A273" s="28"/>
      <c r="B273" s="28"/>
      <c r="C273" s="28"/>
      <c r="D273" s="43"/>
      <c r="E273" s="43"/>
      <c r="F273" s="28"/>
      <c r="G273" s="28"/>
      <c r="H273" s="30"/>
      <c r="I273" s="30"/>
      <c r="J273" s="28"/>
      <c r="K273" s="30"/>
      <c r="L273" s="30"/>
      <c r="M273" s="30"/>
      <c r="N273" s="30"/>
      <c r="O273" s="28"/>
      <c r="P273" s="30"/>
      <c r="Q273" s="31"/>
      <c r="R273" s="31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</row>
    <row r="274" ht="15.75" customHeight="1">
      <c r="A274" s="28"/>
      <c r="B274" s="28"/>
      <c r="C274" s="28"/>
      <c r="D274" s="43"/>
      <c r="E274" s="43"/>
      <c r="F274" s="28"/>
      <c r="G274" s="28"/>
      <c r="H274" s="30"/>
      <c r="I274" s="30"/>
      <c r="J274" s="28"/>
      <c r="K274" s="30"/>
      <c r="L274" s="30"/>
      <c r="M274" s="30"/>
      <c r="N274" s="30"/>
      <c r="O274" s="28"/>
      <c r="P274" s="30"/>
      <c r="Q274" s="31"/>
      <c r="R274" s="31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</row>
    <row r="275" ht="15.75" customHeight="1">
      <c r="A275" s="28"/>
      <c r="B275" s="28"/>
      <c r="C275" s="28"/>
      <c r="D275" s="43"/>
      <c r="E275" s="43"/>
      <c r="F275" s="28"/>
      <c r="G275" s="28"/>
      <c r="H275" s="30"/>
      <c r="I275" s="30"/>
      <c r="J275" s="28"/>
      <c r="K275" s="30"/>
      <c r="L275" s="30"/>
      <c r="M275" s="30"/>
      <c r="N275" s="30"/>
      <c r="O275" s="28"/>
      <c r="P275" s="30"/>
      <c r="Q275" s="31"/>
      <c r="R275" s="31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</row>
    <row r="276" ht="15.75" customHeight="1">
      <c r="A276" s="28"/>
      <c r="B276" s="28"/>
      <c r="C276" s="28"/>
      <c r="D276" s="43"/>
      <c r="E276" s="43"/>
      <c r="F276" s="28"/>
      <c r="G276" s="28"/>
      <c r="H276" s="30"/>
      <c r="I276" s="30"/>
      <c r="J276" s="28"/>
      <c r="K276" s="30"/>
      <c r="L276" s="30"/>
      <c r="M276" s="30"/>
      <c r="N276" s="30"/>
      <c r="O276" s="28"/>
      <c r="P276" s="30"/>
      <c r="Q276" s="31"/>
      <c r="R276" s="31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</row>
    <row r="277" ht="15.75" customHeight="1">
      <c r="A277" s="28"/>
      <c r="B277" s="28"/>
      <c r="C277" s="28"/>
      <c r="D277" s="43"/>
      <c r="E277" s="43"/>
      <c r="F277" s="28"/>
      <c r="G277" s="28"/>
      <c r="H277" s="30"/>
      <c r="I277" s="30"/>
      <c r="J277" s="28"/>
      <c r="K277" s="30"/>
      <c r="L277" s="30"/>
      <c r="M277" s="30"/>
      <c r="N277" s="30"/>
      <c r="O277" s="28"/>
      <c r="P277" s="30"/>
      <c r="Q277" s="31"/>
      <c r="R277" s="31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</row>
    <row r="278" ht="15.75" customHeight="1">
      <c r="A278" s="28"/>
      <c r="B278" s="28"/>
      <c r="C278" s="28"/>
      <c r="D278" s="43"/>
      <c r="E278" s="43"/>
      <c r="F278" s="28"/>
      <c r="G278" s="28"/>
      <c r="H278" s="30"/>
      <c r="I278" s="30"/>
      <c r="J278" s="28"/>
      <c r="K278" s="30"/>
      <c r="L278" s="30"/>
      <c r="M278" s="30"/>
      <c r="N278" s="30"/>
      <c r="O278" s="28"/>
      <c r="P278" s="30"/>
      <c r="Q278" s="31"/>
      <c r="R278" s="31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</row>
    <row r="279" ht="15.75" customHeight="1">
      <c r="A279" s="28"/>
      <c r="B279" s="28"/>
      <c r="C279" s="28"/>
      <c r="D279" s="43"/>
      <c r="E279" s="43"/>
      <c r="F279" s="28"/>
      <c r="G279" s="28"/>
      <c r="H279" s="30"/>
      <c r="I279" s="30"/>
      <c r="J279" s="28"/>
      <c r="K279" s="30"/>
      <c r="L279" s="30"/>
      <c r="M279" s="30"/>
      <c r="N279" s="30"/>
      <c r="O279" s="28"/>
      <c r="P279" s="30"/>
      <c r="Q279" s="31"/>
      <c r="R279" s="31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</row>
    <row r="280" ht="15.75" customHeight="1">
      <c r="A280" s="28"/>
      <c r="B280" s="28"/>
      <c r="C280" s="28"/>
      <c r="D280" s="43"/>
      <c r="E280" s="43"/>
      <c r="F280" s="28"/>
      <c r="G280" s="28"/>
      <c r="H280" s="30"/>
      <c r="I280" s="30"/>
      <c r="J280" s="28"/>
      <c r="K280" s="30"/>
      <c r="L280" s="30"/>
      <c r="M280" s="30"/>
      <c r="N280" s="30"/>
      <c r="O280" s="28"/>
      <c r="P280" s="30"/>
      <c r="Q280" s="31"/>
      <c r="R280" s="31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</row>
    <row r="281" ht="15.75" customHeight="1">
      <c r="A281" s="28"/>
      <c r="B281" s="28"/>
      <c r="C281" s="28"/>
      <c r="D281" s="43"/>
      <c r="E281" s="43"/>
      <c r="F281" s="28"/>
      <c r="G281" s="28"/>
      <c r="H281" s="30"/>
      <c r="I281" s="30"/>
      <c r="J281" s="28"/>
      <c r="K281" s="30"/>
      <c r="L281" s="30"/>
      <c r="M281" s="30"/>
      <c r="N281" s="30"/>
      <c r="O281" s="28"/>
      <c r="P281" s="30"/>
      <c r="Q281" s="31"/>
      <c r="R281" s="31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</row>
    <row r="282" ht="15.75" customHeight="1">
      <c r="A282" s="28"/>
      <c r="B282" s="28"/>
      <c r="C282" s="28"/>
      <c r="D282" s="43"/>
      <c r="E282" s="43"/>
      <c r="F282" s="28"/>
      <c r="G282" s="28"/>
      <c r="H282" s="30"/>
      <c r="I282" s="30"/>
      <c r="J282" s="28"/>
      <c r="K282" s="30"/>
      <c r="L282" s="30"/>
      <c r="M282" s="30"/>
      <c r="N282" s="30"/>
      <c r="O282" s="28"/>
      <c r="P282" s="30"/>
      <c r="Q282" s="31"/>
      <c r="R282" s="31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</row>
    <row r="283" ht="15.75" customHeight="1">
      <c r="A283" s="28"/>
      <c r="B283" s="28"/>
      <c r="C283" s="28"/>
      <c r="D283" s="43"/>
      <c r="E283" s="43"/>
      <c r="F283" s="28"/>
      <c r="G283" s="28"/>
      <c r="H283" s="30"/>
      <c r="I283" s="30"/>
      <c r="J283" s="28"/>
      <c r="K283" s="30"/>
      <c r="L283" s="30"/>
      <c r="M283" s="30"/>
      <c r="N283" s="30"/>
      <c r="O283" s="28"/>
      <c r="P283" s="30"/>
      <c r="Q283" s="31"/>
      <c r="R283" s="31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F$1:$F$100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8.63"/>
    <col customWidth="1" min="3" max="3" width="21.13"/>
    <col customWidth="1" min="4" max="4" width="12.63"/>
    <col customWidth="1" min="5" max="5" width="21.5"/>
    <col customWidth="1" min="6" max="6" width="20.5"/>
    <col customWidth="1" min="10" max="10" width="18.5"/>
  </cols>
  <sheetData>
    <row r="1" ht="15.75" customHeight="1">
      <c r="A1" s="45" t="s">
        <v>0</v>
      </c>
      <c r="B1" s="45" t="s">
        <v>723</v>
      </c>
      <c r="C1" s="45" t="s">
        <v>24</v>
      </c>
      <c r="D1" s="45" t="s">
        <v>724</v>
      </c>
      <c r="E1" s="46" t="s">
        <v>725</v>
      </c>
      <c r="F1" s="45" t="s">
        <v>726</v>
      </c>
      <c r="G1" s="45" t="s">
        <v>727</v>
      </c>
      <c r="H1" s="47" t="s">
        <v>728</v>
      </c>
      <c r="I1" s="47" t="s">
        <v>20</v>
      </c>
      <c r="J1" s="34" t="s">
        <v>25</v>
      </c>
      <c r="K1" s="34" t="s">
        <v>26</v>
      </c>
      <c r="L1" s="1" t="s">
        <v>27</v>
      </c>
      <c r="M1" s="48"/>
    </row>
    <row r="2" ht="15.75" customHeight="1">
      <c r="A2" s="30" t="s">
        <v>729</v>
      </c>
      <c r="B2" s="30" t="s">
        <v>730</v>
      </c>
      <c r="C2" s="30" t="s">
        <v>731</v>
      </c>
      <c r="D2" s="30">
        <v>12.01</v>
      </c>
      <c r="E2" s="6" t="s">
        <v>732</v>
      </c>
      <c r="F2" s="30" t="s">
        <v>733</v>
      </c>
      <c r="G2" s="30">
        <v>32.1972708353103</v>
      </c>
      <c r="H2" s="30">
        <v>74.9584685951697</v>
      </c>
      <c r="I2" s="30" t="s">
        <v>52</v>
      </c>
    </row>
    <row r="3" ht="15.75" customHeight="1">
      <c r="A3" s="49" t="s">
        <v>734</v>
      </c>
      <c r="B3" s="50" t="s">
        <v>735</v>
      </c>
      <c r="C3" s="49" t="s">
        <v>736</v>
      </c>
      <c r="D3" s="49">
        <v>29.83</v>
      </c>
      <c r="E3" s="6" t="s">
        <v>737</v>
      </c>
      <c r="F3" s="49"/>
      <c r="G3" s="49"/>
      <c r="H3" s="49"/>
      <c r="I3" s="49" t="s">
        <v>52</v>
      </c>
      <c r="M3" s="48"/>
    </row>
    <row r="4" ht="15.75" customHeight="1">
      <c r="A4" s="30" t="s">
        <v>738</v>
      </c>
      <c r="B4" s="30" t="s">
        <v>739</v>
      </c>
      <c r="C4" s="30" t="s">
        <v>740</v>
      </c>
      <c r="D4" s="30">
        <v>26.88</v>
      </c>
      <c r="E4" s="6" t="s">
        <v>741</v>
      </c>
      <c r="F4" s="30" t="s">
        <v>742</v>
      </c>
      <c r="G4" s="30">
        <v>39.9905559443881</v>
      </c>
      <c r="H4" s="30">
        <v>-8.27212219774385</v>
      </c>
      <c r="I4" s="30" t="s">
        <v>52</v>
      </c>
      <c r="L4" s="51" t="s">
        <v>743</v>
      </c>
    </row>
    <row r="5" ht="15.75" customHeight="1">
      <c r="A5" s="49" t="s">
        <v>744</v>
      </c>
      <c r="B5" s="50" t="s">
        <v>745</v>
      </c>
      <c r="C5" s="49" t="s">
        <v>736</v>
      </c>
      <c r="D5" s="49">
        <v>7.8</v>
      </c>
      <c r="E5" s="7" t="s">
        <v>746</v>
      </c>
      <c r="F5" s="49"/>
      <c r="G5" s="49"/>
      <c r="H5" s="49"/>
      <c r="I5" s="49" t="s">
        <v>52</v>
      </c>
      <c r="J5" s="51" t="s">
        <v>747</v>
      </c>
      <c r="M5" s="48"/>
    </row>
    <row r="6" ht="15.75" customHeight="1">
      <c r="A6" s="49" t="s">
        <v>748</v>
      </c>
      <c r="B6" s="50" t="s">
        <v>745</v>
      </c>
      <c r="C6" s="49" t="s">
        <v>736</v>
      </c>
      <c r="D6" s="49">
        <v>50.13</v>
      </c>
      <c r="E6" s="6" t="s">
        <v>749</v>
      </c>
      <c r="F6" s="49"/>
      <c r="G6" s="49"/>
      <c r="H6" s="49"/>
      <c r="I6" s="49" t="s">
        <v>52</v>
      </c>
      <c r="J6" s="51" t="s">
        <v>747</v>
      </c>
      <c r="M6" s="48"/>
    </row>
    <row r="7" ht="15.75" customHeight="1">
      <c r="A7" s="49" t="s">
        <v>750</v>
      </c>
      <c r="B7" s="50" t="s">
        <v>745</v>
      </c>
      <c r="C7" s="49" t="s">
        <v>736</v>
      </c>
      <c r="D7" s="49">
        <v>26.15</v>
      </c>
      <c r="E7" s="6" t="s">
        <v>751</v>
      </c>
      <c r="F7" s="49"/>
      <c r="G7" s="49"/>
      <c r="H7" s="49"/>
      <c r="I7" s="49" t="s">
        <v>38</v>
      </c>
      <c r="J7" s="51" t="s">
        <v>747</v>
      </c>
      <c r="M7" s="48"/>
    </row>
    <row r="8" ht="15.75" customHeight="1">
      <c r="A8" s="30" t="s">
        <v>752</v>
      </c>
      <c r="B8" s="30" t="s">
        <v>753</v>
      </c>
      <c r="C8" s="30" t="s">
        <v>754</v>
      </c>
      <c r="D8" s="30">
        <v>12.05</v>
      </c>
      <c r="E8" s="6" t="s">
        <v>755</v>
      </c>
      <c r="F8" s="30" t="s">
        <v>756</v>
      </c>
      <c r="G8" s="30">
        <v>56.2823522214849</v>
      </c>
      <c r="H8" s="30">
        <v>-5.21130321933021</v>
      </c>
      <c r="I8" s="30" t="s">
        <v>52</v>
      </c>
      <c r="M8" s="28"/>
    </row>
    <row r="9" ht="15.75" customHeight="1">
      <c r="A9" s="30" t="s">
        <v>757</v>
      </c>
      <c r="B9" s="30" t="s">
        <v>753</v>
      </c>
      <c r="C9" s="30" t="s">
        <v>754</v>
      </c>
      <c r="D9" s="30">
        <v>13.31</v>
      </c>
      <c r="E9" s="6" t="s">
        <v>758</v>
      </c>
      <c r="F9" s="30" t="s">
        <v>756</v>
      </c>
      <c r="G9" s="30">
        <v>56.2823522214849</v>
      </c>
      <c r="H9" s="30">
        <v>-5.21130321933021</v>
      </c>
      <c r="I9" s="30" t="s">
        <v>52</v>
      </c>
      <c r="M9" s="28"/>
    </row>
    <row r="10" ht="15.75" customHeight="1">
      <c r="A10" s="30" t="s">
        <v>759</v>
      </c>
      <c r="B10" s="30" t="s">
        <v>753</v>
      </c>
      <c r="C10" s="30" t="s">
        <v>754</v>
      </c>
      <c r="D10" s="30">
        <v>13.66</v>
      </c>
      <c r="E10" s="6" t="s">
        <v>760</v>
      </c>
      <c r="F10" s="30" t="s">
        <v>756</v>
      </c>
      <c r="G10" s="30">
        <v>56.2823522214849</v>
      </c>
      <c r="H10" s="30">
        <v>-5.21130321933021</v>
      </c>
      <c r="I10" s="30" t="s">
        <v>52</v>
      </c>
      <c r="M10" s="28"/>
    </row>
    <row r="11" ht="15.75" customHeight="1">
      <c r="A11" s="30" t="s">
        <v>761</v>
      </c>
      <c r="B11" s="30" t="s">
        <v>753</v>
      </c>
      <c r="C11" s="30" t="s">
        <v>754</v>
      </c>
      <c r="D11" s="30">
        <v>14.01</v>
      </c>
      <c r="E11" s="6" t="s">
        <v>762</v>
      </c>
      <c r="F11" s="30" t="s">
        <v>756</v>
      </c>
      <c r="G11" s="30">
        <v>56.2823522214849</v>
      </c>
      <c r="H11" s="30">
        <v>-5.21130321933021</v>
      </c>
      <c r="I11" s="30" t="s">
        <v>52</v>
      </c>
      <c r="M11" s="28"/>
    </row>
    <row r="12" ht="15.75" customHeight="1">
      <c r="A12" s="30" t="s">
        <v>763</v>
      </c>
      <c r="B12" s="30" t="s">
        <v>753</v>
      </c>
      <c r="C12" s="30" t="s">
        <v>754</v>
      </c>
      <c r="D12" s="30">
        <v>10.92</v>
      </c>
      <c r="E12" s="6" t="s">
        <v>764</v>
      </c>
      <c r="F12" s="30" t="s">
        <v>756</v>
      </c>
      <c r="G12" s="30">
        <v>56.2823522214849</v>
      </c>
      <c r="H12" s="30">
        <v>-5.21130321933021</v>
      </c>
      <c r="I12" s="30" t="s">
        <v>52</v>
      </c>
      <c r="M12" s="28"/>
    </row>
    <row r="13" ht="15.75" customHeight="1">
      <c r="A13" s="30" t="s">
        <v>765</v>
      </c>
      <c r="B13" s="30" t="s">
        <v>766</v>
      </c>
      <c r="C13" s="30" t="s">
        <v>767</v>
      </c>
      <c r="D13" s="30">
        <v>5.68</v>
      </c>
      <c r="E13" s="6" t="s">
        <v>768</v>
      </c>
      <c r="F13" s="30" t="s">
        <v>769</v>
      </c>
      <c r="G13" s="30">
        <v>10.8146113873974</v>
      </c>
      <c r="H13" s="30">
        <v>33.2594352510013</v>
      </c>
      <c r="I13" s="30" t="s">
        <v>52</v>
      </c>
      <c r="M13" s="28"/>
    </row>
    <row r="14" ht="15.75" customHeight="1">
      <c r="A14" s="30" t="s">
        <v>770</v>
      </c>
      <c r="B14" s="30" t="s">
        <v>766</v>
      </c>
      <c r="C14" s="30" t="s">
        <v>767</v>
      </c>
      <c r="D14" s="30">
        <v>8.46</v>
      </c>
      <c r="E14" s="6" t="s">
        <v>771</v>
      </c>
      <c r="F14" s="30" t="s">
        <v>769</v>
      </c>
      <c r="G14" s="30">
        <v>10.8146113873974</v>
      </c>
      <c r="H14" s="30">
        <v>33.2594352510013</v>
      </c>
      <c r="I14" s="30" t="s">
        <v>52</v>
      </c>
      <c r="M14" s="28"/>
    </row>
    <row r="15" ht="15.75" customHeight="1">
      <c r="A15" s="30" t="s">
        <v>772</v>
      </c>
      <c r="B15" s="30" t="s">
        <v>766</v>
      </c>
      <c r="C15" s="30" t="s">
        <v>767</v>
      </c>
      <c r="D15" s="30">
        <v>8.17</v>
      </c>
      <c r="E15" s="6" t="s">
        <v>773</v>
      </c>
      <c r="F15" s="30" t="s">
        <v>769</v>
      </c>
      <c r="G15" s="30">
        <v>10.8146113873974</v>
      </c>
      <c r="H15" s="30">
        <v>33.2594352510013</v>
      </c>
      <c r="I15" s="30" t="s">
        <v>38</v>
      </c>
      <c r="M15" s="28"/>
    </row>
    <row r="16" ht="15.75" customHeight="1">
      <c r="A16" s="49" t="s">
        <v>774</v>
      </c>
      <c r="B16" s="50" t="s">
        <v>775</v>
      </c>
      <c r="C16" s="49" t="s">
        <v>736</v>
      </c>
      <c r="D16" s="49">
        <v>9.05</v>
      </c>
      <c r="E16" s="6" t="s">
        <v>776</v>
      </c>
      <c r="F16" s="49"/>
      <c r="G16" s="49"/>
      <c r="H16" s="49"/>
      <c r="I16" s="49" t="s">
        <v>52</v>
      </c>
      <c r="J16" s="51" t="s">
        <v>777</v>
      </c>
      <c r="M16" s="48"/>
    </row>
    <row r="17" ht="15.75" customHeight="1">
      <c r="A17" s="49" t="s">
        <v>778</v>
      </c>
      <c r="B17" s="50" t="s">
        <v>775</v>
      </c>
      <c r="C17" s="49" t="s">
        <v>736</v>
      </c>
      <c r="D17" s="49">
        <v>11.87</v>
      </c>
      <c r="E17" s="6" t="s">
        <v>779</v>
      </c>
      <c r="F17" s="49"/>
      <c r="G17" s="49"/>
      <c r="H17" s="49"/>
      <c r="I17" s="49" t="s">
        <v>38</v>
      </c>
      <c r="J17" s="51" t="s">
        <v>777</v>
      </c>
      <c r="M17" s="48"/>
    </row>
    <row r="18" ht="15.75" customHeight="1">
      <c r="A18" s="49" t="s">
        <v>780</v>
      </c>
      <c r="B18" s="50" t="s">
        <v>775</v>
      </c>
      <c r="C18" s="49" t="s">
        <v>736</v>
      </c>
      <c r="D18" s="49">
        <v>4.7</v>
      </c>
      <c r="E18" s="15" t="s">
        <v>781</v>
      </c>
      <c r="F18" s="49"/>
      <c r="G18" s="49"/>
      <c r="H18" s="49"/>
      <c r="I18" s="49" t="s">
        <v>38</v>
      </c>
      <c r="J18" s="51" t="s">
        <v>777</v>
      </c>
      <c r="M18" s="48"/>
    </row>
    <row r="19" ht="15.75" customHeight="1">
      <c r="A19" s="49" t="s">
        <v>782</v>
      </c>
      <c r="B19" s="50" t="s">
        <v>775</v>
      </c>
      <c r="C19" s="49" t="s">
        <v>736</v>
      </c>
      <c r="D19" s="49">
        <v>5.74</v>
      </c>
      <c r="E19" s="15" t="s">
        <v>783</v>
      </c>
      <c r="F19" s="49"/>
      <c r="G19" s="49"/>
      <c r="H19" s="49"/>
      <c r="I19" s="49" t="s">
        <v>38</v>
      </c>
      <c r="J19" s="51" t="s">
        <v>777</v>
      </c>
      <c r="M19" s="48"/>
    </row>
    <row r="20" ht="15.75" customHeight="1">
      <c r="A20" s="30" t="s">
        <v>784</v>
      </c>
      <c r="B20" s="30" t="s">
        <v>785</v>
      </c>
      <c r="C20" s="30" t="s">
        <v>767</v>
      </c>
      <c r="D20" s="30">
        <v>28.46</v>
      </c>
      <c r="E20" s="6" t="s">
        <v>786</v>
      </c>
      <c r="F20" s="30" t="s">
        <v>787</v>
      </c>
      <c r="G20" s="30">
        <v>10.8559992944566</v>
      </c>
      <c r="H20" s="30">
        <v>-6.65933251494112</v>
      </c>
      <c r="I20" s="30" t="s">
        <v>38</v>
      </c>
      <c r="M20" s="28"/>
    </row>
    <row r="21" ht="15.75" customHeight="1">
      <c r="A21" s="30" t="s">
        <v>788</v>
      </c>
      <c r="B21" s="30" t="s">
        <v>785</v>
      </c>
      <c r="C21" s="30" t="s">
        <v>767</v>
      </c>
      <c r="D21" s="30">
        <v>31.14</v>
      </c>
      <c r="E21" s="6" t="s">
        <v>789</v>
      </c>
      <c r="F21" s="30" t="s">
        <v>787</v>
      </c>
      <c r="G21" s="30">
        <v>10.8559992944566</v>
      </c>
      <c r="H21" s="30">
        <v>-6.65933251494112</v>
      </c>
      <c r="I21" s="30" t="s">
        <v>38</v>
      </c>
      <c r="M21" s="28"/>
    </row>
    <row r="22" ht="15.75" customHeight="1">
      <c r="A22" s="30" t="s">
        <v>790</v>
      </c>
      <c r="B22" s="30" t="s">
        <v>785</v>
      </c>
      <c r="C22" s="30" t="s">
        <v>767</v>
      </c>
      <c r="D22" s="30">
        <v>30.56</v>
      </c>
      <c r="E22" s="6" t="s">
        <v>791</v>
      </c>
      <c r="F22" s="30" t="s">
        <v>787</v>
      </c>
      <c r="G22" s="30">
        <v>10.8559992944566</v>
      </c>
      <c r="H22" s="30">
        <v>-6.65933251494112</v>
      </c>
      <c r="I22" s="30" t="s">
        <v>38</v>
      </c>
      <c r="M22" s="28"/>
    </row>
    <row r="23" ht="15.75" customHeight="1">
      <c r="A23" s="30" t="s">
        <v>792</v>
      </c>
      <c r="B23" s="30" t="s">
        <v>785</v>
      </c>
      <c r="C23" s="30" t="s">
        <v>767</v>
      </c>
      <c r="D23" s="30">
        <v>30.0</v>
      </c>
      <c r="E23" s="6" t="s">
        <v>793</v>
      </c>
      <c r="F23" s="30" t="s">
        <v>787</v>
      </c>
      <c r="G23" s="30">
        <v>10.8559992944566</v>
      </c>
      <c r="H23" s="30">
        <v>-6.65933251494112</v>
      </c>
      <c r="I23" s="30" t="s">
        <v>38</v>
      </c>
      <c r="M23" s="28"/>
    </row>
    <row r="24" ht="15.75" customHeight="1">
      <c r="A24" s="30" t="s">
        <v>794</v>
      </c>
      <c r="B24" s="30" t="s">
        <v>785</v>
      </c>
      <c r="C24" s="30" t="s">
        <v>767</v>
      </c>
      <c r="D24" s="30">
        <v>28.09</v>
      </c>
      <c r="E24" s="6" t="s">
        <v>795</v>
      </c>
      <c r="F24" s="30" t="s">
        <v>787</v>
      </c>
      <c r="G24" s="30">
        <v>10.8559992944566</v>
      </c>
      <c r="H24" s="30">
        <v>-6.65933251494112</v>
      </c>
      <c r="I24" s="30" t="s">
        <v>38</v>
      </c>
      <c r="L24" s="51" t="s">
        <v>743</v>
      </c>
      <c r="M24" s="28"/>
    </row>
    <row r="25" ht="15.75" customHeight="1">
      <c r="A25" s="30" t="s">
        <v>796</v>
      </c>
      <c r="B25" s="30" t="s">
        <v>785</v>
      </c>
      <c r="C25" s="30" t="s">
        <v>767</v>
      </c>
      <c r="D25" s="30">
        <v>25.77</v>
      </c>
      <c r="E25" s="6" t="s">
        <v>797</v>
      </c>
      <c r="F25" s="30" t="s">
        <v>787</v>
      </c>
      <c r="G25" s="30">
        <v>10.8559992944566</v>
      </c>
      <c r="H25" s="30">
        <v>-6.65933251494112</v>
      </c>
      <c r="I25" s="30" t="s">
        <v>52</v>
      </c>
      <c r="M25" s="28"/>
    </row>
    <row r="26" ht="15.75" customHeight="1">
      <c r="A26" s="30" t="s">
        <v>798</v>
      </c>
      <c r="B26" s="30" t="s">
        <v>785</v>
      </c>
      <c r="C26" s="30" t="s">
        <v>767</v>
      </c>
      <c r="D26" s="30">
        <v>28.51</v>
      </c>
      <c r="E26" s="6" t="s">
        <v>799</v>
      </c>
      <c r="F26" s="30" t="s">
        <v>787</v>
      </c>
      <c r="G26" s="30">
        <v>10.8559992944566</v>
      </c>
      <c r="H26" s="30">
        <v>-6.65933251494112</v>
      </c>
      <c r="I26" s="30" t="s">
        <v>38</v>
      </c>
      <c r="L26" s="51" t="s">
        <v>743</v>
      </c>
      <c r="M26" s="28"/>
    </row>
    <row r="27" ht="15.75" customHeight="1">
      <c r="A27" s="30" t="s">
        <v>800</v>
      </c>
      <c r="B27" s="30" t="s">
        <v>801</v>
      </c>
      <c r="C27" s="30" t="s">
        <v>802</v>
      </c>
      <c r="D27" s="30">
        <v>9.24</v>
      </c>
      <c r="E27" s="6" t="s">
        <v>803</v>
      </c>
      <c r="F27" s="30" t="s">
        <v>804</v>
      </c>
      <c r="G27" s="30">
        <v>31.4786689053737</v>
      </c>
      <c r="H27" s="30">
        <v>107.950214154682</v>
      </c>
      <c r="I27" s="30" t="s">
        <v>52</v>
      </c>
    </row>
    <row r="28" ht="15.75" customHeight="1">
      <c r="A28" s="30" t="s">
        <v>805</v>
      </c>
      <c r="B28" s="30" t="s">
        <v>801</v>
      </c>
      <c r="C28" s="30" t="s">
        <v>802</v>
      </c>
      <c r="D28" s="30">
        <v>8.15</v>
      </c>
      <c r="E28" s="6" t="s">
        <v>806</v>
      </c>
      <c r="F28" s="30" t="s">
        <v>804</v>
      </c>
      <c r="G28" s="30">
        <v>31.4786689053737</v>
      </c>
      <c r="H28" s="30">
        <v>107.950214154682</v>
      </c>
      <c r="I28" s="30" t="s">
        <v>52</v>
      </c>
    </row>
    <row r="29" ht="15.75" customHeight="1">
      <c r="A29" s="30" t="s">
        <v>807</v>
      </c>
      <c r="B29" s="30" t="s">
        <v>801</v>
      </c>
      <c r="C29" s="30" t="s">
        <v>802</v>
      </c>
      <c r="D29" s="30">
        <v>9.82</v>
      </c>
      <c r="E29" s="6" t="s">
        <v>808</v>
      </c>
      <c r="F29" s="30" t="s">
        <v>804</v>
      </c>
      <c r="G29" s="30">
        <v>31.4786689053737</v>
      </c>
      <c r="H29" s="30">
        <v>107.950214154682</v>
      </c>
      <c r="I29" s="30" t="s">
        <v>52</v>
      </c>
    </row>
    <row r="30" ht="15.75" customHeight="1">
      <c r="A30" s="30" t="s">
        <v>809</v>
      </c>
      <c r="B30" s="30" t="s">
        <v>801</v>
      </c>
      <c r="C30" s="30" t="s">
        <v>802</v>
      </c>
      <c r="D30" s="30">
        <v>8.31</v>
      </c>
      <c r="E30" s="6" t="s">
        <v>810</v>
      </c>
      <c r="F30" s="30" t="s">
        <v>804</v>
      </c>
      <c r="G30" s="30">
        <v>31.4786689053737</v>
      </c>
      <c r="H30" s="30">
        <v>107.950214154682</v>
      </c>
      <c r="I30" s="30" t="s">
        <v>52</v>
      </c>
    </row>
    <row r="31" ht="15.75" customHeight="1">
      <c r="A31" s="30" t="s">
        <v>811</v>
      </c>
      <c r="B31" s="30" t="s">
        <v>801</v>
      </c>
      <c r="C31" s="30" t="s">
        <v>802</v>
      </c>
      <c r="D31" s="30">
        <v>9.51</v>
      </c>
      <c r="E31" s="6" t="s">
        <v>812</v>
      </c>
      <c r="F31" s="30" t="s">
        <v>804</v>
      </c>
      <c r="G31" s="30">
        <v>31.4786689053737</v>
      </c>
      <c r="H31" s="30">
        <v>107.950214154682</v>
      </c>
      <c r="I31" s="30" t="s">
        <v>52</v>
      </c>
    </row>
    <row r="32" ht="15.75" customHeight="1">
      <c r="A32" s="30" t="s">
        <v>813</v>
      </c>
      <c r="B32" s="30" t="s">
        <v>814</v>
      </c>
      <c r="C32" s="30" t="s">
        <v>754</v>
      </c>
      <c r="D32" s="30">
        <v>16.14</v>
      </c>
      <c r="E32" s="6" t="s">
        <v>815</v>
      </c>
      <c r="F32" s="30" t="s">
        <v>816</v>
      </c>
      <c r="G32" s="30">
        <v>50.3535010171028</v>
      </c>
      <c r="H32" s="30">
        <v>5.24479407272149</v>
      </c>
      <c r="I32" s="30" t="s">
        <v>38</v>
      </c>
      <c r="M32" s="28"/>
    </row>
    <row r="33" ht="15.75" customHeight="1">
      <c r="A33" s="30" t="s">
        <v>817</v>
      </c>
      <c r="B33" s="30" t="s">
        <v>818</v>
      </c>
      <c r="C33" s="30" t="s">
        <v>754</v>
      </c>
      <c r="D33" s="30">
        <v>14.02</v>
      </c>
      <c r="E33" s="6" t="s">
        <v>819</v>
      </c>
      <c r="F33" s="30" t="s">
        <v>756</v>
      </c>
      <c r="G33" s="30">
        <v>57.6911971008623</v>
      </c>
      <c r="H33" s="30">
        <v>-5.34731640022341</v>
      </c>
      <c r="I33" s="30" t="s">
        <v>38</v>
      </c>
    </row>
    <row r="34" ht="15.75" customHeight="1">
      <c r="A34" s="30" t="s">
        <v>820</v>
      </c>
      <c r="B34" s="30" t="s">
        <v>818</v>
      </c>
      <c r="C34" s="30" t="s">
        <v>754</v>
      </c>
      <c r="D34" s="30">
        <v>13.05</v>
      </c>
      <c r="E34" s="6" t="s">
        <v>821</v>
      </c>
      <c r="F34" s="30" t="s">
        <v>756</v>
      </c>
      <c r="G34" s="30">
        <v>57.6911971008623</v>
      </c>
      <c r="H34" s="30">
        <v>-5.34731640022341</v>
      </c>
      <c r="I34" s="30" t="s">
        <v>38</v>
      </c>
    </row>
    <row r="35" ht="15.75" customHeight="1">
      <c r="A35" s="30" t="s">
        <v>822</v>
      </c>
      <c r="B35" s="30" t="s">
        <v>823</v>
      </c>
      <c r="C35" s="30" t="s">
        <v>731</v>
      </c>
      <c r="D35" s="30">
        <v>14.0</v>
      </c>
      <c r="E35" s="6" t="s">
        <v>824</v>
      </c>
      <c r="F35" s="30" t="s">
        <v>825</v>
      </c>
      <c r="G35" s="30">
        <v>19.0493474059824</v>
      </c>
      <c r="H35" s="30">
        <v>72.865904178108</v>
      </c>
      <c r="I35" s="30" t="s">
        <v>38</v>
      </c>
    </row>
    <row r="36" ht="15.75" customHeight="1">
      <c r="A36" s="30" t="s">
        <v>826</v>
      </c>
      <c r="B36" s="30" t="s">
        <v>827</v>
      </c>
      <c r="C36" s="30" t="s">
        <v>754</v>
      </c>
      <c r="D36" s="30">
        <v>6.21</v>
      </c>
      <c r="E36" s="6" t="s">
        <v>828</v>
      </c>
      <c r="F36" s="30" t="s">
        <v>829</v>
      </c>
      <c r="G36" s="30">
        <v>43.3645624127523</v>
      </c>
      <c r="H36" s="30">
        <v>-0.288352197299173</v>
      </c>
      <c r="I36" s="30" t="s">
        <v>52</v>
      </c>
    </row>
    <row r="37" ht="15.75" customHeight="1">
      <c r="A37" s="30" t="s">
        <v>830</v>
      </c>
      <c r="B37" s="30" t="s">
        <v>831</v>
      </c>
      <c r="C37" s="30" t="s">
        <v>802</v>
      </c>
      <c r="D37" s="30">
        <v>7.92</v>
      </c>
      <c r="E37" s="6" t="s">
        <v>832</v>
      </c>
      <c r="F37" s="30" t="s">
        <v>804</v>
      </c>
      <c r="G37" s="30">
        <v>37.3981514826296</v>
      </c>
      <c r="H37" s="30">
        <v>118.043502354535</v>
      </c>
      <c r="I37" s="30" t="s">
        <v>38</v>
      </c>
    </row>
    <row r="38" ht="15.75" customHeight="1">
      <c r="A38" s="30" t="s">
        <v>833</v>
      </c>
      <c r="B38" s="30" t="s">
        <v>831</v>
      </c>
      <c r="C38" s="30" t="s">
        <v>802</v>
      </c>
      <c r="D38" s="30">
        <v>8.78</v>
      </c>
      <c r="E38" s="6" t="s">
        <v>834</v>
      </c>
      <c r="F38" s="30" t="s">
        <v>804</v>
      </c>
      <c r="G38" s="30">
        <v>37.3981514826296</v>
      </c>
      <c r="H38" s="30">
        <v>118.043502354535</v>
      </c>
      <c r="I38" s="30" t="s">
        <v>52</v>
      </c>
    </row>
    <row r="39" ht="15.75" customHeight="1">
      <c r="A39" s="30" t="s">
        <v>835</v>
      </c>
      <c r="B39" s="30" t="s">
        <v>831</v>
      </c>
      <c r="C39" s="30" t="s">
        <v>802</v>
      </c>
      <c r="D39" s="30">
        <v>9.09</v>
      </c>
      <c r="E39" s="6" t="s">
        <v>836</v>
      </c>
      <c r="F39" s="30" t="s">
        <v>804</v>
      </c>
      <c r="G39" s="30">
        <v>37.3981514826296</v>
      </c>
      <c r="H39" s="30">
        <v>118.043502354535</v>
      </c>
      <c r="I39" s="30" t="s">
        <v>52</v>
      </c>
    </row>
    <row r="40" ht="15.75" customHeight="1">
      <c r="A40" s="30" t="s">
        <v>837</v>
      </c>
      <c r="B40" s="30" t="s">
        <v>831</v>
      </c>
      <c r="C40" s="30" t="s">
        <v>802</v>
      </c>
      <c r="D40" s="30">
        <v>7.56</v>
      </c>
      <c r="E40" s="6" t="s">
        <v>838</v>
      </c>
      <c r="F40" s="30" t="s">
        <v>804</v>
      </c>
      <c r="G40" s="30">
        <v>37.3981514826296</v>
      </c>
      <c r="H40" s="30">
        <v>118.043502354535</v>
      </c>
      <c r="I40" s="30" t="s">
        <v>52</v>
      </c>
    </row>
    <row r="41" ht="15.75" customHeight="1">
      <c r="A41" s="30" t="s">
        <v>839</v>
      </c>
      <c r="B41" s="30" t="s">
        <v>831</v>
      </c>
      <c r="C41" s="30" t="s">
        <v>802</v>
      </c>
      <c r="D41" s="30">
        <v>7.95</v>
      </c>
      <c r="E41" s="6" t="s">
        <v>840</v>
      </c>
      <c r="F41" s="30" t="s">
        <v>804</v>
      </c>
      <c r="G41" s="30">
        <v>37.3981514826296</v>
      </c>
      <c r="H41" s="30">
        <v>118.043502354535</v>
      </c>
      <c r="I41" s="30" t="s">
        <v>52</v>
      </c>
    </row>
    <row r="42" ht="15.75" customHeight="1">
      <c r="A42" s="30" t="s">
        <v>841</v>
      </c>
      <c r="B42" s="30" t="s">
        <v>842</v>
      </c>
      <c r="C42" s="30" t="s">
        <v>843</v>
      </c>
      <c r="D42" s="30">
        <v>7.71</v>
      </c>
      <c r="E42" s="6" t="s">
        <v>844</v>
      </c>
      <c r="F42" s="30" t="s">
        <v>845</v>
      </c>
      <c r="G42" s="30">
        <v>4.71150825318933</v>
      </c>
      <c r="H42" s="30">
        <v>38.9901324105594</v>
      </c>
      <c r="I42" s="30" t="s">
        <v>38</v>
      </c>
      <c r="M42" s="28"/>
    </row>
    <row r="43" ht="15.75" customHeight="1">
      <c r="A43" s="30" t="s">
        <v>846</v>
      </c>
      <c r="B43" s="30" t="s">
        <v>842</v>
      </c>
      <c r="C43" s="30" t="s">
        <v>843</v>
      </c>
      <c r="D43" s="30">
        <v>7.48</v>
      </c>
      <c r="E43" s="6" t="s">
        <v>847</v>
      </c>
      <c r="F43" s="30" t="s">
        <v>845</v>
      </c>
      <c r="G43" s="30">
        <v>4.71150825318933</v>
      </c>
      <c r="H43" s="30">
        <v>38.9901324105594</v>
      </c>
      <c r="I43" s="30" t="s">
        <v>38</v>
      </c>
      <c r="M43" s="28"/>
    </row>
    <row r="44" ht="15.75" customHeight="1">
      <c r="A44" s="30" t="s">
        <v>848</v>
      </c>
      <c r="B44" s="30" t="s">
        <v>842</v>
      </c>
      <c r="C44" s="30" t="s">
        <v>843</v>
      </c>
      <c r="D44" s="30">
        <v>7.79</v>
      </c>
      <c r="E44" s="6" t="s">
        <v>849</v>
      </c>
      <c r="F44" s="30" t="s">
        <v>845</v>
      </c>
      <c r="G44" s="30">
        <v>4.71150825318933</v>
      </c>
      <c r="H44" s="30">
        <v>38.9901324105594</v>
      </c>
      <c r="I44" s="30" t="s">
        <v>38</v>
      </c>
      <c r="M44" s="28"/>
    </row>
    <row r="45" ht="15.75" customHeight="1">
      <c r="A45" s="30" t="s">
        <v>850</v>
      </c>
      <c r="B45" s="30" t="s">
        <v>842</v>
      </c>
      <c r="C45" s="30" t="s">
        <v>843</v>
      </c>
      <c r="D45" s="30">
        <v>8.19</v>
      </c>
      <c r="E45" s="6" t="s">
        <v>851</v>
      </c>
      <c r="F45" s="30" t="s">
        <v>845</v>
      </c>
      <c r="G45" s="30">
        <v>4.71150825318933</v>
      </c>
      <c r="H45" s="30">
        <v>38.9901324105594</v>
      </c>
      <c r="I45" s="30" t="s">
        <v>38</v>
      </c>
      <c r="M45" s="28"/>
    </row>
    <row r="46" ht="15.75" customHeight="1">
      <c r="A46" s="30" t="s">
        <v>852</v>
      </c>
      <c r="B46" s="30" t="s">
        <v>853</v>
      </c>
      <c r="C46" s="30" t="s">
        <v>854</v>
      </c>
      <c r="D46" s="30">
        <v>8.09</v>
      </c>
      <c r="E46" s="6" t="s">
        <v>855</v>
      </c>
      <c r="F46" s="30" t="s">
        <v>856</v>
      </c>
      <c r="G46" s="30">
        <v>45.1516512684368</v>
      </c>
      <c r="H46" s="30">
        <v>13.9733838663189</v>
      </c>
      <c r="I46" s="30" t="s">
        <v>52</v>
      </c>
      <c r="M46" s="28"/>
    </row>
    <row r="47" ht="15.75" customHeight="1">
      <c r="A47" s="30" t="s">
        <v>857</v>
      </c>
      <c r="B47" s="30" t="s">
        <v>858</v>
      </c>
      <c r="C47" s="30" t="s">
        <v>731</v>
      </c>
      <c r="D47" s="30">
        <v>14.44</v>
      </c>
      <c r="E47" s="6" t="s">
        <v>859</v>
      </c>
      <c r="F47" s="30" t="s">
        <v>860</v>
      </c>
      <c r="G47" s="30" t="s">
        <v>861</v>
      </c>
      <c r="H47" s="30" t="s">
        <v>861</v>
      </c>
      <c r="I47" s="30" t="s">
        <v>52</v>
      </c>
    </row>
    <row r="48" ht="15.75" customHeight="1">
      <c r="A48" s="30" t="s">
        <v>862</v>
      </c>
      <c r="B48" s="30" t="s">
        <v>858</v>
      </c>
      <c r="C48" s="30" t="s">
        <v>731</v>
      </c>
      <c r="D48" s="30">
        <v>14.48</v>
      </c>
      <c r="E48" s="6" t="s">
        <v>863</v>
      </c>
      <c r="F48" s="30" t="s">
        <v>860</v>
      </c>
      <c r="G48" s="30" t="s">
        <v>861</v>
      </c>
      <c r="H48" s="30" t="s">
        <v>861</v>
      </c>
      <c r="I48" s="30" t="s">
        <v>52</v>
      </c>
    </row>
    <row r="49" ht="15.75" customHeight="1">
      <c r="A49" s="30" t="s">
        <v>864</v>
      </c>
      <c r="B49" s="30" t="s">
        <v>858</v>
      </c>
      <c r="C49" s="30" t="s">
        <v>731</v>
      </c>
      <c r="D49" s="30">
        <v>16.1</v>
      </c>
      <c r="E49" s="6" t="s">
        <v>865</v>
      </c>
      <c r="F49" s="30" t="s">
        <v>860</v>
      </c>
      <c r="G49" s="30" t="s">
        <v>861</v>
      </c>
      <c r="H49" s="30" t="s">
        <v>861</v>
      </c>
      <c r="I49" s="30" t="s">
        <v>52</v>
      </c>
    </row>
    <row r="50" ht="15.75" customHeight="1">
      <c r="A50" s="30" t="s">
        <v>866</v>
      </c>
      <c r="B50" s="30" t="s">
        <v>867</v>
      </c>
      <c r="C50" s="30" t="s">
        <v>754</v>
      </c>
      <c r="D50" s="30">
        <v>13.74</v>
      </c>
      <c r="E50" s="6" t="s">
        <v>868</v>
      </c>
      <c r="F50" s="30" t="s">
        <v>869</v>
      </c>
      <c r="G50" s="30">
        <v>44.9070692855478</v>
      </c>
      <c r="H50" s="30">
        <v>6.27334100240206</v>
      </c>
      <c r="I50" s="30" t="s">
        <v>38</v>
      </c>
    </row>
    <row r="51" ht="15.75" customHeight="1">
      <c r="A51" s="30" t="s">
        <v>870</v>
      </c>
      <c r="B51" s="30" t="s">
        <v>867</v>
      </c>
      <c r="C51" s="30" t="s">
        <v>754</v>
      </c>
      <c r="D51" s="30">
        <v>14.68</v>
      </c>
      <c r="E51" s="6" t="s">
        <v>871</v>
      </c>
      <c r="F51" s="30" t="s">
        <v>869</v>
      </c>
      <c r="G51" s="30">
        <v>44.9070692855478</v>
      </c>
      <c r="H51" s="30">
        <v>6.27334100240206</v>
      </c>
      <c r="I51" s="30" t="s">
        <v>38</v>
      </c>
    </row>
    <row r="52" ht="15.75" customHeight="1">
      <c r="A52" s="30" t="s">
        <v>872</v>
      </c>
      <c r="B52" s="30" t="s">
        <v>867</v>
      </c>
      <c r="C52" s="30" t="s">
        <v>754</v>
      </c>
      <c r="D52" s="30">
        <v>24.41</v>
      </c>
      <c r="E52" s="6" t="s">
        <v>873</v>
      </c>
      <c r="F52" s="30" t="s">
        <v>869</v>
      </c>
      <c r="G52" s="30">
        <v>44.9070692855478</v>
      </c>
      <c r="H52" s="30">
        <v>6.27334100240206</v>
      </c>
      <c r="I52" s="30" t="s">
        <v>38</v>
      </c>
    </row>
    <row r="53" ht="15.75" customHeight="1">
      <c r="A53" s="30" t="s">
        <v>874</v>
      </c>
      <c r="B53" s="30" t="s">
        <v>867</v>
      </c>
      <c r="C53" s="30" t="s">
        <v>754</v>
      </c>
      <c r="D53" s="30">
        <v>15.22</v>
      </c>
      <c r="E53" s="6" t="s">
        <v>875</v>
      </c>
      <c r="F53" s="30" t="s">
        <v>869</v>
      </c>
      <c r="G53" s="30">
        <v>44.9070692855478</v>
      </c>
      <c r="H53" s="30">
        <v>6.27334100240206</v>
      </c>
      <c r="I53" s="30" t="s">
        <v>38</v>
      </c>
    </row>
    <row r="54" ht="15.75" customHeight="1">
      <c r="A54" s="30" t="s">
        <v>876</v>
      </c>
      <c r="B54" s="30" t="s">
        <v>867</v>
      </c>
      <c r="C54" s="30" t="s">
        <v>754</v>
      </c>
      <c r="D54" s="30">
        <v>14.4</v>
      </c>
      <c r="E54" s="6" t="s">
        <v>877</v>
      </c>
      <c r="F54" s="30" t="s">
        <v>869</v>
      </c>
      <c r="G54" s="30">
        <v>44.9070692855478</v>
      </c>
      <c r="H54" s="30">
        <v>6.27334100240206</v>
      </c>
      <c r="I54" s="30" t="s">
        <v>52</v>
      </c>
    </row>
    <row r="55" ht="15.75" customHeight="1">
      <c r="A55" s="30" t="s">
        <v>878</v>
      </c>
      <c r="B55" s="30" t="s">
        <v>879</v>
      </c>
      <c r="C55" s="30" t="s">
        <v>854</v>
      </c>
      <c r="D55" s="30">
        <v>2.93</v>
      </c>
      <c r="E55" s="52" t="s">
        <v>880</v>
      </c>
      <c r="F55" s="30" t="s">
        <v>881</v>
      </c>
      <c r="G55" s="30">
        <v>41.6159565399426</v>
      </c>
      <c r="H55" s="30">
        <v>19.8909220940066</v>
      </c>
      <c r="I55" s="30" t="s">
        <v>38</v>
      </c>
      <c r="M55" s="28"/>
    </row>
    <row r="56" ht="15.75" customHeight="1">
      <c r="A56" s="30" t="s">
        <v>882</v>
      </c>
      <c r="B56" s="30" t="s">
        <v>879</v>
      </c>
      <c r="C56" s="30" t="s">
        <v>854</v>
      </c>
      <c r="D56" s="30">
        <v>2.17</v>
      </c>
      <c r="E56" s="52" t="s">
        <v>883</v>
      </c>
      <c r="F56" s="30" t="s">
        <v>881</v>
      </c>
      <c r="G56" s="30">
        <v>41.6159565399426</v>
      </c>
      <c r="H56" s="30">
        <v>19.8909220940066</v>
      </c>
      <c r="I56" s="30" t="s">
        <v>38</v>
      </c>
      <c r="M56" s="28"/>
    </row>
    <row r="57" ht="15.75" customHeight="1">
      <c r="A57" s="30" t="s">
        <v>884</v>
      </c>
      <c r="B57" s="30" t="s">
        <v>885</v>
      </c>
      <c r="C57" s="30" t="s">
        <v>886</v>
      </c>
      <c r="D57" s="30">
        <v>8.77</v>
      </c>
      <c r="E57" s="6" t="s">
        <v>887</v>
      </c>
      <c r="F57" s="30" t="s">
        <v>888</v>
      </c>
      <c r="G57" s="30">
        <v>36.8106175966666</v>
      </c>
      <c r="H57" s="30">
        <v>94.1231622286649</v>
      </c>
      <c r="I57" s="30" t="s">
        <v>38</v>
      </c>
    </row>
    <row r="58" ht="15.75" customHeight="1">
      <c r="A58" s="30" t="s">
        <v>889</v>
      </c>
      <c r="B58" s="30" t="s">
        <v>885</v>
      </c>
      <c r="C58" s="30" t="s">
        <v>886</v>
      </c>
      <c r="D58" s="30">
        <v>10.67</v>
      </c>
      <c r="E58" s="6" t="s">
        <v>890</v>
      </c>
      <c r="F58" s="30" t="s">
        <v>888</v>
      </c>
      <c r="G58" s="30">
        <v>36.8106175966666</v>
      </c>
      <c r="H58" s="30">
        <v>94.1231622286649</v>
      </c>
      <c r="I58" s="30" t="s">
        <v>52</v>
      </c>
    </row>
    <row r="59" ht="15.75" customHeight="1">
      <c r="A59" s="30" t="s">
        <v>891</v>
      </c>
      <c r="B59" s="30" t="s">
        <v>892</v>
      </c>
      <c r="C59" s="30" t="s">
        <v>754</v>
      </c>
      <c r="D59" s="30">
        <v>8.84</v>
      </c>
      <c r="E59" s="6" t="s">
        <v>893</v>
      </c>
      <c r="F59" s="30" t="s">
        <v>829</v>
      </c>
      <c r="G59" s="30">
        <v>47.3161658959427</v>
      </c>
      <c r="H59" s="30">
        <v>3.31673827113353</v>
      </c>
      <c r="I59" s="30" t="s">
        <v>52</v>
      </c>
      <c r="M59" s="28"/>
    </row>
    <row r="60" ht="15.75" customHeight="1">
      <c r="A60" s="30" t="s">
        <v>894</v>
      </c>
      <c r="B60" s="30" t="s">
        <v>892</v>
      </c>
      <c r="C60" s="30" t="s">
        <v>754</v>
      </c>
      <c r="D60" s="30">
        <v>8.8</v>
      </c>
      <c r="E60" s="6" t="s">
        <v>895</v>
      </c>
      <c r="F60" s="30" t="s">
        <v>829</v>
      </c>
      <c r="G60" s="30">
        <v>47.3161658959427</v>
      </c>
      <c r="H60" s="30">
        <v>3.31673827113353</v>
      </c>
      <c r="I60" s="30" t="s">
        <v>52</v>
      </c>
      <c r="M60" s="28"/>
    </row>
    <row r="61" ht="15.75" customHeight="1">
      <c r="A61" s="30" t="s">
        <v>896</v>
      </c>
      <c r="B61" s="30" t="s">
        <v>892</v>
      </c>
      <c r="C61" s="30" t="s">
        <v>754</v>
      </c>
      <c r="D61" s="30">
        <v>9.41</v>
      </c>
      <c r="E61" s="6" t="s">
        <v>897</v>
      </c>
      <c r="F61" s="30" t="s">
        <v>829</v>
      </c>
      <c r="G61" s="30">
        <v>47.3161658959427</v>
      </c>
      <c r="H61" s="30">
        <v>3.31673827113353</v>
      </c>
      <c r="I61" s="30" t="s">
        <v>52</v>
      </c>
      <c r="M61" s="28"/>
    </row>
    <row r="62" ht="15.75" customHeight="1">
      <c r="A62" s="30" t="s">
        <v>898</v>
      </c>
      <c r="B62" s="30" t="s">
        <v>892</v>
      </c>
      <c r="C62" s="30" t="s">
        <v>754</v>
      </c>
      <c r="D62" s="30">
        <v>8.73</v>
      </c>
      <c r="E62" s="6" t="s">
        <v>899</v>
      </c>
      <c r="F62" s="30" t="s">
        <v>829</v>
      </c>
      <c r="G62" s="30">
        <v>47.3161658959427</v>
      </c>
      <c r="H62" s="30">
        <v>3.31673827113353</v>
      </c>
      <c r="I62" s="30" t="s">
        <v>52</v>
      </c>
      <c r="M62" s="28"/>
    </row>
    <row r="63" ht="15.75" customHeight="1">
      <c r="A63" s="30" t="s">
        <v>900</v>
      </c>
      <c r="B63" s="30" t="s">
        <v>892</v>
      </c>
      <c r="C63" s="30" t="s">
        <v>754</v>
      </c>
      <c r="D63" s="30">
        <v>8.55</v>
      </c>
      <c r="E63" s="6" t="s">
        <v>901</v>
      </c>
      <c r="F63" s="30" t="s">
        <v>829</v>
      </c>
      <c r="G63" s="30">
        <v>47.3161658959427</v>
      </c>
      <c r="H63" s="30">
        <v>3.31673827113353</v>
      </c>
      <c r="I63" s="30" t="s">
        <v>52</v>
      </c>
      <c r="M63" s="28"/>
    </row>
    <row r="64" ht="15.75" customHeight="1">
      <c r="A64" s="30" t="s">
        <v>902</v>
      </c>
      <c r="B64" s="30" t="s">
        <v>892</v>
      </c>
      <c r="C64" s="30" t="s">
        <v>754</v>
      </c>
      <c r="D64" s="30">
        <v>14.1</v>
      </c>
      <c r="E64" s="6" t="s">
        <v>903</v>
      </c>
      <c r="F64" s="30" t="s">
        <v>829</v>
      </c>
      <c r="G64" s="30">
        <v>47.3161658959427</v>
      </c>
      <c r="H64" s="30">
        <v>3.31673827113353</v>
      </c>
      <c r="I64" s="30" t="s">
        <v>52</v>
      </c>
      <c r="M64" s="28"/>
    </row>
    <row r="65" ht="15.75" customHeight="1">
      <c r="A65" s="30" t="s">
        <v>904</v>
      </c>
      <c r="B65" s="30" t="s">
        <v>905</v>
      </c>
      <c r="C65" s="30" t="s">
        <v>854</v>
      </c>
      <c r="D65" s="30">
        <v>11.29</v>
      </c>
      <c r="E65" s="6" t="s">
        <v>906</v>
      </c>
      <c r="F65" s="30" t="s">
        <v>140</v>
      </c>
      <c r="G65" s="30">
        <v>43.7359345442282</v>
      </c>
      <c r="H65" s="30">
        <v>10.8583297471844</v>
      </c>
      <c r="I65" s="30" t="s">
        <v>52</v>
      </c>
      <c r="M65" s="28"/>
    </row>
    <row r="66" ht="15.75" customHeight="1">
      <c r="A66" s="30" t="s">
        <v>907</v>
      </c>
      <c r="B66" s="30" t="s">
        <v>908</v>
      </c>
      <c r="C66" s="30" t="s">
        <v>731</v>
      </c>
      <c r="D66" s="30">
        <v>14.13</v>
      </c>
      <c r="E66" s="6" t="s">
        <v>909</v>
      </c>
      <c r="F66" s="30" t="s">
        <v>825</v>
      </c>
      <c r="G66" s="30">
        <v>28.3014111466467</v>
      </c>
      <c r="H66" s="30">
        <v>71.2494385916271</v>
      </c>
      <c r="I66" s="30" t="s">
        <v>52</v>
      </c>
    </row>
    <row r="67" ht="15.75" customHeight="1">
      <c r="A67" s="30" t="s">
        <v>910</v>
      </c>
      <c r="B67" s="53" t="s">
        <v>911</v>
      </c>
      <c r="C67" s="30" t="s">
        <v>802</v>
      </c>
      <c r="D67" s="30">
        <v>11.28</v>
      </c>
      <c r="E67" s="6" t="s">
        <v>912</v>
      </c>
      <c r="F67" s="30" t="s">
        <v>913</v>
      </c>
      <c r="G67" s="30">
        <v>34.2770165645075</v>
      </c>
      <c r="H67" s="30">
        <v>108.438948614314</v>
      </c>
      <c r="I67" s="30" t="s">
        <v>52</v>
      </c>
    </row>
    <row r="68" ht="15.75" customHeight="1">
      <c r="A68" s="30" t="s">
        <v>914</v>
      </c>
      <c r="B68" s="51" t="s">
        <v>911</v>
      </c>
      <c r="C68" s="30" t="s">
        <v>802</v>
      </c>
      <c r="D68" s="30">
        <v>8.66</v>
      </c>
      <c r="E68" s="6" t="s">
        <v>915</v>
      </c>
      <c r="F68" s="30" t="s">
        <v>913</v>
      </c>
      <c r="G68" s="30">
        <v>34.2770165645075</v>
      </c>
      <c r="H68" s="30">
        <v>108.438948614314</v>
      </c>
      <c r="I68" s="30" t="s">
        <v>52</v>
      </c>
    </row>
    <row r="69" ht="15.75" customHeight="1">
      <c r="A69" s="30" t="s">
        <v>916</v>
      </c>
      <c r="B69" s="30" t="s">
        <v>917</v>
      </c>
      <c r="C69" s="30" t="s">
        <v>754</v>
      </c>
      <c r="D69" s="30">
        <v>7.47</v>
      </c>
      <c r="E69" s="6" t="s">
        <v>918</v>
      </c>
      <c r="F69" s="30" t="s">
        <v>240</v>
      </c>
      <c r="G69" s="30">
        <v>43.7359345442282</v>
      </c>
      <c r="H69" s="30">
        <v>10.8583297471844</v>
      </c>
      <c r="I69" s="30" t="s">
        <v>38</v>
      </c>
    </row>
    <row r="70" ht="15.75" customHeight="1">
      <c r="A70" s="30" t="s">
        <v>919</v>
      </c>
      <c r="B70" s="30" t="s">
        <v>920</v>
      </c>
      <c r="C70" s="30" t="s">
        <v>754</v>
      </c>
      <c r="D70" s="30">
        <v>14.32</v>
      </c>
      <c r="E70" s="6" t="s">
        <v>921</v>
      </c>
      <c r="F70" s="30" t="s">
        <v>922</v>
      </c>
      <c r="G70" s="30">
        <v>53.1521166481499</v>
      </c>
      <c r="H70" s="30">
        <v>-7.77922789400989</v>
      </c>
      <c r="I70" s="30" t="s">
        <v>52</v>
      </c>
    </row>
    <row r="71" ht="15.75" customHeight="1">
      <c r="A71" s="30" t="s">
        <v>923</v>
      </c>
      <c r="B71" s="30" t="s">
        <v>920</v>
      </c>
      <c r="C71" s="30" t="s">
        <v>754</v>
      </c>
      <c r="D71" s="30">
        <v>12.5</v>
      </c>
      <c r="E71" s="6" t="s">
        <v>924</v>
      </c>
      <c r="F71" s="30" t="s">
        <v>922</v>
      </c>
      <c r="G71" s="30">
        <v>53.1521166481499</v>
      </c>
      <c r="H71" s="30">
        <v>-7.77922789400989</v>
      </c>
      <c r="I71" s="30" t="s">
        <v>38</v>
      </c>
    </row>
    <row r="72" ht="15.75" customHeight="1">
      <c r="A72" s="30" t="s">
        <v>925</v>
      </c>
      <c r="B72" s="30" t="s">
        <v>926</v>
      </c>
      <c r="C72" s="30" t="s">
        <v>731</v>
      </c>
      <c r="D72" s="30">
        <v>17.01</v>
      </c>
      <c r="E72" s="6" t="s">
        <v>927</v>
      </c>
      <c r="F72" s="30" t="s">
        <v>825</v>
      </c>
      <c r="G72" s="30">
        <v>33.7738057764691</v>
      </c>
      <c r="H72" s="30">
        <v>71.2874583174152</v>
      </c>
      <c r="I72" s="30" t="s">
        <v>52</v>
      </c>
    </row>
    <row r="73" ht="15.75" customHeight="1">
      <c r="A73" s="49" t="s">
        <v>928</v>
      </c>
      <c r="B73" s="50" t="s">
        <v>929</v>
      </c>
      <c r="C73" s="49" t="s">
        <v>736</v>
      </c>
      <c r="D73" s="49">
        <v>6.2</v>
      </c>
      <c r="E73" s="6" t="s">
        <v>930</v>
      </c>
      <c r="F73" s="49"/>
      <c r="G73" s="49"/>
      <c r="H73" s="49"/>
      <c r="I73" s="49" t="s">
        <v>38</v>
      </c>
      <c r="M73" s="48"/>
    </row>
    <row r="74" ht="15.75" customHeight="1">
      <c r="A74" s="49" t="s">
        <v>931</v>
      </c>
      <c r="B74" s="50" t="s">
        <v>929</v>
      </c>
      <c r="C74" s="49" t="s">
        <v>736</v>
      </c>
      <c r="D74" s="49">
        <v>6.14</v>
      </c>
      <c r="E74" s="6" t="s">
        <v>932</v>
      </c>
      <c r="F74" s="49"/>
      <c r="G74" s="49"/>
      <c r="H74" s="49"/>
      <c r="I74" s="49" t="s">
        <v>38</v>
      </c>
      <c r="M74" s="48"/>
    </row>
    <row r="75" ht="15.75" customHeight="1">
      <c r="A75" s="49" t="s">
        <v>933</v>
      </c>
      <c r="B75" s="50" t="s">
        <v>929</v>
      </c>
      <c r="C75" s="49" t="s">
        <v>736</v>
      </c>
      <c r="D75" s="49">
        <v>5.57</v>
      </c>
      <c r="E75" s="6" t="s">
        <v>934</v>
      </c>
      <c r="F75" s="49"/>
      <c r="G75" s="49"/>
      <c r="H75" s="49"/>
      <c r="I75" s="49" t="s">
        <v>52</v>
      </c>
      <c r="M75" s="48"/>
    </row>
    <row r="76" ht="15.75" customHeight="1">
      <c r="A76" s="49" t="s">
        <v>935</v>
      </c>
      <c r="B76" s="50" t="s">
        <v>929</v>
      </c>
      <c r="C76" s="49" t="s">
        <v>736</v>
      </c>
      <c r="D76" s="49">
        <v>5.38</v>
      </c>
      <c r="E76" s="6" t="s">
        <v>936</v>
      </c>
      <c r="F76" s="49"/>
      <c r="G76" s="49"/>
      <c r="H76" s="49"/>
      <c r="I76" s="49" t="s">
        <v>52</v>
      </c>
      <c r="M76" s="48"/>
    </row>
    <row r="77" ht="15.75" customHeight="1">
      <c r="A77" s="49" t="s">
        <v>937</v>
      </c>
      <c r="B77" s="50" t="s">
        <v>929</v>
      </c>
      <c r="C77" s="49" t="s">
        <v>736</v>
      </c>
      <c r="D77" s="49">
        <v>5.69</v>
      </c>
      <c r="E77" s="6" t="s">
        <v>938</v>
      </c>
      <c r="F77" s="49"/>
      <c r="G77" s="49"/>
      <c r="H77" s="49"/>
      <c r="I77" s="49" t="s">
        <v>52</v>
      </c>
      <c r="M77" s="48"/>
    </row>
    <row r="78" ht="15.75" customHeight="1">
      <c r="A78" s="49" t="s">
        <v>939</v>
      </c>
      <c r="B78" s="50" t="s">
        <v>929</v>
      </c>
      <c r="C78" s="49" t="s">
        <v>736</v>
      </c>
      <c r="D78" s="49">
        <v>16.69</v>
      </c>
      <c r="E78" s="6" t="s">
        <v>940</v>
      </c>
      <c r="F78" s="49"/>
      <c r="G78" s="49"/>
      <c r="H78" s="49"/>
      <c r="I78" s="49" t="s">
        <v>38</v>
      </c>
      <c r="M78" s="48"/>
    </row>
    <row r="79" ht="15.75" customHeight="1">
      <c r="A79" s="30" t="s">
        <v>941</v>
      </c>
      <c r="B79" s="30" t="s">
        <v>942</v>
      </c>
      <c r="C79" s="30" t="s">
        <v>754</v>
      </c>
      <c r="D79" s="30">
        <v>17.11</v>
      </c>
      <c r="E79" s="6" t="s">
        <v>943</v>
      </c>
      <c r="F79" s="30" t="s">
        <v>869</v>
      </c>
      <c r="G79" s="30">
        <v>46.1353525820287</v>
      </c>
      <c r="H79" s="30">
        <v>7.47272842062011</v>
      </c>
      <c r="I79" s="30" t="s">
        <v>38</v>
      </c>
    </row>
    <row r="80" ht="15.75" customHeight="1">
      <c r="A80" s="30" t="s">
        <v>944</v>
      </c>
      <c r="B80" s="30" t="s">
        <v>945</v>
      </c>
      <c r="C80" s="30" t="s">
        <v>754</v>
      </c>
      <c r="D80" s="30">
        <v>9.54</v>
      </c>
      <c r="E80" s="6" t="s">
        <v>946</v>
      </c>
      <c r="F80" s="30" t="s">
        <v>947</v>
      </c>
      <c r="G80" s="30">
        <v>61.2234298282629</v>
      </c>
      <c r="H80" s="30">
        <v>24.1032870942401</v>
      </c>
      <c r="I80" s="30" t="s">
        <v>38</v>
      </c>
      <c r="L80" s="51" t="s">
        <v>743</v>
      </c>
    </row>
    <row r="81" ht="15.75" customHeight="1">
      <c r="A81" s="30" t="s">
        <v>948</v>
      </c>
      <c r="B81" s="30" t="s">
        <v>945</v>
      </c>
      <c r="C81" s="30" t="s">
        <v>754</v>
      </c>
      <c r="D81" s="30">
        <v>9.39</v>
      </c>
      <c r="E81" s="6" t="s">
        <v>949</v>
      </c>
      <c r="F81" s="30" t="s">
        <v>947</v>
      </c>
      <c r="G81" s="30">
        <v>61.2234298282629</v>
      </c>
      <c r="H81" s="30">
        <v>24.1032870942401</v>
      </c>
      <c r="I81" s="30" t="s">
        <v>38</v>
      </c>
    </row>
    <row r="82" ht="15.75" customHeight="1">
      <c r="A82" s="30" t="s">
        <v>950</v>
      </c>
      <c r="B82" s="30" t="s">
        <v>945</v>
      </c>
      <c r="C82" s="30" t="s">
        <v>754</v>
      </c>
      <c r="D82" s="30">
        <v>9.15</v>
      </c>
      <c r="E82" s="6" t="s">
        <v>951</v>
      </c>
      <c r="F82" s="30" t="s">
        <v>947</v>
      </c>
      <c r="G82" s="30">
        <v>61.2234298282629</v>
      </c>
      <c r="H82" s="30">
        <v>24.1032870942401</v>
      </c>
      <c r="I82" s="30" t="s">
        <v>38</v>
      </c>
    </row>
    <row r="83" ht="15.75" customHeight="1">
      <c r="A83" s="30" t="s">
        <v>952</v>
      </c>
      <c r="B83" s="30" t="s">
        <v>945</v>
      </c>
      <c r="C83" s="30" t="s">
        <v>754</v>
      </c>
      <c r="D83" s="30">
        <v>9.59</v>
      </c>
      <c r="E83" s="6" t="s">
        <v>953</v>
      </c>
      <c r="F83" s="30" t="s">
        <v>947</v>
      </c>
      <c r="G83" s="30">
        <v>61.2234298282629</v>
      </c>
      <c r="H83" s="30">
        <v>24.1032870942401</v>
      </c>
      <c r="I83" s="30" t="s">
        <v>38</v>
      </c>
    </row>
    <row r="84" ht="15.75" customHeight="1">
      <c r="A84" s="30" t="s">
        <v>954</v>
      </c>
      <c r="B84" s="30" t="s">
        <v>945</v>
      </c>
      <c r="C84" s="30" t="s">
        <v>754</v>
      </c>
      <c r="D84" s="30">
        <v>9.34</v>
      </c>
      <c r="E84" s="6" t="s">
        <v>955</v>
      </c>
      <c r="F84" s="30" t="s">
        <v>947</v>
      </c>
      <c r="G84" s="30">
        <v>61.2234298282629</v>
      </c>
      <c r="H84" s="30">
        <v>24.1032870942401</v>
      </c>
      <c r="I84" s="30" t="s">
        <v>38</v>
      </c>
    </row>
    <row r="85" ht="15.75" customHeight="1">
      <c r="A85" s="30" t="s">
        <v>956</v>
      </c>
      <c r="B85" s="30" t="s">
        <v>945</v>
      </c>
      <c r="C85" s="30" t="s">
        <v>754</v>
      </c>
      <c r="D85" s="30">
        <v>7.18</v>
      </c>
      <c r="E85" s="6" t="s">
        <v>957</v>
      </c>
      <c r="F85" s="30" t="s">
        <v>947</v>
      </c>
      <c r="G85" s="30">
        <v>61.2234298282629</v>
      </c>
      <c r="H85" s="30">
        <v>24.1032870942401</v>
      </c>
      <c r="I85" s="30" t="s">
        <v>38</v>
      </c>
    </row>
    <row r="86" ht="15.75" customHeight="1">
      <c r="A86" s="30" t="s">
        <v>958</v>
      </c>
      <c r="B86" s="30" t="s">
        <v>945</v>
      </c>
      <c r="C86" s="30" t="s">
        <v>754</v>
      </c>
      <c r="D86" s="30">
        <v>9.33</v>
      </c>
      <c r="E86" s="6" t="s">
        <v>959</v>
      </c>
      <c r="F86" s="30" t="s">
        <v>947</v>
      </c>
      <c r="G86" s="30">
        <v>61.2234298282629</v>
      </c>
      <c r="H86" s="30">
        <v>24.1032870942401</v>
      </c>
      <c r="I86" s="30" t="s">
        <v>38</v>
      </c>
    </row>
    <row r="87" ht="15.75" customHeight="1">
      <c r="A87" s="30" t="s">
        <v>960</v>
      </c>
      <c r="B87" s="30" t="s">
        <v>945</v>
      </c>
      <c r="C87" s="30" t="s">
        <v>754</v>
      </c>
      <c r="D87" s="30">
        <v>9.29</v>
      </c>
      <c r="E87" s="6" t="s">
        <v>961</v>
      </c>
      <c r="F87" s="30" t="s">
        <v>947</v>
      </c>
      <c r="G87" s="30">
        <v>61.2234298282629</v>
      </c>
      <c r="H87" s="30">
        <v>24.1032870942401</v>
      </c>
      <c r="I87" s="30" t="s">
        <v>38</v>
      </c>
    </row>
    <row r="88" ht="15.75" customHeight="1">
      <c r="A88" s="30" t="s">
        <v>962</v>
      </c>
      <c r="B88" s="30" t="s">
        <v>945</v>
      </c>
      <c r="C88" s="30" t="s">
        <v>754</v>
      </c>
      <c r="D88" s="30">
        <v>8.76</v>
      </c>
      <c r="E88" s="6" t="s">
        <v>963</v>
      </c>
      <c r="F88" s="30" t="s">
        <v>947</v>
      </c>
      <c r="G88" s="30">
        <v>61.2234298282629</v>
      </c>
      <c r="H88" s="30">
        <v>24.1032870942401</v>
      </c>
      <c r="I88" s="30" t="s">
        <v>38</v>
      </c>
    </row>
    <row r="89" ht="15.75" customHeight="1">
      <c r="A89" s="30" t="s">
        <v>964</v>
      </c>
      <c r="B89" s="30" t="s">
        <v>945</v>
      </c>
      <c r="C89" s="30" t="s">
        <v>754</v>
      </c>
      <c r="D89" s="30">
        <v>8.81</v>
      </c>
      <c r="E89" s="6" t="s">
        <v>965</v>
      </c>
      <c r="F89" s="30" t="s">
        <v>947</v>
      </c>
      <c r="G89" s="30">
        <v>61.2234298282629</v>
      </c>
      <c r="H89" s="30">
        <v>24.1032870942401</v>
      </c>
      <c r="I89" s="30" t="s">
        <v>38</v>
      </c>
    </row>
    <row r="90" ht="15.75" customHeight="1">
      <c r="A90" s="30" t="s">
        <v>966</v>
      </c>
      <c r="B90" s="30" t="s">
        <v>967</v>
      </c>
      <c r="C90" s="30" t="s">
        <v>731</v>
      </c>
      <c r="D90" s="30">
        <v>15.55</v>
      </c>
      <c r="E90" s="6" t="s">
        <v>968</v>
      </c>
      <c r="F90" s="30" t="s">
        <v>733</v>
      </c>
      <c r="G90" s="30">
        <v>32.9048894517221</v>
      </c>
      <c r="H90" s="30">
        <v>69.5150094708649</v>
      </c>
      <c r="I90" s="30" t="s">
        <v>52</v>
      </c>
    </row>
    <row r="91" ht="15.75" customHeight="1">
      <c r="A91" s="49" t="s">
        <v>969</v>
      </c>
      <c r="B91" s="50" t="s">
        <v>970</v>
      </c>
      <c r="C91" s="49" t="s">
        <v>736</v>
      </c>
      <c r="D91" s="49">
        <v>38.15</v>
      </c>
      <c r="E91" s="6" t="s">
        <v>971</v>
      </c>
      <c r="F91" s="49"/>
      <c r="G91" s="49"/>
      <c r="H91" s="49"/>
      <c r="I91" s="49" t="s">
        <v>38</v>
      </c>
      <c r="J91" s="51" t="s">
        <v>972</v>
      </c>
      <c r="M91" s="48"/>
    </row>
    <row r="92" ht="15.75" customHeight="1">
      <c r="A92" s="49" t="s">
        <v>973</v>
      </c>
      <c r="B92" s="50" t="s">
        <v>970</v>
      </c>
      <c r="C92" s="49" t="s">
        <v>736</v>
      </c>
      <c r="D92" s="49">
        <v>6.21</v>
      </c>
      <c r="E92" s="6" t="s">
        <v>974</v>
      </c>
      <c r="F92" s="49"/>
      <c r="G92" s="49"/>
      <c r="H92" s="49"/>
      <c r="I92" s="49" t="s">
        <v>38</v>
      </c>
      <c r="J92" s="51" t="s">
        <v>972</v>
      </c>
      <c r="M92" s="48"/>
    </row>
    <row r="93" ht="15.75" customHeight="1">
      <c r="A93" s="49" t="s">
        <v>975</v>
      </c>
      <c r="B93" s="50" t="s">
        <v>970</v>
      </c>
      <c r="C93" s="49" t="s">
        <v>736</v>
      </c>
      <c r="D93" s="49">
        <v>16.07</v>
      </c>
      <c r="E93" s="6" t="s">
        <v>976</v>
      </c>
      <c r="F93" s="49"/>
      <c r="G93" s="49"/>
      <c r="H93" s="49"/>
      <c r="I93" s="49" t="s">
        <v>38</v>
      </c>
      <c r="J93" s="51" t="s">
        <v>972</v>
      </c>
      <c r="M93" s="48"/>
    </row>
    <row r="94" ht="15.75" customHeight="1">
      <c r="A94" s="49" t="s">
        <v>977</v>
      </c>
      <c r="B94" s="50" t="s">
        <v>978</v>
      </c>
      <c r="C94" s="49" t="s">
        <v>736</v>
      </c>
      <c r="D94" s="49">
        <v>5.46</v>
      </c>
      <c r="E94" s="6" t="s">
        <v>979</v>
      </c>
      <c r="F94" s="49"/>
      <c r="G94" s="49"/>
      <c r="H94" s="49"/>
      <c r="I94" s="49" t="s">
        <v>52</v>
      </c>
      <c r="J94" s="51" t="s">
        <v>980</v>
      </c>
      <c r="M94" s="48"/>
    </row>
    <row r="95" ht="15.75" customHeight="1">
      <c r="A95" s="49" t="s">
        <v>981</v>
      </c>
      <c r="B95" s="50" t="s">
        <v>978</v>
      </c>
      <c r="C95" s="49" t="s">
        <v>736</v>
      </c>
      <c r="D95" s="49">
        <v>6.38</v>
      </c>
      <c r="E95" s="6" t="s">
        <v>982</v>
      </c>
      <c r="F95" s="49"/>
      <c r="G95" s="49"/>
      <c r="H95" s="49"/>
      <c r="I95" s="49" t="s">
        <v>52</v>
      </c>
      <c r="J95" s="51" t="s">
        <v>980</v>
      </c>
      <c r="M95" s="48"/>
    </row>
    <row r="96" ht="15.75" customHeight="1">
      <c r="A96" s="49" t="s">
        <v>983</v>
      </c>
      <c r="B96" s="50" t="s">
        <v>978</v>
      </c>
      <c r="C96" s="49" t="s">
        <v>736</v>
      </c>
      <c r="D96" s="49">
        <v>10.09</v>
      </c>
      <c r="E96" s="6" t="s">
        <v>984</v>
      </c>
      <c r="F96" s="49"/>
      <c r="G96" s="49"/>
      <c r="H96" s="49"/>
      <c r="I96" s="49" t="s">
        <v>52</v>
      </c>
      <c r="J96" s="51" t="s">
        <v>980</v>
      </c>
      <c r="M96" s="48"/>
    </row>
    <row r="97" ht="15.75" customHeight="1">
      <c r="A97" s="30" t="s">
        <v>985</v>
      </c>
      <c r="B97" s="30" t="s">
        <v>986</v>
      </c>
      <c r="C97" s="30" t="s">
        <v>754</v>
      </c>
      <c r="D97" s="30">
        <v>7.37</v>
      </c>
      <c r="E97" s="6" t="s">
        <v>987</v>
      </c>
      <c r="F97" s="30" t="s">
        <v>126</v>
      </c>
      <c r="G97" s="30">
        <v>48.2167594084677</v>
      </c>
      <c r="H97" s="30">
        <v>11.6796422878359</v>
      </c>
      <c r="I97" s="30" t="s">
        <v>52</v>
      </c>
      <c r="M97" s="28"/>
    </row>
    <row r="98" ht="15.75" customHeight="1">
      <c r="A98" s="30" t="s">
        <v>988</v>
      </c>
      <c r="B98" s="30" t="s">
        <v>986</v>
      </c>
      <c r="C98" s="30" t="s">
        <v>754</v>
      </c>
      <c r="D98" s="30">
        <v>9.43</v>
      </c>
      <c r="E98" s="6" t="s">
        <v>989</v>
      </c>
      <c r="F98" s="30" t="s">
        <v>126</v>
      </c>
      <c r="G98" s="30">
        <v>48.2167594084677</v>
      </c>
      <c r="H98" s="30">
        <v>11.6796422878359</v>
      </c>
      <c r="I98" s="30" t="s">
        <v>52</v>
      </c>
      <c r="M98" s="28"/>
    </row>
    <row r="99" ht="15.75" customHeight="1">
      <c r="A99" s="30" t="s">
        <v>990</v>
      </c>
      <c r="B99" s="30" t="s">
        <v>986</v>
      </c>
      <c r="C99" s="30" t="s">
        <v>754</v>
      </c>
      <c r="D99" s="30">
        <v>10.07</v>
      </c>
      <c r="E99" s="6" t="s">
        <v>991</v>
      </c>
      <c r="F99" s="30" t="s">
        <v>126</v>
      </c>
      <c r="G99" s="30">
        <v>48.2167594084677</v>
      </c>
      <c r="H99" s="30">
        <v>11.6796422878359</v>
      </c>
      <c r="I99" s="30" t="s">
        <v>52</v>
      </c>
      <c r="M99" s="28"/>
    </row>
    <row r="100" ht="15.75" customHeight="1">
      <c r="A100" s="30" t="s">
        <v>992</v>
      </c>
      <c r="B100" s="30" t="s">
        <v>986</v>
      </c>
      <c r="C100" s="30" t="s">
        <v>754</v>
      </c>
      <c r="D100" s="30">
        <v>12.1</v>
      </c>
      <c r="E100" s="6" t="s">
        <v>993</v>
      </c>
      <c r="F100" s="30" t="s">
        <v>126</v>
      </c>
      <c r="G100" s="30">
        <v>48.2167594084677</v>
      </c>
      <c r="H100" s="30">
        <v>11.6796422878359</v>
      </c>
      <c r="I100" s="30" t="s">
        <v>52</v>
      </c>
      <c r="M100" s="28"/>
    </row>
    <row r="101" ht="15.75" customHeight="1">
      <c r="A101" s="30" t="s">
        <v>994</v>
      </c>
      <c r="B101" s="30" t="s">
        <v>986</v>
      </c>
      <c r="C101" s="30" t="s">
        <v>754</v>
      </c>
      <c r="D101" s="30">
        <v>12.21</v>
      </c>
      <c r="E101" s="6" t="s">
        <v>995</v>
      </c>
      <c r="F101" s="30" t="s">
        <v>126</v>
      </c>
      <c r="G101" s="30">
        <v>48.2167594084677</v>
      </c>
      <c r="H101" s="30">
        <v>11.6796422878359</v>
      </c>
      <c r="I101" s="30" t="s">
        <v>52</v>
      </c>
      <c r="M101" s="28"/>
    </row>
    <row r="102" ht="15.75" customHeight="1">
      <c r="A102" s="30" t="s">
        <v>996</v>
      </c>
      <c r="B102" s="30" t="s">
        <v>997</v>
      </c>
      <c r="C102" s="30" t="s">
        <v>731</v>
      </c>
      <c r="D102" s="30">
        <v>11.26</v>
      </c>
      <c r="E102" s="6" t="s">
        <v>998</v>
      </c>
      <c r="F102" s="30" t="s">
        <v>999</v>
      </c>
      <c r="G102" s="30">
        <v>21.751139982694</v>
      </c>
      <c r="H102" s="30">
        <v>69.9807410801421</v>
      </c>
      <c r="I102" s="30" t="s">
        <v>52</v>
      </c>
      <c r="J102" s="51" t="s">
        <v>1000</v>
      </c>
      <c r="M102" s="28"/>
    </row>
    <row r="103" ht="15.75" customHeight="1">
      <c r="A103" s="30" t="s">
        <v>1001</v>
      </c>
      <c r="B103" s="30" t="s">
        <v>997</v>
      </c>
      <c r="C103" s="30" t="s">
        <v>731</v>
      </c>
      <c r="D103" s="30">
        <v>2.47</v>
      </c>
      <c r="E103" s="6" t="s">
        <v>1002</v>
      </c>
      <c r="F103" s="30" t="s">
        <v>999</v>
      </c>
      <c r="G103" s="30">
        <v>21.751139982694</v>
      </c>
      <c r="H103" s="30">
        <v>69.9807410801421</v>
      </c>
      <c r="I103" s="30" t="s">
        <v>52</v>
      </c>
      <c r="M103" s="28"/>
    </row>
    <row r="104" ht="15.75" customHeight="1">
      <c r="A104" s="30" t="s">
        <v>1003</v>
      </c>
      <c r="B104" s="30" t="s">
        <v>997</v>
      </c>
      <c r="C104" s="30" t="s">
        <v>731</v>
      </c>
      <c r="D104" s="30">
        <v>8.64</v>
      </c>
      <c r="E104" s="6" t="s">
        <v>1004</v>
      </c>
      <c r="F104" s="30" t="s">
        <v>999</v>
      </c>
      <c r="G104" s="30">
        <v>21.751139982694</v>
      </c>
      <c r="H104" s="30">
        <v>69.9807410801421</v>
      </c>
      <c r="I104" s="30" t="s">
        <v>52</v>
      </c>
      <c r="M104" s="28"/>
    </row>
    <row r="105" ht="15.75" customHeight="1">
      <c r="A105" s="30" t="s">
        <v>1005</v>
      </c>
      <c r="B105" s="30" t="s">
        <v>1006</v>
      </c>
      <c r="C105" s="30" t="s">
        <v>767</v>
      </c>
      <c r="D105" s="30">
        <v>30.42</v>
      </c>
      <c r="E105" s="6" t="s">
        <v>1007</v>
      </c>
      <c r="F105" s="30" t="s">
        <v>1008</v>
      </c>
      <c r="G105" s="30">
        <v>10.9956912362251</v>
      </c>
      <c r="H105" s="30">
        <v>-0.463712943501415</v>
      </c>
      <c r="I105" s="30" t="s">
        <v>38</v>
      </c>
      <c r="M105" s="28"/>
    </row>
    <row r="106" ht="15.75" customHeight="1">
      <c r="A106" s="30" t="s">
        <v>1009</v>
      </c>
      <c r="B106" s="30" t="s">
        <v>1006</v>
      </c>
      <c r="C106" s="30" t="s">
        <v>767</v>
      </c>
      <c r="D106" s="30">
        <v>27.16</v>
      </c>
      <c r="E106" s="6" t="s">
        <v>1010</v>
      </c>
      <c r="F106" s="30" t="s">
        <v>1008</v>
      </c>
      <c r="G106" s="30">
        <v>10.9956912362251</v>
      </c>
      <c r="H106" s="30">
        <v>-0.463712943501415</v>
      </c>
      <c r="I106" s="30" t="s">
        <v>38</v>
      </c>
      <c r="M106" s="28"/>
    </row>
    <row r="107" ht="15.75" customHeight="1">
      <c r="A107" s="30" t="s">
        <v>1011</v>
      </c>
      <c r="B107" s="30" t="s">
        <v>1006</v>
      </c>
      <c r="C107" s="30" t="s">
        <v>767</v>
      </c>
      <c r="D107" s="30">
        <v>33.67</v>
      </c>
      <c r="E107" s="6" t="s">
        <v>1012</v>
      </c>
      <c r="F107" s="30" t="s">
        <v>1008</v>
      </c>
      <c r="G107" s="30">
        <v>10.9956912362251</v>
      </c>
      <c r="H107" s="30">
        <v>-0.463712943501415</v>
      </c>
      <c r="I107" s="30" t="s">
        <v>38</v>
      </c>
      <c r="M107" s="28"/>
    </row>
    <row r="108" ht="15.75" customHeight="1">
      <c r="A108" s="30" t="s">
        <v>1013</v>
      </c>
      <c r="B108" s="30" t="s">
        <v>1014</v>
      </c>
      <c r="C108" s="30" t="s">
        <v>886</v>
      </c>
      <c r="D108" s="30">
        <v>10.35</v>
      </c>
      <c r="E108" s="6" t="s">
        <v>1015</v>
      </c>
      <c r="F108" s="30" t="s">
        <v>1016</v>
      </c>
      <c r="G108" s="30">
        <v>38.0793496568455</v>
      </c>
      <c r="H108" s="30">
        <v>128.453858831737</v>
      </c>
      <c r="I108" s="30" t="s">
        <v>38</v>
      </c>
      <c r="M108" s="28"/>
    </row>
    <row r="109" ht="15.75" customHeight="1">
      <c r="A109" s="30" t="s">
        <v>1017</v>
      </c>
      <c r="B109" s="30" t="s">
        <v>1014</v>
      </c>
      <c r="C109" s="30" t="s">
        <v>886</v>
      </c>
      <c r="D109" s="30">
        <v>11.27</v>
      </c>
      <c r="E109" s="6" t="s">
        <v>1018</v>
      </c>
      <c r="F109" s="30" t="s">
        <v>1016</v>
      </c>
      <c r="G109" s="30">
        <v>38.0793496568455</v>
      </c>
      <c r="H109" s="30">
        <v>128.453858831737</v>
      </c>
      <c r="I109" s="30" t="s">
        <v>38</v>
      </c>
      <c r="M109" s="28"/>
    </row>
    <row r="110" ht="15.75" customHeight="1">
      <c r="A110" s="30" t="s">
        <v>1019</v>
      </c>
      <c r="B110" s="30" t="s">
        <v>1014</v>
      </c>
      <c r="C110" s="30" t="s">
        <v>886</v>
      </c>
      <c r="D110" s="30">
        <v>10.19</v>
      </c>
      <c r="E110" s="6" t="s">
        <v>1020</v>
      </c>
      <c r="F110" s="30" t="s">
        <v>1016</v>
      </c>
      <c r="G110" s="30">
        <v>38.0793496568455</v>
      </c>
      <c r="H110" s="30">
        <v>128.453858831737</v>
      </c>
      <c r="I110" s="30" t="s">
        <v>52</v>
      </c>
      <c r="L110" s="51" t="s">
        <v>743</v>
      </c>
      <c r="M110" s="28"/>
    </row>
    <row r="111" ht="15.75" customHeight="1">
      <c r="A111" s="30" t="s">
        <v>1021</v>
      </c>
      <c r="B111" s="30" t="s">
        <v>1014</v>
      </c>
      <c r="C111" s="30" t="s">
        <v>886</v>
      </c>
      <c r="D111" s="30">
        <v>9.82</v>
      </c>
      <c r="E111" s="6" t="s">
        <v>1022</v>
      </c>
      <c r="F111" s="30" t="s">
        <v>1016</v>
      </c>
      <c r="G111" s="30">
        <v>38.0793496568455</v>
      </c>
      <c r="H111" s="30">
        <v>128.453858831737</v>
      </c>
      <c r="I111" s="30" t="s">
        <v>52</v>
      </c>
      <c r="M111" s="28"/>
    </row>
    <row r="112" ht="15.75" customHeight="1">
      <c r="A112" s="30" t="s">
        <v>1023</v>
      </c>
      <c r="B112" s="30" t="s">
        <v>1014</v>
      </c>
      <c r="C112" s="30" t="s">
        <v>886</v>
      </c>
      <c r="D112" s="30">
        <v>10.21</v>
      </c>
      <c r="E112" s="6" t="s">
        <v>1024</v>
      </c>
      <c r="F112" s="30" t="s">
        <v>1016</v>
      </c>
      <c r="G112" s="30">
        <v>38.0793496568455</v>
      </c>
      <c r="H112" s="30">
        <v>128.453858831737</v>
      </c>
      <c r="I112" s="30" t="s">
        <v>52</v>
      </c>
      <c r="M112" s="28"/>
    </row>
    <row r="113" ht="15.75" customHeight="1">
      <c r="A113" s="30" t="s">
        <v>1025</v>
      </c>
      <c r="B113" s="30" t="s">
        <v>1014</v>
      </c>
      <c r="C113" s="30" t="s">
        <v>886</v>
      </c>
      <c r="D113" s="30">
        <v>9.93</v>
      </c>
      <c r="E113" s="6" t="s">
        <v>1026</v>
      </c>
      <c r="F113" s="30" t="s">
        <v>1016</v>
      </c>
      <c r="G113" s="30">
        <v>38.0793496568455</v>
      </c>
      <c r="H113" s="30">
        <v>128.453858831737</v>
      </c>
      <c r="I113" s="30" t="s">
        <v>52</v>
      </c>
      <c r="M113" s="28"/>
    </row>
    <row r="114" ht="15.75" customHeight="1">
      <c r="A114" s="30" t="s">
        <v>1027</v>
      </c>
      <c r="B114" s="30" t="s">
        <v>1014</v>
      </c>
      <c r="C114" s="30" t="s">
        <v>886</v>
      </c>
      <c r="D114" s="30">
        <v>10.8</v>
      </c>
      <c r="E114" s="6" t="s">
        <v>1028</v>
      </c>
      <c r="F114" s="30" t="s">
        <v>1016</v>
      </c>
      <c r="G114" s="30">
        <v>38.0793496568455</v>
      </c>
      <c r="H114" s="30">
        <v>128.453858831737</v>
      </c>
      <c r="I114" s="30" t="s">
        <v>52</v>
      </c>
      <c r="M114" s="28"/>
    </row>
    <row r="115" ht="15.75" customHeight="1">
      <c r="A115" s="30" t="s">
        <v>1029</v>
      </c>
      <c r="B115" s="30" t="s">
        <v>1014</v>
      </c>
      <c r="C115" s="30" t="s">
        <v>886</v>
      </c>
      <c r="D115" s="30">
        <v>9.68</v>
      </c>
      <c r="E115" s="6" t="s">
        <v>1030</v>
      </c>
      <c r="F115" s="30" t="s">
        <v>1016</v>
      </c>
      <c r="G115" s="30">
        <v>38.0793496568455</v>
      </c>
      <c r="H115" s="30">
        <v>128.453858831737</v>
      </c>
      <c r="I115" s="30" t="s">
        <v>38</v>
      </c>
      <c r="M115" s="28"/>
    </row>
    <row r="116" ht="15.75" customHeight="1">
      <c r="A116" s="30" t="s">
        <v>1031</v>
      </c>
      <c r="B116" s="30" t="s">
        <v>1014</v>
      </c>
      <c r="C116" s="30" t="s">
        <v>886</v>
      </c>
      <c r="D116" s="30">
        <v>9.56</v>
      </c>
      <c r="E116" s="6" t="s">
        <v>1032</v>
      </c>
      <c r="F116" s="30" t="s">
        <v>1016</v>
      </c>
      <c r="G116" s="30">
        <v>38.0793496568455</v>
      </c>
      <c r="H116" s="30">
        <v>128.453858831737</v>
      </c>
      <c r="I116" s="30" t="s">
        <v>38</v>
      </c>
      <c r="M116" s="28"/>
    </row>
    <row r="117" ht="15.75" customHeight="1">
      <c r="A117" s="30" t="s">
        <v>1033</v>
      </c>
      <c r="B117" s="30" t="s">
        <v>1014</v>
      </c>
      <c r="C117" s="30" t="s">
        <v>886</v>
      </c>
      <c r="D117" s="30">
        <v>8.88</v>
      </c>
      <c r="E117" s="6" t="s">
        <v>1034</v>
      </c>
      <c r="F117" s="30" t="s">
        <v>1016</v>
      </c>
      <c r="G117" s="30">
        <v>38.0793496568455</v>
      </c>
      <c r="H117" s="30">
        <v>128.453858831737</v>
      </c>
      <c r="I117" s="30" t="s">
        <v>38</v>
      </c>
      <c r="M117" s="28"/>
    </row>
    <row r="118" ht="15.75" customHeight="1">
      <c r="A118" s="30" t="s">
        <v>1035</v>
      </c>
      <c r="B118" s="30" t="s">
        <v>1036</v>
      </c>
      <c r="C118" s="30" t="s">
        <v>731</v>
      </c>
      <c r="D118" s="30">
        <v>29.85</v>
      </c>
      <c r="E118" s="6" t="s">
        <v>1037</v>
      </c>
      <c r="F118" s="30" t="s">
        <v>1038</v>
      </c>
      <c r="G118" s="30">
        <v>29.031372821548</v>
      </c>
      <c r="H118" s="30">
        <v>76.3685148110825</v>
      </c>
      <c r="I118" s="30" t="s">
        <v>38</v>
      </c>
      <c r="J118" s="51" t="s">
        <v>1000</v>
      </c>
    </row>
    <row r="119" ht="15.75" customHeight="1">
      <c r="A119" s="30" t="s">
        <v>1039</v>
      </c>
      <c r="B119" s="30" t="s">
        <v>1040</v>
      </c>
      <c r="C119" s="30" t="s">
        <v>754</v>
      </c>
      <c r="D119" s="30">
        <v>8.89</v>
      </c>
      <c r="E119" s="6" t="s">
        <v>1041</v>
      </c>
      <c r="F119" s="30" t="s">
        <v>422</v>
      </c>
      <c r="G119" s="30">
        <v>52.0994420327212</v>
      </c>
      <c r="H119" s="30">
        <v>-2.80779064257897</v>
      </c>
      <c r="I119" s="30" t="s">
        <v>38</v>
      </c>
      <c r="M119" s="28"/>
    </row>
    <row r="120" ht="15.75" customHeight="1">
      <c r="A120" s="30" t="s">
        <v>1042</v>
      </c>
      <c r="B120" s="30" t="s">
        <v>1040</v>
      </c>
      <c r="C120" s="30" t="s">
        <v>754</v>
      </c>
      <c r="D120" s="30">
        <v>9.07</v>
      </c>
      <c r="E120" s="6" t="s">
        <v>1043</v>
      </c>
      <c r="F120" s="30" t="s">
        <v>422</v>
      </c>
      <c r="G120" s="30">
        <v>52.0994420327212</v>
      </c>
      <c r="H120" s="30">
        <v>-2.80779064257897</v>
      </c>
      <c r="I120" s="30" t="s">
        <v>38</v>
      </c>
      <c r="M120" s="28"/>
    </row>
    <row r="121" ht="15.75" customHeight="1">
      <c r="A121" s="30" t="s">
        <v>1044</v>
      </c>
      <c r="B121" s="30" t="s">
        <v>1040</v>
      </c>
      <c r="C121" s="30" t="s">
        <v>754</v>
      </c>
      <c r="D121" s="30">
        <v>9.35</v>
      </c>
      <c r="E121" s="6" t="s">
        <v>1045</v>
      </c>
      <c r="F121" s="30" t="s">
        <v>422</v>
      </c>
      <c r="G121" s="30">
        <v>52.0994420327212</v>
      </c>
      <c r="H121" s="30">
        <v>-2.80779064257897</v>
      </c>
      <c r="I121" s="30" t="s">
        <v>38</v>
      </c>
      <c r="M121" s="28"/>
    </row>
    <row r="122" ht="15.75" customHeight="1">
      <c r="A122" s="30" t="s">
        <v>1046</v>
      </c>
      <c r="B122" s="30" t="s">
        <v>1040</v>
      </c>
      <c r="C122" s="30" t="s">
        <v>754</v>
      </c>
      <c r="D122" s="30">
        <v>9.55</v>
      </c>
      <c r="E122" s="6" t="s">
        <v>1047</v>
      </c>
      <c r="F122" s="30" t="s">
        <v>422</v>
      </c>
      <c r="G122" s="30">
        <v>52.0994420327212</v>
      </c>
      <c r="H122" s="30">
        <v>-2.80779064257897</v>
      </c>
      <c r="I122" s="30" t="s">
        <v>38</v>
      </c>
      <c r="M122" s="28"/>
    </row>
    <row r="123" ht="15.75" customHeight="1">
      <c r="A123" s="30" t="s">
        <v>1048</v>
      </c>
      <c r="B123" s="30" t="s">
        <v>1040</v>
      </c>
      <c r="C123" s="30" t="s">
        <v>754</v>
      </c>
      <c r="D123" s="30">
        <v>10.11</v>
      </c>
      <c r="E123" s="6" t="s">
        <v>1049</v>
      </c>
      <c r="F123" s="30" t="s">
        <v>422</v>
      </c>
      <c r="G123" s="30">
        <v>52.0994420327212</v>
      </c>
      <c r="H123" s="30">
        <v>-2.80779064257897</v>
      </c>
      <c r="I123" s="30" t="s">
        <v>38</v>
      </c>
      <c r="M123" s="28"/>
    </row>
    <row r="124" ht="15.75" customHeight="1">
      <c r="A124" s="30" t="s">
        <v>1050</v>
      </c>
      <c r="B124" s="30" t="s">
        <v>1040</v>
      </c>
      <c r="C124" s="30" t="s">
        <v>754</v>
      </c>
      <c r="D124" s="30">
        <v>13.27</v>
      </c>
      <c r="E124" s="6" t="s">
        <v>1051</v>
      </c>
      <c r="F124" s="30" t="s">
        <v>422</v>
      </c>
      <c r="G124" s="30">
        <v>52.0994420327212</v>
      </c>
      <c r="H124" s="30">
        <v>-2.80779064257897</v>
      </c>
      <c r="I124" s="30" t="s">
        <v>52</v>
      </c>
      <c r="M124" s="28"/>
    </row>
    <row r="125" ht="15.75" customHeight="1">
      <c r="A125" s="30" t="s">
        <v>1052</v>
      </c>
      <c r="B125" s="30" t="s">
        <v>1040</v>
      </c>
      <c r="C125" s="30" t="s">
        <v>754</v>
      </c>
      <c r="D125" s="30">
        <v>13.48</v>
      </c>
      <c r="E125" s="6" t="s">
        <v>1053</v>
      </c>
      <c r="F125" s="30" t="s">
        <v>422</v>
      </c>
      <c r="G125" s="30">
        <v>52.0994420327212</v>
      </c>
      <c r="H125" s="30">
        <v>-2.80779064257897</v>
      </c>
      <c r="I125" s="30" t="s">
        <v>52</v>
      </c>
      <c r="M125" s="28"/>
    </row>
    <row r="126" ht="15.75" customHeight="1">
      <c r="A126" s="30" t="s">
        <v>1054</v>
      </c>
      <c r="B126" s="30" t="s">
        <v>1040</v>
      </c>
      <c r="C126" s="30" t="s">
        <v>754</v>
      </c>
      <c r="D126" s="30">
        <v>13.1</v>
      </c>
      <c r="E126" s="6" t="s">
        <v>1055</v>
      </c>
      <c r="F126" s="30" t="s">
        <v>422</v>
      </c>
      <c r="G126" s="30">
        <v>52.0994420327212</v>
      </c>
      <c r="H126" s="30">
        <v>-2.80779064257897</v>
      </c>
      <c r="I126" s="30" t="s">
        <v>52</v>
      </c>
      <c r="M126" s="28"/>
    </row>
    <row r="127" ht="15.75" customHeight="1">
      <c r="A127" s="30" t="s">
        <v>1056</v>
      </c>
      <c r="B127" s="30" t="s">
        <v>1040</v>
      </c>
      <c r="C127" s="30" t="s">
        <v>754</v>
      </c>
      <c r="D127" s="30">
        <v>13.92</v>
      </c>
      <c r="E127" s="6" t="s">
        <v>1057</v>
      </c>
      <c r="F127" s="30" t="s">
        <v>422</v>
      </c>
      <c r="G127" s="30">
        <v>52.0994420327212</v>
      </c>
      <c r="H127" s="30">
        <v>-2.80779064257897</v>
      </c>
      <c r="I127" s="30" t="s">
        <v>52</v>
      </c>
      <c r="M127" s="28"/>
    </row>
    <row r="128" ht="15.75" customHeight="1">
      <c r="A128" s="30" t="s">
        <v>1058</v>
      </c>
      <c r="B128" s="30" t="s">
        <v>1040</v>
      </c>
      <c r="C128" s="30" t="s">
        <v>754</v>
      </c>
      <c r="D128" s="30">
        <v>10.98</v>
      </c>
      <c r="E128" s="6" t="s">
        <v>1059</v>
      </c>
      <c r="F128" s="30" t="s">
        <v>422</v>
      </c>
      <c r="G128" s="30">
        <v>52.0994420327212</v>
      </c>
      <c r="H128" s="30">
        <v>-2.80779064257897</v>
      </c>
      <c r="I128" s="30" t="s">
        <v>52</v>
      </c>
      <c r="M128" s="28"/>
    </row>
    <row r="129" ht="15.75" customHeight="1">
      <c r="A129" s="30" t="s">
        <v>1060</v>
      </c>
      <c r="B129" s="30" t="s">
        <v>1061</v>
      </c>
      <c r="C129" s="30" t="s">
        <v>754</v>
      </c>
      <c r="D129" s="30">
        <v>10.31</v>
      </c>
      <c r="E129" s="6" t="s">
        <v>1062</v>
      </c>
      <c r="F129" s="30" t="s">
        <v>1063</v>
      </c>
      <c r="G129" s="30">
        <v>53.155912645504</v>
      </c>
      <c r="H129" s="30">
        <v>5.68804656719023</v>
      </c>
      <c r="I129" s="30" t="s">
        <v>52</v>
      </c>
      <c r="M129" s="28"/>
    </row>
    <row r="130" ht="15.75" customHeight="1">
      <c r="A130" s="30" t="s">
        <v>1064</v>
      </c>
      <c r="B130" s="30" t="s">
        <v>1061</v>
      </c>
      <c r="C130" s="30" t="s">
        <v>754</v>
      </c>
      <c r="D130" s="30">
        <v>18.57</v>
      </c>
      <c r="E130" s="6" t="s">
        <v>1065</v>
      </c>
      <c r="F130" s="30" t="s">
        <v>1063</v>
      </c>
      <c r="G130" s="30">
        <v>53.155912645504</v>
      </c>
      <c r="H130" s="30">
        <v>5.68804656719023</v>
      </c>
      <c r="I130" s="30" t="s">
        <v>52</v>
      </c>
      <c r="M130" s="28"/>
    </row>
    <row r="131" ht="15.75" customHeight="1">
      <c r="A131" s="30" t="s">
        <v>1066</v>
      </c>
      <c r="B131" s="30" t="s">
        <v>1061</v>
      </c>
      <c r="C131" s="30" t="s">
        <v>754</v>
      </c>
      <c r="D131" s="30">
        <v>13.64</v>
      </c>
      <c r="E131" s="6" t="s">
        <v>1067</v>
      </c>
      <c r="F131" s="30" t="s">
        <v>1063</v>
      </c>
      <c r="G131" s="30">
        <v>53.155912645504</v>
      </c>
      <c r="H131" s="30">
        <v>5.68804656719023</v>
      </c>
      <c r="I131" s="30" t="s">
        <v>52</v>
      </c>
      <c r="M131" s="28"/>
    </row>
    <row r="132" ht="15.75" customHeight="1">
      <c r="A132" s="30" t="s">
        <v>1068</v>
      </c>
      <c r="B132" s="30" t="s">
        <v>1061</v>
      </c>
      <c r="C132" s="30" t="s">
        <v>754</v>
      </c>
      <c r="D132" s="30">
        <v>13.68</v>
      </c>
      <c r="E132" s="6" t="s">
        <v>1069</v>
      </c>
      <c r="F132" s="30" t="s">
        <v>1063</v>
      </c>
      <c r="G132" s="30">
        <v>53.155912645504</v>
      </c>
      <c r="H132" s="30">
        <v>5.68804656719023</v>
      </c>
      <c r="I132" s="30" t="s">
        <v>52</v>
      </c>
      <c r="M132" s="28"/>
    </row>
    <row r="133" ht="15.75" customHeight="1">
      <c r="A133" s="30" t="s">
        <v>1070</v>
      </c>
      <c r="B133" s="30" t="s">
        <v>1061</v>
      </c>
      <c r="C133" s="30" t="s">
        <v>754</v>
      </c>
      <c r="D133" s="30">
        <v>14.22</v>
      </c>
      <c r="E133" s="6" t="s">
        <v>1071</v>
      </c>
      <c r="F133" s="30" t="s">
        <v>1063</v>
      </c>
      <c r="G133" s="30">
        <v>53.155912645504</v>
      </c>
      <c r="H133" s="30">
        <v>5.68804656719023</v>
      </c>
      <c r="I133" s="30" t="s">
        <v>52</v>
      </c>
      <c r="M133" s="28"/>
    </row>
    <row r="134" ht="15.75" customHeight="1">
      <c r="A134" s="30" t="s">
        <v>1072</v>
      </c>
      <c r="B134" s="30" t="s">
        <v>1073</v>
      </c>
      <c r="C134" s="30" t="s">
        <v>754</v>
      </c>
      <c r="D134" s="30">
        <v>12.46</v>
      </c>
      <c r="E134" s="6" t="s">
        <v>1074</v>
      </c>
      <c r="F134" s="30" t="s">
        <v>1075</v>
      </c>
      <c r="G134" s="30">
        <v>49.2153772144999</v>
      </c>
      <c r="H134" s="30">
        <v>-2.17247458621731</v>
      </c>
      <c r="I134" s="30" t="s">
        <v>52</v>
      </c>
      <c r="M134" s="28"/>
    </row>
    <row r="135" ht="15.75" customHeight="1">
      <c r="A135" s="30" t="s">
        <v>1076</v>
      </c>
      <c r="B135" s="30" t="s">
        <v>1073</v>
      </c>
      <c r="C135" s="30" t="s">
        <v>754</v>
      </c>
      <c r="D135" s="30">
        <v>13.35</v>
      </c>
      <c r="E135" s="6" t="s">
        <v>1077</v>
      </c>
      <c r="F135" s="30" t="s">
        <v>1075</v>
      </c>
      <c r="G135" s="30">
        <v>49.2153772144999</v>
      </c>
      <c r="H135" s="30">
        <v>-2.17247458621731</v>
      </c>
      <c r="I135" s="30" t="s">
        <v>38</v>
      </c>
      <c r="M135" s="28"/>
    </row>
    <row r="136" ht="15.75" customHeight="1">
      <c r="A136" s="30" t="s">
        <v>1078</v>
      </c>
      <c r="B136" s="30" t="s">
        <v>1073</v>
      </c>
      <c r="C136" s="30" t="s">
        <v>754</v>
      </c>
      <c r="D136" s="30">
        <v>10.45</v>
      </c>
      <c r="E136" s="6" t="s">
        <v>1079</v>
      </c>
      <c r="F136" s="30" t="s">
        <v>1075</v>
      </c>
      <c r="G136" s="30">
        <v>49.2153772144999</v>
      </c>
      <c r="H136" s="30">
        <v>-2.17247458621731</v>
      </c>
      <c r="I136" s="30" t="s">
        <v>38</v>
      </c>
      <c r="M136" s="28"/>
    </row>
    <row r="137" ht="15.75" customHeight="1">
      <c r="A137" s="30" t="s">
        <v>1080</v>
      </c>
      <c r="B137" s="30" t="s">
        <v>1073</v>
      </c>
      <c r="C137" s="30" t="s">
        <v>754</v>
      </c>
      <c r="D137" s="30">
        <v>10.51</v>
      </c>
      <c r="E137" s="6" t="s">
        <v>1081</v>
      </c>
      <c r="F137" s="30" t="s">
        <v>1075</v>
      </c>
      <c r="G137" s="30">
        <v>49.2153772144999</v>
      </c>
      <c r="H137" s="30">
        <v>-2.17247458621731</v>
      </c>
      <c r="I137" s="30" t="s">
        <v>52</v>
      </c>
      <c r="M137" s="28"/>
    </row>
    <row r="138" ht="15.75" customHeight="1">
      <c r="A138" s="30" t="s">
        <v>1082</v>
      </c>
      <c r="B138" s="30" t="s">
        <v>1073</v>
      </c>
      <c r="C138" s="30" t="s">
        <v>754</v>
      </c>
      <c r="D138" s="30">
        <v>9.93</v>
      </c>
      <c r="E138" s="6" t="s">
        <v>1083</v>
      </c>
      <c r="F138" s="30" t="s">
        <v>1075</v>
      </c>
      <c r="G138" s="30">
        <v>49.2153772144999</v>
      </c>
      <c r="H138" s="30">
        <v>-2.17247458621731</v>
      </c>
      <c r="I138" s="30" t="s">
        <v>38</v>
      </c>
      <c r="M138" s="28"/>
    </row>
    <row r="139" ht="15.75" customHeight="1">
      <c r="A139" s="30" t="s">
        <v>1084</v>
      </c>
      <c r="B139" s="30" t="s">
        <v>1073</v>
      </c>
      <c r="C139" s="30" t="s">
        <v>754</v>
      </c>
      <c r="D139" s="30">
        <v>11.5</v>
      </c>
      <c r="E139" s="6" t="s">
        <v>1085</v>
      </c>
      <c r="F139" s="30" t="s">
        <v>1075</v>
      </c>
      <c r="G139" s="30">
        <v>49.2153772144999</v>
      </c>
      <c r="H139" s="30">
        <v>-2.17247458621731</v>
      </c>
      <c r="I139" s="30" t="s">
        <v>38</v>
      </c>
      <c r="M139" s="28"/>
    </row>
    <row r="140" ht="15.75" customHeight="1">
      <c r="A140" s="30" t="s">
        <v>1086</v>
      </c>
      <c r="B140" s="30" t="s">
        <v>1073</v>
      </c>
      <c r="C140" s="30" t="s">
        <v>754</v>
      </c>
      <c r="D140" s="30">
        <v>12.19</v>
      </c>
      <c r="E140" s="6" t="s">
        <v>1087</v>
      </c>
      <c r="F140" s="30" t="s">
        <v>1075</v>
      </c>
      <c r="G140" s="30">
        <v>49.2153772144999</v>
      </c>
      <c r="H140" s="30">
        <v>-2.17247458621731</v>
      </c>
      <c r="I140" s="30" t="s">
        <v>52</v>
      </c>
      <c r="M140" s="28"/>
    </row>
    <row r="141" ht="15.75" customHeight="1">
      <c r="A141" s="30" t="s">
        <v>1088</v>
      </c>
      <c r="B141" s="30" t="s">
        <v>1073</v>
      </c>
      <c r="C141" s="30" t="s">
        <v>754</v>
      </c>
      <c r="D141" s="30">
        <v>13.2</v>
      </c>
      <c r="E141" s="6" t="s">
        <v>1089</v>
      </c>
      <c r="F141" s="30" t="s">
        <v>1075</v>
      </c>
      <c r="G141" s="30">
        <v>49.2153772144999</v>
      </c>
      <c r="H141" s="30">
        <v>-2.17247458621731</v>
      </c>
      <c r="I141" s="30" t="s">
        <v>38</v>
      </c>
      <c r="M141" s="28"/>
    </row>
    <row r="142" ht="15.75" customHeight="1">
      <c r="A142" s="30" t="s">
        <v>1090</v>
      </c>
      <c r="B142" s="30" t="s">
        <v>1073</v>
      </c>
      <c r="C142" s="30" t="s">
        <v>754</v>
      </c>
      <c r="D142" s="30">
        <v>11.49</v>
      </c>
      <c r="E142" s="6" t="s">
        <v>1091</v>
      </c>
      <c r="F142" s="30" t="s">
        <v>1075</v>
      </c>
      <c r="G142" s="30">
        <v>49.2153772144999</v>
      </c>
      <c r="H142" s="30">
        <v>-2.17247458621731</v>
      </c>
      <c r="I142" s="30" t="s">
        <v>52</v>
      </c>
      <c r="M142" s="28"/>
    </row>
    <row r="143" ht="15.75" customHeight="1">
      <c r="A143" s="30" t="s">
        <v>1092</v>
      </c>
      <c r="B143" s="30" t="s">
        <v>1073</v>
      </c>
      <c r="C143" s="30" t="s">
        <v>754</v>
      </c>
      <c r="D143" s="30">
        <v>13.29</v>
      </c>
      <c r="E143" s="6" t="s">
        <v>1093</v>
      </c>
      <c r="F143" s="30" t="s">
        <v>1075</v>
      </c>
      <c r="G143" s="30">
        <v>49.2153772144999</v>
      </c>
      <c r="H143" s="30">
        <v>-2.17247458621731</v>
      </c>
      <c r="I143" s="30" t="s">
        <v>38</v>
      </c>
      <c r="M143" s="28"/>
    </row>
    <row r="144" ht="15.75" customHeight="1">
      <c r="A144" s="30" t="s">
        <v>1094</v>
      </c>
      <c r="B144" s="30" t="s">
        <v>1095</v>
      </c>
      <c r="C144" s="30" t="s">
        <v>1096</v>
      </c>
      <c r="D144" s="30">
        <v>8.87</v>
      </c>
      <c r="E144" s="6" t="s">
        <v>1097</v>
      </c>
      <c r="F144" s="30" t="s">
        <v>913</v>
      </c>
      <c r="G144" s="30">
        <v>27.1026824270765</v>
      </c>
      <c r="H144" s="30">
        <v>114.97739673605</v>
      </c>
      <c r="I144" s="30" t="s">
        <v>52</v>
      </c>
    </row>
    <row r="145" ht="15.75" customHeight="1">
      <c r="A145" s="30" t="s">
        <v>1098</v>
      </c>
      <c r="B145" s="30" t="s">
        <v>1095</v>
      </c>
      <c r="C145" s="30" t="s">
        <v>1096</v>
      </c>
      <c r="D145" s="30">
        <v>9.84</v>
      </c>
      <c r="E145" s="6" t="s">
        <v>1099</v>
      </c>
      <c r="F145" s="30" t="s">
        <v>913</v>
      </c>
      <c r="G145" s="30">
        <v>27.1026824270765</v>
      </c>
      <c r="H145" s="30">
        <v>114.97739673605</v>
      </c>
      <c r="I145" s="30" t="s">
        <v>52</v>
      </c>
    </row>
    <row r="146" ht="15.75" customHeight="1">
      <c r="A146" s="30" t="s">
        <v>1100</v>
      </c>
      <c r="B146" s="30" t="s">
        <v>1101</v>
      </c>
      <c r="C146" s="30" t="s">
        <v>1096</v>
      </c>
      <c r="D146" s="30">
        <v>8.22</v>
      </c>
      <c r="E146" s="6" t="s">
        <v>1102</v>
      </c>
      <c r="F146" s="30" t="s">
        <v>913</v>
      </c>
      <c r="G146" s="30">
        <v>28.4190893658083</v>
      </c>
      <c r="H146" s="30">
        <v>115.85742056715</v>
      </c>
      <c r="I146" s="30" t="s">
        <v>52</v>
      </c>
    </row>
    <row r="147" ht="15.75" customHeight="1">
      <c r="A147" s="30" t="s">
        <v>1103</v>
      </c>
      <c r="B147" s="30" t="s">
        <v>1101</v>
      </c>
      <c r="C147" s="30" t="s">
        <v>1096</v>
      </c>
      <c r="D147" s="30">
        <v>9.11</v>
      </c>
      <c r="E147" s="6" t="s">
        <v>1104</v>
      </c>
      <c r="F147" s="30" t="s">
        <v>913</v>
      </c>
      <c r="G147" s="30">
        <v>28.4190893658083</v>
      </c>
      <c r="H147" s="30">
        <v>115.85742056715</v>
      </c>
      <c r="I147" s="30" t="s">
        <v>52</v>
      </c>
    </row>
    <row r="148" ht="15.75" customHeight="1">
      <c r="A148" s="30" t="s">
        <v>1105</v>
      </c>
      <c r="B148" s="30" t="s">
        <v>1101</v>
      </c>
      <c r="C148" s="30" t="s">
        <v>1096</v>
      </c>
      <c r="D148" s="30">
        <v>8.31</v>
      </c>
      <c r="E148" s="6" t="s">
        <v>1106</v>
      </c>
      <c r="F148" s="30" t="s">
        <v>913</v>
      </c>
      <c r="G148" s="30">
        <v>28.4190893658083</v>
      </c>
      <c r="H148" s="30">
        <v>115.85742056715</v>
      </c>
      <c r="I148" s="30" t="s">
        <v>52</v>
      </c>
    </row>
    <row r="149" ht="15.75" customHeight="1">
      <c r="A149" s="30" t="s">
        <v>1107</v>
      </c>
      <c r="B149" s="30" t="s">
        <v>1108</v>
      </c>
      <c r="C149" s="30" t="s">
        <v>802</v>
      </c>
      <c r="D149" s="30">
        <v>9.56</v>
      </c>
      <c r="E149" s="6" t="s">
        <v>1109</v>
      </c>
      <c r="F149" s="30" t="s">
        <v>804</v>
      </c>
      <c r="G149" s="30">
        <v>34.2360923207696</v>
      </c>
      <c r="H149" s="30">
        <v>116.57019005033</v>
      </c>
      <c r="I149" s="30" t="s">
        <v>52</v>
      </c>
    </row>
    <row r="150" ht="15.75" customHeight="1">
      <c r="A150" s="30" t="s">
        <v>1110</v>
      </c>
      <c r="B150" s="30" t="s">
        <v>1108</v>
      </c>
      <c r="C150" s="30" t="s">
        <v>802</v>
      </c>
      <c r="D150" s="30">
        <v>11.99</v>
      </c>
      <c r="E150" s="6" t="s">
        <v>1111</v>
      </c>
      <c r="F150" s="30" t="s">
        <v>804</v>
      </c>
      <c r="G150" s="30">
        <v>34.2360923207696</v>
      </c>
      <c r="H150" s="30">
        <v>116.57019005033</v>
      </c>
      <c r="I150" s="30" t="s">
        <v>52</v>
      </c>
    </row>
    <row r="151" ht="15.75" customHeight="1">
      <c r="A151" s="30" t="s">
        <v>1112</v>
      </c>
      <c r="B151" s="30" t="s">
        <v>1108</v>
      </c>
      <c r="C151" s="30" t="s">
        <v>802</v>
      </c>
      <c r="D151" s="30">
        <v>9.45</v>
      </c>
      <c r="E151" s="6" t="s">
        <v>1113</v>
      </c>
      <c r="F151" s="30" t="s">
        <v>804</v>
      </c>
      <c r="G151" s="30">
        <v>34.2360923207696</v>
      </c>
      <c r="H151" s="30">
        <v>116.57019005033</v>
      </c>
      <c r="I151" s="30" t="s">
        <v>52</v>
      </c>
    </row>
    <row r="152" ht="15.75" customHeight="1">
      <c r="A152" s="30" t="s">
        <v>1114</v>
      </c>
      <c r="B152" s="30" t="s">
        <v>1108</v>
      </c>
      <c r="C152" s="30" t="s">
        <v>802</v>
      </c>
      <c r="D152" s="30">
        <v>10.44</v>
      </c>
      <c r="E152" s="6" t="s">
        <v>1115</v>
      </c>
      <c r="F152" s="30" t="s">
        <v>804</v>
      </c>
      <c r="G152" s="30">
        <v>34.2360923207696</v>
      </c>
      <c r="H152" s="30">
        <v>116.57019005033</v>
      </c>
      <c r="I152" s="30" t="s">
        <v>52</v>
      </c>
    </row>
    <row r="153" ht="15.75" customHeight="1">
      <c r="A153" s="30" t="s">
        <v>1116</v>
      </c>
      <c r="B153" s="30" t="s">
        <v>1108</v>
      </c>
      <c r="C153" s="30" t="s">
        <v>802</v>
      </c>
      <c r="D153" s="30">
        <v>9.63</v>
      </c>
      <c r="E153" s="6" t="s">
        <v>1117</v>
      </c>
      <c r="F153" s="30" t="s">
        <v>804</v>
      </c>
      <c r="G153" s="30">
        <v>34.2360923207696</v>
      </c>
      <c r="H153" s="30">
        <v>116.57019005033</v>
      </c>
      <c r="I153" s="30" t="s">
        <v>52</v>
      </c>
    </row>
    <row r="154" ht="15.75" customHeight="1">
      <c r="A154" s="30" t="s">
        <v>1118</v>
      </c>
      <c r="B154" s="30" t="s">
        <v>1119</v>
      </c>
      <c r="C154" s="30" t="s">
        <v>886</v>
      </c>
      <c r="D154" s="30">
        <v>11.2</v>
      </c>
      <c r="E154" s="6" t="s">
        <v>1120</v>
      </c>
      <c r="F154" s="30" t="s">
        <v>1121</v>
      </c>
      <c r="G154" s="30">
        <v>42.8788358591342</v>
      </c>
      <c r="H154" s="30">
        <v>81.3600737070916</v>
      </c>
      <c r="I154" s="30" t="s">
        <v>52</v>
      </c>
    </row>
    <row r="155" ht="15.75" customHeight="1">
      <c r="A155" s="30" t="s">
        <v>1122</v>
      </c>
      <c r="B155" s="30" t="s">
        <v>1119</v>
      </c>
      <c r="C155" s="30" t="s">
        <v>886</v>
      </c>
      <c r="D155" s="30">
        <v>10.18</v>
      </c>
      <c r="E155" s="6" t="s">
        <v>1123</v>
      </c>
      <c r="F155" s="30" t="s">
        <v>1121</v>
      </c>
      <c r="G155" s="30">
        <v>42.8788358591342</v>
      </c>
      <c r="H155" s="30">
        <v>81.3600737070916</v>
      </c>
      <c r="I155" s="30" t="s">
        <v>52</v>
      </c>
    </row>
    <row r="156" ht="15.75" customHeight="1">
      <c r="A156" s="30" t="s">
        <v>1124</v>
      </c>
      <c r="B156" s="30" t="s">
        <v>1119</v>
      </c>
      <c r="C156" s="30" t="s">
        <v>886</v>
      </c>
      <c r="D156" s="30">
        <v>9.62</v>
      </c>
      <c r="E156" s="6" t="s">
        <v>1125</v>
      </c>
      <c r="F156" s="30" t="s">
        <v>1121</v>
      </c>
      <c r="G156" s="30">
        <v>42.8788358591342</v>
      </c>
      <c r="H156" s="30">
        <v>81.3600737070916</v>
      </c>
      <c r="I156" s="30" t="s">
        <v>52</v>
      </c>
    </row>
    <row r="157" ht="15.75" customHeight="1">
      <c r="A157" s="30" t="s">
        <v>1126</v>
      </c>
      <c r="B157" s="30" t="s">
        <v>1119</v>
      </c>
      <c r="C157" s="30" t="s">
        <v>886</v>
      </c>
      <c r="D157" s="30">
        <v>9.21</v>
      </c>
      <c r="E157" s="6" t="s">
        <v>1127</v>
      </c>
      <c r="F157" s="30" t="s">
        <v>1121</v>
      </c>
      <c r="G157" s="30">
        <v>42.8788358591342</v>
      </c>
      <c r="H157" s="30">
        <v>81.3600737070916</v>
      </c>
      <c r="I157" s="30" t="s">
        <v>52</v>
      </c>
    </row>
    <row r="158" ht="15.75" customHeight="1">
      <c r="A158" s="30" t="s">
        <v>1128</v>
      </c>
      <c r="B158" s="30" t="s">
        <v>1119</v>
      </c>
      <c r="C158" s="30" t="s">
        <v>886</v>
      </c>
      <c r="D158" s="30">
        <v>9.74</v>
      </c>
      <c r="E158" s="6" t="s">
        <v>1129</v>
      </c>
      <c r="F158" s="30" t="s">
        <v>1121</v>
      </c>
      <c r="G158" s="30">
        <v>42.8788358591342</v>
      </c>
      <c r="H158" s="30">
        <v>81.3600737070916</v>
      </c>
      <c r="I158" s="30" t="s">
        <v>52</v>
      </c>
    </row>
    <row r="159" ht="15.75" customHeight="1">
      <c r="A159" s="30" t="s">
        <v>1130</v>
      </c>
      <c r="B159" s="30" t="s">
        <v>1119</v>
      </c>
      <c r="C159" s="30" t="s">
        <v>886</v>
      </c>
      <c r="D159" s="30">
        <v>8.87</v>
      </c>
      <c r="E159" s="6" t="s">
        <v>1131</v>
      </c>
      <c r="F159" s="30" t="s">
        <v>1121</v>
      </c>
      <c r="G159" s="30">
        <v>42.8788358591342</v>
      </c>
      <c r="H159" s="30">
        <v>81.3600737070916</v>
      </c>
      <c r="I159" s="30" t="s">
        <v>52</v>
      </c>
    </row>
    <row r="160" ht="15.75" customHeight="1">
      <c r="A160" s="30" t="s">
        <v>1132</v>
      </c>
      <c r="B160" s="30" t="s">
        <v>1119</v>
      </c>
      <c r="C160" s="30" t="s">
        <v>886</v>
      </c>
      <c r="D160" s="30">
        <v>8.48</v>
      </c>
      <c r="E160" s="6" t="s">
        <v>1133</v>
      </c>
      <c r="F160" s="30" t="s">
        <v>1121</v>
      </c>
      <c r="G160" s="30">
        <v>42.8788358591342</v>
      </c>
      <c r="H160" s="30">
        <v>81.3600737070916</v>
      </c>
      <c r="I160" s="30" t="s">
        <v>52</v>
      </c>
    </row>
    <row r="161" ht="15.75" customHeight="1">
      <c r="A161" s="30" t="s">
        <v>1134</v>
      </c>
      <c r="B161" s="30" t="s">
        <v>1119</v>
      </c>
      <c r="C161" s="30" t="s">
        <v>886</v>
      </c>
      <c r="D161" s="30">
        <v>9.66</v>
      </c>
      <c r="E161" s="6" t="s">
        <v>1135</v>
      </c>
      <c r="F161" s="30" t="s">
        <v>1121</v>
      </c>
      <c r="G161" s="30">
        <v>42.8788358591342</v>
      </c>
      <c r="H161" s="30">
        <v>81.3600737070916</v>
      </c>
      <c r="I161" s="30" t="s">
        <v>52</v>
      </c>
    </row>
    <row r="162" ht="15.75" customHeight="1">
      <c r="A162" s="30" t="s">
        <v>1136</v>
      </c>
      <c r="B162" s="30" t="s">
        <v>1119</v>
      </c>
      <c r="C162" s="30" t="s">
        <v>886</v>
      </c>
      <c r="D162" s="30">
        <v>8.2</v>
      </c>
      <c r="E162" s="6" t="s">
        <v>1137</v>
      </c>
      <c r="F162" s="30" t="s">
        <v>1121</v>
      </c>
      <c r="G162" s="30">
        <v>42.8788358591342</v>
      </c>
      <c r="H162" s="30">
        <v>81.3600737070916</v>
      </c>
      <c r="I162" s="30" t="s">
        <v>52</v>
      </c>
    </row>
    <row r="163" ht="15.75" customHeight="1">
      <c r="A163" s="30" t="s">
        <v>1138</v>
      </c>
      <c r="B163" s="30" t="s">
        <v>1139</v>
      </c>
      <c r="C163" s="30" t="s">
        <v>843</v>
      </c>
      <c r="D163" s="30">
        <v>8.16</v>
      </c>
      <c r="E163" s="6" t="s">
        <v>1140</v>
      </c>
      <c r="F163" s="30" t="s">
        <v>845</v>
      </c>
      <c r="G163" s="30">
        <v>16.1021453150806</v>
      </c>
      <c r="H163" s="30">
        <v>31.9588823951628</v>
      </c>
      <c r="I163" s="30" t="s">
        <v>38</v>
      </c>
      <c r="M163" s="28"/>
    </row>
    <row r="164" ht="15.75" customHeight="1">
      <c r="A164" s="30" t="s">
        <v>1141</v>
      </c>
      <c r="B164" s="30" t="s">
        <v>1139</v>
      </c>
      <c r="C164" s="30" t="s">
        <v>843</v>
      </c>
      <c r="D164" s="30">
        <v>8.3</v>
      </c>
      <c r="E164" s="6" t="s">
        <v>1142</v>
      </c>
      <c r="F164" s="30" t="s">
        <v>845</v>
      </c>
      <c r="G164" s="30">
        <v>16.1021453150806</v>
      </c>
      <c r="H164" s="30">
        <v>31.9588823951628</v>
      </c>
      <c r="I164" s="30" t="s">
        <v>38</v>
      </c>
      <c r="M164" s="28"/>
    </row>
    <row r="165" ht="15.75" customHeight="1">
      <c r="A165" s="30" t="s">
        <v>1143</v>
      </c>
      <c r="B165" s="30" t="s">
        <v>1139</v>
      </c>
      <c r="C165" s="30" t="s">
        <v>843</v>
      </c>
      <c r="D165" s="30">
        <v>8.29</v>
      </c>
      <c r="E165" s="6" t="s">
        <v>1144</v>
      </c>
      <c r="F165" s="30" t="s">
        <v>845</v>
      </c>
      <c r="G165" s="30">
        <v>16.1021453150806</v>
      </c>
      <c r="H165" s="30">
        <v>31.9588823951628</v>
      </c>
      <c r="I165" s="30" t="s">
        <v>38</v>
      </c>
      <c r="M165" s="28"/>
    </row>
    <row r="166" ht="15.75" customHeight="1">
      <c r="A166" s="30" t="s">
        <v>1145</v>
      </c>
      <c r="B166" s="30" t="s">
        <v>1139</v>
      </c>
      <c r="C166" s="30" t="s">
        <v>843</v>
      </c>
      <c r="D166" s="30">
        <v>7.97</v>
      </c>
      <c r="E166" s="6" t="s">
        <v>1146</v>
      </c>
      <c r="F166" s="30" t="s">
        <v>845</v>
      </c>
      <c r="G166" s="30">
        <v>16.1021453150806</v>
      </c>
      <c r="H166" s="30">
        <v>31.9588823951628</v>
      </c>
      <c r="I166" s="30" t="s">
        <v>38</v>
      </c>
      <c r="M166" s="28"/>
    </row>
    <row r="167" ht="15.75" customHeight="1">
      <c r="A167" s="30" t="s">
        <v>1147</v>
      </c>
      <c r="B167" s="30" t="s">
        <v>1139</v>
      </c>
      <c r="C167" s="30" t="s">
        <v>843</v>
      </c>
      <c r="D167" s="30">
        <v>8.15</v>
      </c>
      <c r="E167" s="6" t="s">
        <v>1148</v>
      </c>
      <c r="F167" s="30" t="s">
        <v>845</v>
      </c>
      <c r="G167" s="30">
        <v>16.1021453150806</v>
      </c>
      <c r="H167" s="30">
        <v>31.9588823951628</v>
      </c>
      <c r="I167" s="30" t="s">
        <v>38</v>
      </c>
      <c r="M167" s="28"/>
    </row>
    <row r="168" ht="15.75" customHeight="1">
      <c r="A168" s="30" t="s">
        <v>1149</v>
      </c>
      <c r="B168" s="30" t="s">
        <v>1150</v>
      </c>
      <c r="C168" s="30" t="s">
        <v>754</v>
      </c>
      <c r="D168" s="30">
        <v>12.1</v>
      </c>
      <c r="E168" s="6" t="s">
        <v>1151</v>
      </c>
      <c r="F168" s="30" t="s">
        <v>69</v>
      </c>
      <c r="G168" s="30">
        <v>63.8914087167574</v>
      </c>
      <c r="H168" s="30">
        <v>39.86090007312</v>
      </c>
      <c r="I168" s="30" t="s">
        <v>38</v>
      </c>
    </row>
    <row r="169" ht="15.75" customHeight="1">
      <c r="A169" s="30" t="s">
        <v>1152</v>
      </c>
      <c r="B169" s="30" t="s">
        <v>1153</v>
      </c>
      <c r="C169" s="30" t="s">
        <v>886</v>
      </c>
      <c r="D169" s="30">
        <v>12.96</v>
      </c>
      <c r="E169" s="6" t="s">
        <v>1154</v>
      </c>
      <c r="F169" s="30" t="s">
        <v>1155</v>
      </c>
      <c r="G169" s="30">
        <v>30.0058929857822</v>
      </c>
      <c r="H169" s="30">
        <v>129.945100216564</v>
      </c>
      <c r="I169" s="30" t="s">
        <v>52</v>
      </c>
      <c r="L169" s="51" t="s">
        <v>743</v>
      </c>
    </row>
    <row r="170" ht="15.75" customHeight="1">
      <c r="A170" s="30" t="s">
        <v>1156</v>
      </c>
      <c r="B170" s="30" t="s">
        <v>1157</v>
      </c>
      <c r="C170" s="30" t="s">
        <v>767</v>
      </c>
      <c r="D170" s="30">
        <v>20.74</v>
      </c>
      <c r="E170" s="6" t="s">
        <v>1158</v>
      </c>
      <c r="F170" s="30" t="s">
        <v>1159</v>
      </c>
      <c r="G170" s="30">
        <v>8.94352269082782</v>
      </c>
      <c r="H170" s="30">
        <v>1.91983045793762</v>
      </c>
      <c r="I170" s="30" t="s">
        <v>52</v>
      </c>
    </row>
    <row r="171" ht="15.75" customHeight="1">
      <c r="A171" s="30" t="s">
        <v>1160</v>
      </c>
      <c r="B171" s="30" t="s">
        <v>1161</v>
      </c>
      <c r="C171" s="30" t="s">
        <v>740</v>
      </c>
      <c r="D171" s="30">
        <v>7.89</v>
      </c>
      <c r="E171" s="6" t="s">
        <v>1162</v>
      </c>
      <c r="F171" s="30" t="s">
        <v>60</v>
      </c>
      <c r="G171" s="30">
        <v>42.8815118172099</v>
      </c>
      <c r="H171" s="30">
        <v>-7.09010297819152</v>
      </c>
      <c r="I171" s="30" t="s">
        <v>52</v>
      </c>
      <c r="M171" s="28"/>
    </row>
    <row r="172" ht="15.75" customHeight="1">
      <c r="A172" s="30" t="s">
        <v>1163</v>
      </c>
      <c r="B172" s="30" t="s">
        <v>1164</v>
      </c>
      <c r="C172" s="30" t="s">
        <v>754</v>
      </c>
      <c r="D172" s="30">
        <v>3.53</v>
      </c>
      <c r="E172" s="6" t="s">
        <v>1165</v>
      </c>
      <c r="F172" s="30" t="s">
        <v>829</v>
      </c>
      <c r="G172" s="30">
        <v>45.6080984059285</v>
      </c>
      <c r="H172" s="30">
        <v>4.75356702429829</v>
      </c>
      <c r="I172" s="30" t="s">
        <v>52</v>
      </c>
    </row>
    <row r="173" ht="15.75" customHeight="1">
      <c r="A173" s="30" t="s">
        <v>1166</v>
      </c>
      <c r="B173" s="30" t="s">
        <v>1164</v>
      </c>
      <c r="C173" s="30" t="s">
        <v>754</v>
      </c>
      <c r="D173" s="30">
        <v>3.21</v>
      </c>
      <c r="E173" s="6" t="s">
        <v>1167</v>
      </c>
      <c r="F173" s="30" t="s">
        <v>829</v>
      </c>
      <c r="G173" s="30">
        <v>45.6080984059285</v>
      </c>
      <c r="H173" s="30">
        <v>4.75356702429829</v>
      </c>
      <c r="I173" s="30" t="s">
        <v>52</v>
      </c>
    </row>
    <row r="174" ht="15.75" customHeight="1">
      <c r="A174" s="30" t="s">
        <v>1168</v>
      </c>
      <c r="B174" s="30" t="s">
        <v>1164</v>
      </c>
      <c r="C174" s="30" t="s">
        <v>754</v>
      </c>
      <c r="D174" s="30">
        <v>10.36</v>
      </c>
      <c r="E174" s="6" t="s">
        <v>1169</v>
      </c>
      <c r="F174" s="30" t="s">
        <v>829</v>
      </c>
      <c r="G174" s="30">
        <v>45.6080984059285</v>
      </c>
      <c r="H174" s="30">
        <v>4.75356702429829</v>
      </c>
      <c r="I174" s="30" t="s">
        <v>52</v>
      </c>
      <c r="M174" s="28"/>
    </row>
    <row r="175" ht="15.75" customHeight="1">
      <c r="A175" s="30" t="s">
        <v>1170</v>
      </c>
      <c r="B175" s="30" t="s">
        <v>1164</v>
      </c>
      <c r="C175" s="30" t="s">
        <v>754</v>
      </c>
      <c r="D175" s="30">
        <v>10.13</v>
      </c>
      <c r="E175" s="6" t="s">
        <v>1171</v>
      </c>
      <c r="F175" s="30" t="s">
        <v>829</v>
      </c>
      <c r="G175" s="30">
        <v>45.6080984059285</v>
      </c>
      <c r="H175" s="30">
        <v>4.75356702429829</v>
      </c>
      <c r="I175" s="30" t="s">
        <v>52</v>
      </c>
      <c r="M175" s="28"/>
    </row>
    <row r="176" ht="15.75" customHeight="1">
      <c r="A176" s="30" t="s">
        <v>1172</v>
      </c>
      <c r="B176" s="30" t="s">
        <v>1173</v>
      </c>
      <c r="C176" s="30" t="s">
        <v>802</v>
      </c>
      <c r="D176" s="30">
        <v>8.32</v>
      </c>
      <c r="E176" s="6" t="s">
        <v>1174</v>
      </c>
      <c r="F176" s="30" t="s">
        <v>804</v>
      </c>
      <c r="G176" s="30">
        <v>33.9690436735713</v>
      </c>
      <c r="H176" s="30">
        <v>106.964452877467</v>
      </c>
      <c r="I176" s="30" t="s">
        <v>52</v>
      </c>
    </row>
    <row r="177" ht="15.75" customHeight="1">
      <c r="A177" s="30" t="s">
        <v>1175</v>
      </c>
      <c r="B177" s="30" t="s">
        <v>1173</v>
      </c>
      <c r="C177" s="30" t="s">
        <v>802</v>
      </c>
      <c r="D177" s="30">
        <v>8.3</v>
      </c>
      <c r="E177" s="6" t="s">
        <v>1176</v>
      </c>
      <c r="F177" s="30" t="s">
        <v>804</v>
      </c>
      <c r="G177" s="30">
        <v>33.9690436735713</v>
      </c>
      <c r="H177" s="30">
        <v>106.964452877467</v>
      </c>
      <c r="I177" s="30" t="s">
        <v>52</v>
      </c>
    </row>
    <row r="178" ht="15.75" customHeight="1">
      <c r="A178" s="30" t="s">
        <v>1177</v>
      </c>
      <c r="B178" s="30" t="s">
        <v>1173</v>
      </c>
      <c r="C178" s="30" t="s">
        <v>802</v>
      </c>
      <c r="D178" s="30">
        <v>8.0</v>
      </c>
      <c r="E178" s="6" t="s">
        <v>1178</v>
      </c>
      <c r="F178" s="30" t="s">
        <v>804</v>
      </c>
      <c r="G178" s="30">
        <v>33.9690436735713</v>
      </c>
      <c r="H178" s="30">
        <v>106.964452877467</v>
      </c>
      <c r="I178" s="30" t="s">
        <v>52</v>
      </c>
    </row>
    <row r="179" ht="15.75" customHeight="1">
      <c r="A179" s="30" t="s">
        <v>1179</v>
      </c>
      <c r="B179" s="30" t="s">
        <v>1173</v>
      </c>
      <c r="C179" s="30" t="s">
        <v>802</v>
      </c>
      <c r="D179" s="30">
        <v>6.15</v>
      </c>
      <c r="E179" s="6" t="s">
        <v>1180</v>
      </c>
      <c r="F179" s="30" t="s">
        <v>804</v>
      </c>
      <c r="G179" s="30">
        <v>33.9690436735713</v>
      </c>
      <c r="H179" s="30">
        <v>106.964452877467</v>
      </c>
      <c r="I179" s="30" t="s">
        <v>52</v>
      </c>
    </row>
    <row r="180" ht="15.75" customHeight="1">
      <c r="A180" s="30" t="s">
        <v>1181</v>
      </c>
      <c r="B180" s="30" t="s">
        <v>1173</v>
      </c>
      <c r="C180" s="30" t="s">
        <v>802</v>
      </c>
      <c r="D180" s="30">
        <v>9.4</v>
      </c>
      <c r="E180" s="6" t="s">
        <v>1182</v>
      </c>
      <c r="F180" s="30" t="s">
        <v>804</v>
      </c>
      <c r="G180" s="30">
        <v>33.9690436735713</v>
      </c>
      <c r="H180" s="30">
        <v>106.964452877467</v>
      </c>
      <c r="I180" s="30" t="s">
        <v>52</v>
      </c>
    </row>
    <row r="181" ht="15.75" customHeight="1">
      <c r="A181" s="30" t="s">
        <v>1183</v>
      </c>
      <c r="B181" s="30" t="s">
        <v>1184</v>
      </c>
      <c r="C181" s="30" t="s">
        <v>731</v>
      </c>
      <c r="D181" s="30">
        <v>19.43</v>
      </c>
      <c r="E181" s="6" t="s">
        <v>1185</v>
      </c>
      <c r="F181" s="30" t="s">
        <v>825</v>
      </c>
      <c r="G181" s="30">
        <v>27.9021350906386</v>
      </c>
      <c r="H181" s="30">
        <v>65.5554282338617</v>
      </c>
      <c r="I181" s="30" t="s">
        <v>52</v>
      </c>
      <c r="J181" s="51" t="s">
        <v>1000</v>
      </c>
    </row>
    <row r="182" ht="15.75" customHeight="1">
      <c r="A182" s="30" t="s">
        <v>1186</v>
      </c>
      <c r="B182" s="30" t="s">
        <v>1187</v>
      </c>
      <c r="C182" s="30" t="s">
        <v>802</v>
      </c>
      <c r="D182" s="30">
        <v>8.76</v>
      </c>
      <c r="E182" s="6" t="s">
        <v>1188</v>
      </c>
      <c r="F182" s="30" t="s">
        <v>804</v>
      </c>
      <c r="G182" s="30">
        <v>39.0991500379446</v>
      </c>
      <c r="H182" s="30">
        <v>116.616650992607</v>
      </c>
      <c r="I182" s="30" t="s">
        <v>52</v>
      </c>
    </row>
    <row r="183" ht="15.75" customHeight="1">
      <c r="A183" s="30" t="s">
        <v>1189</v>
      </c>
      <c r="B183" s="30" t="s">
        <v>1187</v>
      </c>
      <c r="C183" s="30" t="s">
        <v>802</v>
      </c>
      <c r="D183" s="30">
        <v>7.22</v>
      </c>
      <c r="E183" s="6" t="s">
        <v>1190</v>
      </c>
      <c r="F183" s="30" t="s">
        <v>804</v>
      </c>
      <c r="G183" s="30">
        <v>39.0991500379446</v>
      </c>
      <c r="H183" s="30">
        <v>116.616650992607</v>
      </c>
      <c r="I183" s="30" t="s">
        <v>52</v>
      </c>
    </row>
    <row r="184" ht="15.75" customHeight="1">
      <c r="A184" s="30" t="s">
        <v>1191</v>
      </c>
      <c r="B184" s="30" t="s">
        <v>1187</v>
      </c>
      <c r="C184" s="30" t="s">
        <v>802</v>
      </c>
      <c r="D184" s="30">
        <v>7.73</v>
      </c>
      <c r="E184" s="6" t="s">
        <v>1192</v>
      </c>
      <c r="F184" s="30" t="s">
        <v>804</v>
      </c>
      <c r="G184" s="30">
        <v>39.0991500379446</v>
      </c>
      <c r="H184" s="30">
        <v>116.616650992607</v>
      </c>
      <c r="I184" s="30" t="s">
        <v>52</v>
      </c>
    </row>
    <row r="185" ht="15.75" customHeight="1">
      <c r="A185" s="30" t="s">
        <v>1193</v>
      </c>
      <c r="B185" s="30" t="s">
        <v>1187</v>
      </c>
      <c r="C185" s="30" t="s">
        <v>802</v>
      </c>
      <c r="D185" s="30">
        <v>8.66</v>
      </c>
      <c r="E185" s="6" t="s">
        <v>1194</v>
      </c>
      <c r="F185" s="30" t="s">
        <v>804</v>
      </c>
      <c r="G185" s="30">
        <v>39.0991500379446</v>
      </c>
      <c r="H185" s="30">
        <v>116.616650992607</v>
      </c>
      <c r="I185" s="30" t="s">
        <v>52</v>
      </c>
    </row>
    <row r="186" ht="15.75" customHeight="1">
      <c r="A186" s="30" t="s">
        <v>1195</v>
      </c>
      <c r="B186" s="30" t="s">
        <v>1187</v>
      </c>
      <c r="C186" s="30" t="s">
        <v>802</v>
      </c>
      <c r="D186" s="30">
        <v>9.44</v>
      </c>
      <c r="E186" s="6" t="s">
        <v>1196</v>
      </c>
      <c r="F186" s="30" t="s">
        <v>804</v>
      </c>
      <c r="G186" s="30">
        <v>39.0991500379446</v>
      </c>
      <c r="H186" s="30">
        <v>116.616650992607</v>
      </c>
      <c r="I186" s="30" t="s">
        <v>52</v>
      </c>
    </row>
    <row r="187" ht="15.75" customHeight="1">
      <c r="A187" s="30" t="s">
        <v>1197</v>
      </c>
      <c r="B187" s="30" t="s">
        <v>1198</v>
      </c>
      <c r="C187" s="30" t="s">
        <v>754</v>
      </c>
      <c r="D187" s="30">
        <v>11.01</v>
      </c>
      <c r="E187" s="6" t="s">
        <v>1199</v>
      </c>
      <c r="F187" s="30" t="s">
        <v>829</v>
      </c>
      <c r="G187" s="30">
        <v>45.2861796461668</v>
      </c>
      <c r="H187" s="30">
        <v>4.38295047491601</v>
      </c>
      <c r="I187" s="30" t="s">
        <v>52</v>
      </c>
      <c r="M187" s="28"/>
    </row>
    <row r="188" ht="15.75" customHeight="1">
      <c r="A188" s="30" t="s">
        <v>1200</v>
      </c>
      <c r="B188" s="30" t="s">
        <v>1198</v>
      </c>
      <c r="C188" s="30" t="s">
        <v>754</v>
      </c>
      <c r="D188" s="30">
        <v>12.33</v>
      </c>
      <c r="E188" s="6" t="s">
        <v>1201</v>
      </c>
      <c r="F188" s="30" t="s">
        <v>829</v>
      </c>
      <c r="G188" s="30">
        <v>45.2861796461668</v>
      </c>
      <c r="H188" s="30">
        <v>4.38295047491601</v>
      </c>
      <c r="I188" s="30" t="s">
        <v>52</v>
      </c>
      <c r="M188" s="28"/>
    </row>
    <row r="189" ht="15.75" customHeight="1">
      <c r="A189" s="30" t="s">
        <v>1202</v>
      </c>
      <c r="B189" s="30" t="s">
        <v>1198</v>
      </c>
      <c r="C189" s="30" t="s">
        <v>754</v>
      </c>
      <c r="D189" s="30">
        <v>14.16</v>
      </c>
      <c r="E189" s="6" t="s">
        <v>1203</v>
      </c>
      <c r="F189" s="30" t="s">
        <v>829</v>
      </c>
      <c r="G189" s="30">
        <v>45.2861796461668</v>
      </c>
      <c r="H189" s="30">
        <v>4.38295047491601</v>
      </c>
      <c r="I189" s="30" t="s">
        <v>52</v>
      </c>
      <c r="M189" s="28"/>
    </row>
    <row r="190" ht="15.75" customHeight="1">
      <c r="A190" s="30" t="s">
        <v>1204</v>
      </c>
      <c r="B190" s="30" t="s">
        <v>1198</v>
      </c>
      <c r="C190" s="30" t="s">
        <v>754</v>
      </c>
      <c r="D190" s="30">
        <v>11.95</v>
      </c>
      <c r="E190" s="6" t="s">
        <v>1205</v>
      </c>
      <c r="F190" s="30" t="s">
        <v>829</v>
      </c>
      <c r="G190" s="30">
        <v>45.2861796461668</v>
      </c>
      <c r="H190" s="30">
        <v>4.38295047491601</v>
      </c>
      <c r="I190" s="30" t="s">
        <v>52</v>
      </c>
      <c r="M190" s="28"/>
    </row>
    <row r="191" ht="15.75" customHeight="1">
      <c r="A191" s="30" t="s">
        <v>1206</v>
      </c>
      <c r="B191" s="30" t="s">
        <v>1198</v>
      </c>
      <c r="C191" s="30" t="s">
        <v>754</v>
      </c>
      <c r="D191" s="30">
        <v>12.98</v>
      </c>
      <c r="E191" s="6" t="s">
        <v>1207</v>
      </c>
      <c r="F191" s="30" t="s">
        <v>829</v>
      </c>
      <c r="G191" s="30">
        <v>45.2861796461668</v>
      </c>
      <c r="H191" s="30">
        <v>4.38295047491601</v>
      </c>
      <c r="I191" s="30" t="s">
        <v>52</v>
      </c>
      <c r="M191" s="28"/>
    </row>
    <row r="192" ht="15.75" customHeight="1">
      <c r="A192" s="30" t="s">
        <v>1208</v>
      </c>
      <c r="B192" s="30" t="s">
        <v>1209</v>
      </c>
      <c r="C192" s="30" t="s">
        <v>854</v>
      </c>
      <c r="D192" s="30">
        <v>4.91</v>
      </c>
      <c r="E192" s="54" t="s">
        <v>1210</v>
      </c>
      <c r="F192" s="30" t="s">
        <v>1211</v>
      </c>
      <c r="G192" s="30">
        <v>35.9073383068919</v>
      </c>
      <c r="H192" s="30">
        <v>14.4181672596059</v>
      </c>
      <c r="I192" s="30" t="s">
        <v>38</v>
      </c>
      <c r="M192" s="28"/>
    </row>
    <row r="193" ht="15.75" customHeight="1">
      <c r="A193" s="30" t="s">
        <v>1212</v>
      </c>
      <c r="B193" s="30" t="s">
        <v>1209</v>
      </c>
      <c r="C193" s="30" t="s">
        <v>854</v>
      </c>
      <c r="D193" s="30">
        <v>6.33</v>
      </c>
      <c r="E193" s="52" t="s">
        <v>1213</v>
      </c>
      <c r="F193" s="30" t="s">
        <v>1211</v>
      </c>
      <c r="G193" s="30">
        <v>35.9073383068919</v>
      </c>
      <c r="H193" s="30">
        <v>14.4181672596059</v>
      </c>
      <c r="I193" s="30" t="s">
        <v>38</v>
      </c>
      <c r="M193" s="28"/>
    </row>
    <row r="194" ht="15.75" customHeight="1">
      <c r="A194" s="30" t="s">
        <v>1214</v>
      </c>
      <c r="B194" s="30" t="s">
        <v>1215</v>
      </c>
      <c r="C194" s="30" t="s">
        <v>854</v>
      </c>
      <c r="D194" s="30">
        <v>5.06</v>
      </c>
      <c r="E194" s="6" t="s">
        <v>1216</v>
      </c>
      <c r="F194" s="30" t="s">
        <v>140</v>
      </c>
      <c r="G194" s="30">
        <v>43.4112865104823</v>
      </c>
      <c r="H194" s="30">
        <v>10.6969789036386</v>
      </c>
      <c r="I194" s="30" t="s">
        <v>52</v>
      </c>
      <c r="M194" s="28"/>
    </row>
    <row r="195" ht="15.75" customHeight="1">
      <c r="A195" s="30" t="s">
        <v>1217</v>
      </c>
      <c r="B195" s="30" t="s">
        <v>1215</v>
      </c>
      <c r="C195" s="30" t="s">
        <v>854</v>
      </c>
      <c r="D195" s="30">
        <v>8.54</v>
      </c>
      <c r="E195" s="6" t="s">
        <v>1218</v>
      </c>
      <c r="F195" s="30" t="s">
        <v>140</v>
      </c>
      <c r="G195" s="30">
        <v>43.4112865104823</v>
      </c>
      <c r="H195" s="30">
        <v>10.6969789036386</v>
      </c>
      <c r="I195" s="30" t="s">
        <v>38</v>
      </c>
      <c r="M195" s="28"/>
    </row>
    <row r="196" ht="15.75" customHeight="1">
      <c r="A196" s="30" t="s">
        <v>1219</v>
      </c>
      <c r="B196" s="30" t="s">
        <v>1215</v>
      </c>
      <c r="C196" s="30" t="s">
        <v>854</v>
      </c>
      <c r="D196" s="30">
        <v>8.28</v>
      </c>
      <c r="E196" s="6" t="s">
        <v>1220</v>
      </c>
      <c r="F196" s="30" t="s">
        <v>140</v>
      </c>
      <c r="G196" s="30">
        <v>43.4112865104823</v>
      </c>
      <c r="H196" s="30">
        <v>10.6969789036386</v>
      </c>
      <c r="I196" s="30" t="s">
        <v>52</v>
      </c>
      <c r="M196" s="28"/>
    </row>
    <row r="197" ht="15.75" customHeight="1">
      <c r="A197" s="30" t="s">
        <v>1221</v>
      </c>
      <c r="B197" s="30" t="s">
        <v>1222</v>
      </c>
      <c r="C197" s="30" t="s">
        <v>740</v>
      </c>
      <c r="D197" s="30">
        <v>4.86</v>
      </c>
      <c r="E197" s="6" t="s">
        <v>1223</v>
      </c>
      <c r="F197" s="30" t="s">
        <v>1224</v>
      </c>
      <c r="G197" s="30">
        <v>41.5070854311972</v>
      </c>
      <c r="H197" s="30">
        <v>-7.72730871679531</v>
      </c>
      <c r="I197" s="30" t="s">
        <v>52</v>
      </c>
      <c r="M197" s="28"/>
    </row>
    <row r="198" ht="15.75" customHeight="1">
      <c r="A198" s="30" t="s">
        <v>1225</v>
      </c>
      <c r="B198" s="30" t="s">
        <v>1226</v>
      </c>
      <c r="C198" s="30" t="s">
        <v>886</v>
      </c>
      <c r="D198" s="30">
        <v>8.35</v>
      </c>
      <c r="E198" s="6" t="s">
        <v>1227</v>
      </c>
      <c r="F198" s="30" t="s">
        <v>1155</v>
      </c>
      <c r="G198" s="30">
        <v>34.7747767581712</v>
      </c>
      <c r="H198" s="30">
        <v>131.1433146433</v>
      </c>
      <c r="I198" s="30" t="s">
        <v>38</v>
      </c>
      <c r="M198" s="28"/>
    </row>
    <row r="199" ht="15.75" customHeight="1">
      <c r="A199" s="30" t="s">
        <v>1228</v>
      </c>
      <c r="B199" s="30" t="s">
        <v>1226</v>
      </c>
      <c r="C199" s="30" t="s">
        <v>886</v>
      </c>
      <c r="D199" s="30">
        <v>8.2</v>
      </c>
      <c r="E199" s="6" t="s">
        <v>1229</v>
      </c>
      <c r="F199" s="30" t="s">
        <v>1155</v>
      </c>
      <c r="G199" s="30">
        <v>34.7747767581712</v>
      </c>
      <c r="H199" s="30">
        <v>131.1433146433</v>
      </c>
      <c r="I199" s="30" t="s">
        <v>38</v>
      </c>
      <c r="M199" s="28"/>
    </row>
    <row r="200" ht="15.75" customHeight="1">
      <c r="A200" s="30" t="s">
        <v>1230</v>
      </c>
      <c r="B200" s="30" t="s">
        <v>1226</v>
      </c>
      <c r="C200" s="30" t="s">
        <v>886</v>
      </c>
      <c r="D200" s="30">
        <v>4.88</v>
      </c>
      <c r="E200" s="6" t="s">
        <v>1231</v>
      </c>
      <c r="F200" s="30" t="s">
        <v>1155</v>
      </c>
      <c r="G200" s="30">
        <v>34.7747767581712</v>
      </c>
      <c r="H200" s="30">
        <v>131.1433146433</v>
      </c>
      <c r="I200" s="30" t="s">
        <v>38</v>
      </c>
      <c r="M200" s="28"/>
    </row>
    <row r="201" ht="15.75" customHeight="1">
      <c r="A201" s="30" t="s">
        <v>1232</v>
      </c>
      <c r="B201" s="30" t="s">
        <v>1226</v>
      </c>
      <c r="C201" s="30" t="s">
        <v>886</v>
      </c>
      <c r="D201" s="30">
        <v>8.79</v>
      </c>
      <c r="E201" s="6" t="s">
        <v>1233</v>
      </c>
      <c r="F201" s="30" t="s">
        <v>1155</v>
      </c>
      <c r="G201" s="30">
        <v>34.7747767581712</v>
      </c>
      <c r="H201" s="30">
        <v>131.1433146433</v>
      </c>
      <c r="I201" s="30" t="s">
        <v>38</v>
      </c>
      <c r="M201" s="28"/>
    </row>
    <row r="202" ht="15.75" customHeight="1">
      <c r="A202" s="30" t="s">
        <v>1234</v>
      </c>
      <c r="B202" s="30" t="s">
        <v>1226</v>
      </c>
      <c r="C202" s="30" t="s">
        <v>886</v>
      </c>
      <c r="D202" s="30">
        <v>8.06</v>
      </c>
      <c r="E202" s="6" t="s">
        <v>1235</v>
      </c>
      <c r="F202" s="30" t="s">
        <v>1155</v>
      </c>
      <c r="G202" s="30">
        <v>34.7747767581712</v>
      </c>
      <c r="H202" s="30">
        <v>131.1433146433</v>
      </c>
      <c r="I202" s="30" t="s">
        <v>38</v>
      </c>
      <c r="M202" s="28"/>
    </row>
    <row r="203" ht="15.75" customHeight="1">
      <c r="A203" s="30" t="s">
        <v>1236</v>
      </c>
      <c r="B203" s="30" t="s">
        <v>1226</v>
      </c>
      <c r="C203" s="30" t="s">
        <v>886</v>
      </c>
      <c r="D203" s="30">
        <v>9.6</v>
      </c>
      <c r="E203" s="6" t="s">
        <v>1237</v>
      </c>
      <c r="F203" s="30" t="s">
        <v>1155</v>
      </c>
      <c r="G203" s="30">
        <v>34.7747767581712</v>
      </c>
      <c r="H203" s="30">
        <v>131.1433146433</v>
      </c>
      <c r="I203" s="30" t="s">
        <v>38</v>
      </c>
      <c r="M203" s="28"/>
    </row>
    <row r="204" ht="15.75" customHeight="1">
      <c r="A204" s="30" t="s">
        <v>1238</v>
      </c>
      <c r="B204" s="30" t="s">
        <v>1226</v>
      </c>
      <c r="C204" s="30" t="s">
        <v>886</v>
      </c>
      <c r="D204" s="30">
        <v>6.37</v>
      </c>
      <c r="E204" s="6" t="s">
        <v>1239</v>
      </c>
      <c r="F204" s="30" t="s">
        <v>1155</v>
      </c>
      <c r="G204" s="30">
        <v>34.7747767581712</v>
      </c>
      <c r="H204" s="30">
        <v>131.1433146433</v>
      </c>
      <c r="I204" s="30" t="s">
        <v>38</v>
      </c>
      <c r="M204" s="28"/>
    </row>
    <row r="205" ht="15.75" customHeight="1">
      <c r="A205" s="30" t="s">
        <v>1240</v>
      </c>
      <c r="B205" s="30" t="s">
        <v>1226</v>
      </c>
      <c r="C205" s="30" t="s">
        <v>886</v>
      </c>
      <c r="D205" s="30">
        <v>6.61</v>
      </c>
      <c r="E205" s="6" t="s">
        <v>1241</v>
      </c>
      <c r="F205" s="30" t="s">
        <v>1155</v>
      </c>
      <c r="G205" s="30">
        <v>34.7747767581712</v>
      </c>
      <c r="H205" s="30">
        <v>131.1433146433</v>
      </c>
      <c r="I205" s="30" t="s">
        <v>52</v>
      </c>
      <c r="M205" s="28"/>
    </row>
    <row r="206" ht="15.75" customHeight="1">
      <c r="A206" s="30" t="s">
        <v>1242</v>
      </c>
      <c r="B206" s="30" t="s">
        <v>1243</v>
      </c>
      <c r="C206" s="30" t="s">
        <v>886</v>
      </c>
      <c r="D206" s="30">
        <v>9.1</v>
      </c>
      <c r="E206" s="6" t="s">
        <v>1244</v>
      </c>
      <c r="F206" s="30" t="s">
        <v>1121</v>
      </c>
      <c r="G206" s="30">
        <v>39.8653901289382</v>
      </c>
      <c r="H206" s="30">
        <v>86.2935797682961</v>
      </c>
      <c r="I206" s="30" t="s">
        <v>52</v>
      </c>
    </row>
    <row r="207" ht="15.75" customHeight="1">
      <c r="A207" s="30" t="s">
        <v>1245</v>
      </c>
      <c r="B207" s="30" t="s">
        <v>1243</v>
      </c>
      <c r="C207" s="30" t="s">
        <v>886</v>
      </c>
      <c r="D207" s="30">
        <v>10.46</v>
      </c>
      <c r="E207" s="6" t="s">
        <v>1246</v>
      </c>
      <c r="F207" s="30" t="s">
        <v>1121</v>
      </c>
      <c r="G207" s="30">
        <v>39.8653901289382</v>
      </c>
      <c r="H207" s="30">
        <v>86.2935797682961</v>
      </c>
      <c r="I207" s="30" t="s">
        <v>52</v>
      </c>
    </row>
    <row r="208" ht="15.75" customHeight="1">
      <c r="A208" s="30" t="s">
        <v>1247</v>
      </c>
      <c r="B208" s="30" t="s">
        <v>1243</v>
      </c>
      <c r="C208" s="30" t="s">
        <v>886</v>
      </c>
      <c r="D208" s="30">
        <v>10.16</v>
      </c>
      <c r="E208" s="6" t="s">
        <v>1248</v>
      </c>
      <c r="F208" s="30" t="s">
        <v>1121</v>
      </c>
      <c r="G208" s="30">
        <v>39.8653901289382</v>
      </c>
      <c r="H208" s="30">
        <v>86.2935797682961</v>
      </c>
      <c r="I208" s="30" t="s">
        <v>52</v>
      </c>
    </row>
    <row r="209" ht="15.75" customHeight="1">
      <c r="A209" s="30" t="s">
        <v>1249</v>
      </c>
      <c r="B209" s="30" t="s">
        <v>1243</v>
      </c>
      <c r="C209" s="30" t="s">
        <v>886</v>
      </c>
      <c r="D209" s="30">
        <v>10.03</v>
      </c>
      <c r="E209" s="6" t="s">
        <v>1250</v>
      </c>
      <c r="F209" s="30" t="s">
        <v>1121</v>
      </c>
      <c r="G209" s="30">
        <v>39.8653901289382</v>
      </c>
      <c r="H209" s="30">
        <v>86.2935797682961</v>
      </c>
      <c r="I209" s="30" t="s">
        <v>52</v>
      </c>
    </row>
    <row r="210" ht="15.75" customHeight="1">
      <c r="A210" s="30" t="s">
        <v>1251</v>
      </c>
      <c r="B210" s="30" t="s">
        <v>1243</v>
      </c>
      <c r="C210" s="30" t="s">
        <v>886</v>
      </c>
      <c r="D210" s="30">
        <v>10.79</v>
      </c>
      <c r="E210" s="6" t="s">
        <v>1252</v>
      </c>
      <c r="F210" s="30" t="s">
        <v>1121</v>
      </c>
      <c r="G210" s="30">
        <v>39.8653901289382</v>
      </c>
      <c r="H210" s="30">
        <v>86.2935797682961</v>
      </c>
      <c r="I210" s="30" t="s">
        <v>52</v>
      </c>
    </row>
    <row r="211" ht="15.75" customHeight="1">
      <c r="A211" s="30" t="s">
        <v>1253</v>
      </c>
      <c r="B211" s="30" t="s">
        <v>1254</v>
      </c>
      <c r="C211" s="30" t="s">
        <v>754</v>
      </c>
      <c r="D211" s="30">
        <v>8.07</v>
      </c>
      <c r="E211" s="6" t="s">
        <v>1255</v>
      </c>
      <c r="F211" s="30" t="s">
        <v>829</v>
      </c>
      <c r="G211" s="30">
        <v>47.9763853614989</v>
      </c>
      <c r="H211" s="30">
        <v>6.27855887282293</v>
      </c>
      <c r="I211" s="30" t="s">
        <v>52</v>
      </c>
      <c r="M211" s="28"/>
    </row>
    <row r="212" ht="15.75" customHeight="1">
      <c r="A212" s="30" t="s">
        <v>1256</v>
      </c>
      <c r="B212" s="30" t="s">
        <v>1254</v>
      </c>
      <c r="C212" s="30" t="s">
        <v>754</v>
      </c>
      <c r="D212" s="30">
        <v>8.5</v>
      </c>
      <c r="E212" s="6" t="s">
        <v>1257</v>
      </c>
      <c r="F212" s="30" t="s">
        <v>829</v>
      </c>
      <c r="G212" s="30">
        <v>47.9763853614989</v>
      </c>
      <c r="H212" s="30">
        <v>6.27855887282293</v>
      </c>
      <c r="I212" s="30" t="s">
        <v>52</v>
      </c>
      <c r="M212" s="28"/>
    </row>
    <row r="213" ht="15.75" customHeight="1">
      <c r="A213" s="30" t="s">
        <v>1258</v>
      </c>
      <c r="B213" s="30" t="s">
        <v>1254</v>
      </c>
      <c r="C213" s="30" t="s">
        <v>754</v>
      </c>
      <c r="D213" s="30">
        <v>9.2</v>
      </c>
      <c r="E213" s="6" t="s">
        <v>1259</v>
      </c>
      <c r="F213" s="30" t="s">
        <v>829</v>
      </c>
      <c r="G213" s="30">
        <v>47.9763853614989</v>
      </c>
      <c r="H213" s="30">
        <v>6.27855887282293</v>
      </c>
      <c r="I213" s="30" t="s">
        <v>52</v>
      </c>
      <c r="M213" s="28"/>
    </row>
    <row r="214" ht="15.75" customHeight="1">
      <c r="A214" s="30" t="s">
        <v>1260</v>
      </c>
      <c r="B214" s="30" t="s">
        <v>1254</v>
      </c>
      <c r="C214" s="30" t="s">
        <v>754</v>
      </c>
      <c r="D214" s="30">
        <v>6.18</v>
      </c>
      <c r="E214" s="6" t="s">
        <v>1261</v>
      </c>
      <c r="F214" s="30" t="s">
        <v>829</v>
      </c>
      <c r="G214" s="30">
        <v>47.9763853614989</v>
      </c>
      <c r="H214" s="30">
        <v>6.27855887282293</v>
      </c>
      <c r="I214" s="30" t="s">
        <v>52</v>
      </c>
      <c r="M214" s="28"/>
    </row>
    <row r="215" ht="15.75" customHeight="1">
      <c r="A215" s="30" t="s">
        <v>1262</v>
      </c>
      <c r="B215" s="30" t="s">
        <v>1254</v>
      </c>
      <c r="C215" s="30" t="s">
        <v>754</v>
      </c>
      <c r="D215" s="30">
        <v>8.52</v>
      </c>
      <c r="E215" s="6" t="s">
        <v>1263</v>
      </c>
      <c r="F215" s="30" t="s">
        <v>829</v>
      </c>
      <c r="G215" s="30">
        <v>47.9763853614989</v>
      </c>
      <c r="H215" s="30">
        <v>6.27855887282293</v>
      </c>
      <c r="I215" s="30" t="s">
        <v>52</v>
      </c>
      <c r="M215" s="28"/>
    </row>
    <row r="216" ht="15.75" customHeight="1">
      <c r="A216" s="30" t="s">
        <v>1264</v>
      </c>
      <c r="B216" s="30" t="s">
        <v>1265</v>
      </c>
      <c r="C216" s="30" t="s">
        <v>767</v>
      </c>
      <c r="D216" s="30">
        <v>8.94</v>
      </c>
      <c r="E216" s="6" t="s">
        <v>1266</v>
      </c>
      <c r="F216" s="30" t="s">
        <v>769</v>
      </c>
      <c r="G216" s="30">
        <v>7.53810366526567</v>
      </c>
      <c r="H216" s="30">
        <v>-10.5320678485493</v>
      </c>
      <c r="I216" s="30" t="s">
        <v>38</v>
      </c>
      <c r="L216" s="51" t="s">
        <v>743</v>
      </c>
    </row>
    <row r="217" ht="15.75" customHeight="1">
      <c r="A217" s="30" t="s">
        <v>1267</v>
      </c>
      <c r="B217" s="30" t="s">
        <v>1265</v>
      </c>
      <c r="C217" s="30" t="s">
        <v>767</v>
      </c>
      <c r="D217" s="30">
        <v>6.82</v>
      </c>
      <c r="E217" s="6" t="s">
        <v>1268</v>
      </c>
      <c r="F217" s="30" t="s">
        <v>769</v>
      </c>
      <c r="G217" s="30">
        <v>7.53810366526567</v>
      </c>
      <c r="H217" s="30">
        <v>-10.5320678485493</v>
      </c>
      <c r="I217" s="30" t="s">
        <v>38</v>
      </c>
      <c r="L217" s="51" t="s">
        <v>743</v>
      </c>
    </row>
    <row r="218" ht="15.75" customHeight="1">
      <c r="A218" s="30" t="s">
        <v>1269</v>
      </c>
      <c r="B218" s="30" t="s">
        <v>1265</v>
      </c>
      <c r="C218" s="30" t="s">
        <v>767</v>
      </c>
      <c r="D218" s="30">
        <v>7.38</v>
      </c>
      <c r="E218" s="6" t="s">
        <v>1270</v>
      </c>
      <c r="F218" s="30" t="s">
        <v>769</v>
      </c>
      <c r="G218" s="30">
        <v>7.53810366526567</v>
      </c>
      <c r="H218" s="30">
        <v>-10.5320678485493</v>
      </c>
      <c r="I218" s="30" t="s">
        <v>38</v>
      </c>
    </row>
    <row r="219" ht="15.75" customHeight="1">
      <c r="A219" s="30" t="s">
        <v>1271</v>
      </c>
      <c r="B219" s="30" t="s">
        <v>1265</v>
      </c>
      <c r="C219" s="30" t="s">
        <v>767</v>
      </c>
      <c r="D219" s="30">
        <v>8.05</v>
      </c>
      <c r="E219" s="6" t="s">
        <v>1272</v>
      </c>
      <c r="F219" s="30" t="s">
        <v>769</v>
      </c>
      <c r="G219" s="30">
        <v>7.53810366526567</v>
      </c>
      <c r="H219" s="30">
        <v>-10.5320678485493</v>
      </c>
      <c r="I219" s="30" t="s">
        <v>38</v>
      </c>
    </row>
    <row r="220" ht="15.75" customHeight="1">
      <c r="A220" s="30" t="s">
        <v>1273</v>
      </c>
      <c r="B220" s="30" t="s">
        <v>1265</v>
      </c>
      <c r="C220" s="30" t="s">
        <v>767</v>
      </c>
      <c r="D220" s="30">
        <v>7.64</v>
      </c>
      <c r="E220" s="6" t="s">
        <v>1274</v>
      </c>
      <c r="F220" s="30" t="s">
        <v>769</v>
      </c>
      <c r="G220" s="30">
        <v>7.53810366526567</v>
      </c>
      <c r="H220" s="30">
        <v>-10.5320678485493</v>
      </c>
      <c r="I220" s="30" t="s">
        <v>38</v>
      </c>
    </row>
    <row r="221" ht="15.75" customHeight="1">
      <c r="A221" s="30" t="s">
        <v>1275</v>
      </c>
      <c r="B221" s="30" t="s">
        <v>1265</v>
      </c>
      <c r="C221" s="30" t="s">
        <v>767</v>
      </c>
      <c r="D221" s="30">
        <v>9.11</v>
      </c>
      <c r="E221" s="6" t="s">
        <v>1276</v>
      </c>
      <c r="F221" s="30" t="s">
        <v>769</v>
      </c>
      <c r="G221" s="30">
        <v>7.53810366526567</v>
      </c>
      <c r="H221" s="30">
        <v>-10.5320678485493</v>
      </c>
      <c r="I221" s="30" t="s">
        <v>38</v>
      </c>
    </row>
    <row r="222" ht="15.75" customHeight="1">
      <c r="A222" s="30" t="s">
        <v>1277</v>
      </c>
      <c r="B222" s="30" t="s">
        <v>1265</v>
      </c>
      <c r="C222" s="30" t="s">
        <v>767</v>
      </c>
      <c r="D222" s="30">
        <v>6.44</v>
      </c>
      <c r="E222" s="6" t="s">
        <v>1278</v>
      </c>
      <c r="F222" s="30" t="s">
        <v>769</v>
      </c>
      <c r="G222" s="30">
        <v>7.53810366526567</v>
      </c>
      <c r="H222" s="30">
        <v>-10.5320678485493</v>
      </c>
      <c r="I222" s="30" t="s">
        <v>52</v>
      </c>
    </row>
    <row r="223" ht="15.75" customHeight="1">
      <c r="A223" s="30" t="s">
        <v>1279</v>
      </c>
      <c r="B223" s="30" t="s">
        <v>1280</v>
      </c>
      <c r="C223" s="30" t="s">
        <v>802</v>
      </c>
      <c r="D223" s="30">
        <v>7.96</v>
      </c>
      <c r="E223" s="6" t="s">
        <v>1281</v>
      </c>
      <c r="F223" s="30" t="s">
        <v>888</v>
      </c>
      <c r="G223" s="30">
        <v>30.8396794927734</v>
      </c>
      <c r="H223" s="30">
        <v>111.543681871527</v>
      </c>
      <c r="I223" s="30" t="s">
        <v>52</v>
      </c>
    </row>
    <row r="224" ht="15.75" customHeight="1">
      <c r="A224" s="30" t="s">
        <v>1282</v>
      </c>
      <c r="B224" s="30" t="s">
        <v>1280</v>
      </c>
      <c r="C224" s="30" t="s">
        <v>802</v>
      </c>
      <c r="D224" s="30">
        <v>8.81</v>
      </c>
      <c r="E224" s="6" t="s">
        <v>1283</v>
      </c>
      <c r="F224" s="30" t="s">
        <v>888</v>
      </c>
      <c r="G224" s="30">
        <v>30.8396794927734</v>
      </c>
      <c r="H224" s="30">
        <v>111.543681871527</v>
      </c>
      <c r="I224" s="30" t="s">
        <v>38</v>
      </c>
    </row>
    <row r="225" ht="15.75" customHeight="1">
      <c r="A225" s="30" t="s">
        <v>1284</v>
      </c>
      <c r="B225" s="30" t="s">
        <v>1285</v>
      </c>
      <c r="C225" s="30" t="s">
        <v>767</v>
      </c>
      <c r="D225" s="30">
        <v>7.19</v>
      </c>
      <c r="E225" s="6" t="s">
        <v>1286</v>
      </c>
      <c r="F225" s="30" t="s">
        <v>769</v>
      </c>
      <c r="G225" s="30">
        <v>12.9462660447779</v>
      </c>
      <c r="H225" s="30">
        <v>-11.6704457487335</v>
      </c>
      <c r="I225" s="30" t="s">
        <v>38</v>
      </c>
      <c r="M225" s="28"/>
    </row>
    <row r="226" ht="15.75" customHeight="1">
      <c r="A226" s="30" t="s">
        <v>1287</v>
      </c>
      <c r="B226" s="30" t="s">
        <v>1285</v>
      </c>
      <c r="C226" s="30" t="s">
        <v>767</v>
      </c>
      <c r="D226" s="30">
        <v>7.9</v>
      </c>
      <c r="E226" s="6" t="s">
        <v>1288</v>
      </c>
      <c r="F226" s="30" t="s">
        <v>769</v>
      </c>
      <c r="G226" s="30">
        <v>12.9462660447779</v>
      </c>
      <c r="H226" s="30">
        <v>-11.6704457487335</v>
      </c>
      <c r="I226" s="30" t="s">
        <v>38</v>
      </c>
      <c r="M226" s="28"/>
    </row>
    <row r="227" ht="15.75" customHeight="1">
      <c r="A227" s="30" t="s">
        <v>1289</v>
      </c>
      <c r="B227" s="30" t="s">
        <v>1285</v>
      </c>
      <c r="C227" s="30" t="s">
        <v>767</v>
      </c>
      <c r="D227" s="30">
        <v>7.09</v>
      </c>
      <c r="E227" s="6" t="s">
        <v>1290</v>
      </c>
      <c r="F227" s="30" t="s">
        <v>769</v>
      </c>
      <c r="G227" s="30">
        <v>12.9462660447779</v>
      </c>
      <c r="H227" s="30">
        <v>-11.6704457487335</v>
      </c>
      <c r="I227" s="30" t="s">
        <v>38</v>
      </c>
      <c r="M227" s="28"/>
    </row>
    <row r="228" ht="15.75" customHeight="1">
      <c r="A228" s="30" t="s">
        <v>1291</v>
      </c>
      <c r="B228" s="30" t="s">
        <v>1285</v>
      </c>
      <c r="C228" s="30" t="s">
        <v>767</v>
      </c>
      <c r="D228" s="30">
        <v>7.8</v>
      </c>
      <c r="E228" s="6" t="s">
        <v>1292</v>
      </c>
      <c r="F228" s="30" t="s">
        <v>769</v>
      </c>
      <c r="G228" s="30">
        <v>12.9462660447779</v>
      </c>
      <c r="H228" s="30">
        <v>-11.6704457487335</v>
      </c>
      <c r="I228" s="30" t="s">
        <v>38</v>
      </c>
      <c r="M228" s="28"/>
    </row>
    <row r="229" ht="15.75" customHeight="1">
      <c r="A229" s="30" t="s">
        <v>1293</v>
      </c>
      <c r="B229" s="30" t="s">
        <v>1285</v>
      </c>
      <c r="C229" s="30" t="s">
        <v>767</v>
      </c>
      <c r="D229" s="30">
        <v>7.31</v>
      </c>
      <c r="E229" s="6" t="s">
        <v>1294</v>
      </c>
      <c r="F229" s="30" t="s">
        <v>769</v>
      </c>
      <c r="G229" s="30">
        <v>12.9462660447779</v>
      </c>
      <c r="H229" s="30">
        <v>-11.6704457487335</v>
      </c>
      <c r="I229" s="30" t="s">
        <v>38</v>
      </c>
      <c r="M229" s="28"/>
    </row>
    <row r="230" ht="15.75" customHeight="1">
      <c r="A230" s="30" t="s">
        <v>1295</v>
      </c>
      <c r="B230" s="30" t="s">
        <v>1285</v>
      </c>
      <c r="C230" s="30" t="s">
        <v>767</v>
      </c>
      <c r="D230" s="30">
        <v>7.6</v>
      </c>
      <c r="E230" s="6" t="s">
        <v>1296</v>
      </c>
      <c r="F230" s="30" t="s">
        <v>769</v>
      </c>
      <c r="G230" s="30">
        <v>12.9462660447779</v>
      </c>
      <c r="H230" s="30">
        <v>-11.6704457487335</v>
      </c>
      <c r="I230" s="30" t="s">
        <v>38</v>
      </c>
      <c r="M230" s="28"/>
    </row>
    <row r="231" ht="15.75" customHeight="1">
      <c r="A231" s="30" t="s">
        <v>1297</v>
      </c>
      <c r="B231" s="30" t="s">
        <v>1285</v>
      </c>
      <c r="C231" s="30" t="s">
        <v>767</v>
      </c>
      <c r="D231" s="30">
        <v>7.42</v>
      </c>
      <c r="E231" s="6" t="s">
        <v>1298</v>
      </c>
      <c r="F231" s="30" t="s">
        <v>769</v>
      </c>
      <c r="G231" s="30">
        <v>12.9462660447779</v>
      </c>
      <c r="H231" s="30">
        <v>-11.6704457487335</v>
      </c>
      <c r="I231" s="30" t="s">
        <v>38</v>
      </c>
      <c r="M231" s="28"/>
    </row>
    <row r="232" ht="15.75" customHeight="1">
      <c r="A232" s="30" t="s">
        <v>1299</v>
      </c>
      <c r="B232" s="30" t="s">
        <v>1285</v>
      </c>
      <c r="C232" s="30" t="s">
        <v>767</v>
      </c>
      <c r="D232" s="30">
        <v>8.14</v>
      </c>
      <c r="E232" s="6" t="s">
        <v>1290</v>
      </c>
      <c r="F232" s="30" t="s">
        <v>769</v>
      </c>
      <c r="G232" s="30">
        <v>12.9462660447779</v>
      </c>
      <c r="H232" s="30">
        <v>-11.6704457487335</v>
      </c>
      <c r="I232" s="30" t="s">
        <v>38</v>
      </c>
      <c r="M232" s="28"/>
    </row>
    <row r="233" ht="15.75" customHeight="1">
      <c r="A233" s="30" t="s">
        <v>1300</v>
      </c>
      <c r="B233" s="30" t="s">
        <v>1285</v>
      </c>
      <c r="C233" s="30" t="s">
        <v>767</v>
      </c>
      <c r="D233" s="30">
        <v>8.44</v>
      </c>
      <c r="E233" s="6" t="s">
        <v>1292</v>
      </c>
      <c r="F233" s="30" t="s">
        <v>769</v>
      </c>
      <c r="G233" s="30">
        <v>12.9462660447779</v>
      </c>
      <c r="H233" s="30">
        <v>-11.6704457487335</v>
      </c>
      <c r="I233" s="30" t="s">
        <v>38</v>
      </c>
      <c r="M233" s="28"/>
    </row>
    <row r="234" ht="15.75" customHeight="1">
      <c r="A234" s="30" t="s">
        <v>1301</v>
      </c>
      <c r="B234" s="30" t="s">
        <v>1285</v>
      </c>
      <c r="C234" s="30" t="s">
        <v>767</v>
      </c>
      <c r="D234" s="30">
        <v>8.21</v>
      </c>
      <c r="E234" s="6" t="s">
        <v>1294</v>
      </c>
      <c r="F234" s="30" t="s">
        <v>769</v>
      </c>
      <c r="G234" s="30">
        <v>12.9462660447779</v>
      </c>
      <c r="H234" s="30">
        <v>-11.6704457487335</v>
      </c>
      <c r="I234" s="30" t="s">
        <v>38</v>
      </c>
      <c r="M234" s="28"/>
    </row>
    <row r="235" ht="15.75" customHeight="1">
      <c r="A235" s="30" t="s">
        <v>1302</v>
      </c>
      <c r="B235" s="30" t="s">
        <v>1303</v>
      </c>
      <c r="C235" s="30" t="s">
        <v>731</v>
      </c>
      <c r="D235" s="30">
        <v>2.94</v>
      </c>
      <c r="E235" s="6" t="s">
        <v>1304</v>
      </c>
      <c r="F235" s="30" t="s">
        <v>1305</v>
      </c>
      <c r="G235" s="30" t="s">
        <v>861</v>
      </c>
      <c r="H235" s="30" t="s">
        <v>861</v>
      </c>
      <c r="I235" s="30" t="s">
        <v>52</v>
      </c>
    </row>
    <row r="236" ht="15.75" customHeight="1">
      <c r="A236" s="30" t="s">
        <v>1306</v>
      </c>
      <c r="B236" s="30" t="s">
        <v>1303</v>
      </c>
      <c r="C236" s="30" t="s">
        <v>731</v>
      </c>
      <c r="D236" s="30">
        <v>2.71</v>
      </c>
      <c r="E236" s="6" t="s">
        <v>1307</v>
      </c>
      <c r="F236" s="30" t="s">
        <v>1305</v>
      </c>
      <c r="G236" s="30" t="s">
        <v>861</v>
      </c>
      <c r="H236" s="30" t="s">
        <v>861</v>
      </c>
      <c r="I236" s="30" t="s">
        <v>52</v>
      </c>
    </row>
    <row r="237" ht="15.75" customHeight="1">
      <c r="A237" s="30" t="s">
        <v>1308</v>
      </c>
      <c r="B237" s="30" t="s">
        <v>1309</v>
      </c>
      <c r="C237" s="30" t="s">
        <v>754</v>
      </c>
      <c r="D237" s="30">
        <v>9.87</v>
      </c>
      <c r="E237" s="6" t="s">
        <v>1310</v>
      </c>
      <c r="F237" s="30" t="s">
        <v>829</v>
      </c>
      <c r="G237" s="30">
        <v>48.7459738715027</v>
      </c>
      <c r="H237" s="30">
        <v>0.368656388058529</v>
      </c>
      <c r="I237" s="30" t="s">
        <v>38</v>
      </c>
      <c r="M237" s="28"/>
    </row>
    <row r="238" ht="15.75" customHeight="1">
      <c r="A238" s="30" t="s">
        <v>1311</v>
      </c>
      <c r="B238" s="30" t="s">
        <v>1309</v>
      </c>
      <c r="C238" s="30" t="s">
        <v>754</v>
      </c>
      <c r="D238" s="30">
        <v>7.71</v>
      </c>
      <c r="E238" s="6" t="s">
        <v>1312</v>
      </c>
      <c r="F238" s="30" t="s">
        <v>829</v>
      </c>
      <c r="G238" s="30">
        <v>48.7459738715027</v>
      </c>
      <c r="H238" s="30">
        <v>0.368656388058529</v>
      </c>
      <c r="I238" s="30" t="s">
        <v>38</v>
      </c>
      <c r="M238" s="28"/>
    </row>
    <row r="239" ht="15.75" customHeight="1">
      <c r="A239" s="30" t="s">
        <v>1313</v>
      </c>
      <c r="B239" s="30" t="s">
        <v>1309</v>
      </c>
      <c r="C239" s="30" t="s">
        <v>754</v>
      </c>
      <c r="D239" s="30">
        <v>6.9</v>
      </c>
      <c r="E239" s="6" t="s">
        <v>1314</v>
      </c>
      <c r="F239" s="30" t="s">
        <v>829</v>
      </c>
      <c r="G239" s="30">
        <v>48.7459738715027</v>
      </c>
      <c r="H239" s="30">
        <v>0.368656388058529</v>
      </c>
      <c r="I239" s="30" t="s">
        <v>38</v>
      </c>
      <c r="M239" s="28"/>
    </row>
    <row r="240" ht="15.75" customHeight="1">
      <c r="A240" s="30" t="s">
        <v>1315</v>
      </c>
      <c r="B240" s="30" t="s">
        <v>1309</v>
      </c>
      <c r="C240" s="30" t="s">
        <v>754</v>
      </c>
      <c r="D240" s="30">
        <v>7.18</v>
      </c>
      <c r="E240" s="6" t="s">
        <v>1316</v>
      </c>
      <c r="F240" s="30" t="s">
        <v>829</v>
      </c>
      <c r="G240" s="30">
        <v>48.7459738715027</v>
      </c>
      <c r="H240" s="30">
        <v>0.368656388058529</v>
      </c>
      <c r="I240" s="30" t="s">
        <v>38</v>
      </c>
      <c r="M240" s="28"/>
    </row>
    <row r="241" ht="15.75" customHeight="1">
      <c r="A241" s="30" t="s">
        <v>1317</v>
      </c>
      <c r="B241" s="30" t="s">
        <v>1309</v>
      </c>
      <c r="C241" s="30" t="s">
        <v>754</v>
      </c>
      <c r="D241" s="30">
        <v>9.04</v>
      </c>
      <c r="E241" s="6" t="s">
        <v>1318</v>
      </c>
      <c r="F241" s="30" t="s">
        <v>829</v>
      </c>
      <c r="G241" s="30">
        <v>48.7459738715027</v>
      </c>
      <c r="H241" s="30">
        <v>0.368656388058529</v>
      </c>
      <c r="I241" s="30" t="s">
        <v>38</v>
      </c>
      <c r="M241" s="28"/>
    </row>
    <row r="242" ht="15.75" customHeight="1">
      <c r="A242" s="30" t="s">
        <v>1319</v>
      </c>
      <c r="B242" s="30" t="s">
        <v>1320</v>
      </c>
      <c r="C242" s="30" t="s">
        <v>843</v>
      </c>
      <c r="D242" s="30">
        <v>7.57</v>
      </c>
      <c r="E242" s="6" t="s">
        <v>1321</v>
      </c>
      <c r="F242" s="30" t="s">
        <v>1322</v>
      </c>
      <c r="G242" s="30">
        <v>11.2359078239562</v>
      </c>
      <c r="H242" s="30">
        <v>36.8807574059404</v>
      </c>
      <c r="I242" s="30" t="s">
        <v>38</v>
      </c>
      <c r="M242" s="28"/>
    </row>
    <row r="243" ht="15.75" customHeight="1">
      <c r="A243" s="30" t="s">
        <v>1323</v>
      </c>
      <c r="B243" s="30" t="s">
        <v>1320</v>
      </c>
      <c r="C243" s="30" t="s">
        <v>843</v>
      </c>
      <c r="D243" s="30">
        <v>8.35</v>
      </c>
      <c r="E243" s="6" t="s">
        <v>1324</v>
      </c>
      <c r="F243" s="30" t="s">
        <v>1322</v>
      </c>
      <c r="G243" s="30">
        <v>11.2359078239562</v>
      </c>
      <c r="H243" s="30">
        <v>36.8807574059404</v>
      </c>
      <c r="I243" s="30" t="s">
        <v>38</v>
      </c>
      <c r="M243" s="28"/>
    </row>
    <row r="244" ht="15.75" customHeight="1">
      <c r="A244" s="30" t="s">
        <v>1325</v>
      </c>
      <c r="B244" s="30" t="s">
        <v>1320</v>
      </c>
      <c r="C244" s="30" t="s">
        <v>843</v>
      </c>
      <c r="D244" s="30">
        <v>7.8</v>
      </c>
      <c r="E244" s="6" t="s">
        <v>1326</v>
      </c>
      <c r="F244" s="30" t="s">
        <v>1322</v>
      </c>
      <c r="G244" s="30">
        <v>11.2359078239562</v>
      </c>
      <c r="H244" s="30">
        <v>36.8807574059404</v>
      </c>
      <c r="I244" s="30" t="s">
        <v>38</v>
      </c>
      <c r="M244" s="28"/>
    </row>
    <row r="245" ht="15.75" customHeight="1">
      <c r="A245" s="30" t="s">
        <v>1327</v>
      </c>
      <c r="B245" s="30" t="s">
        <v>1320</v>
      </c>
      <c r="C245" s="30" t="s">
        <v>843</v>
      </c>
      <c r="D245" s="30">
        <v>7.91</v>
      </c>
      <c r="E245" s="6" t="s">
        <v>1328</v>
      </c>
      <c r="F245" s="30" t="s">
        <v>1322</v>
      </c>
      <c r="G245" s="30">
        <v>11.2359078239562</v>
      </c>
      <c r="H245" s="30">
        <v>36.8807574059404</v>
      </c>
      <c r="I245" s="30" t="s">
        <v>38</v>
      </c>
      <c r="M245" s="28"/>
    </row>
    <row r="246" ht="15.75" customHeight="1">
      <c r="A246" s="30" t="s">
        <v>1329</v>
      </c>
      <c r="B246" s="30" t="s">
        <v>1320</v>
      </c>
      <c r="C246" s="30" t="s">
        <v>843</v>
      </c>
      <c r="D246" s="30">
        <v>8.1</v>
      </c>
      <c r="E246" s="6" t="s">
        <v>1330</v>
      </c>
      <c r="F246" s="30" t="s">
        <v>1322</v>
      </c>
      <c r="G246" s="30">
        <v>11.2359078239562</v>
      </c>
      <c r="H246" s="30">
        <v>36.8807574059404</v>
      </c>
      <c r="I246" s="30" t="s">
        <v>38</v>
      </c>
      <c r="M246" s="28"/>
    </row>
    <row r="247" ht="15.75" customHeight="1">
      <c r="A247" s="30" t="s">
        <v>1331</v>
      </c>
      <c r="B247" s="30" t="s">
        <v>1332</v>
      </c>
      <c r="C247" s="30" t="s">
        <v>754</v>
      </c>
      <c r="D247" s="30">
        <v>13.3</v>
      </c>
      <c r="E247" s="6" t="s">
        <v>1333</v>
      </c>
      <c r="F247" s="30" t="s">
        <v>869</v>
      </c>
      <c r="G247" s="30">
        <v>47.589462851751</v>
      </c>
      <c r="H247" s="30">
        <v>9.52059668596401</v>
      </c>
      <c r="I247" s="30" t="s">
        <v>38</v>
      </c>
    </row>
    <row r="248" ht="15.75" customHeight="1">
      <c r="A248" s="30" t="s">
        <v>1334</v>
      </c>
      <c r="B248" s="30" t="s">
        <v>1335</v>
      </c>
      <c r="C248" s="30" t="s">
        <v>740</v>
      </c>
      <c r="D248" s="30">
        <v>8.43</v>
      </c>
      <c r="E248" s="6" t="s">
        <v>1336</v>
      </c>
      <c r="F248" s="30" t="s">
        <v>60</v>
      </c>
      <c r="G248" s="30">
        <v>37.1699002171083</v>
      </c>
      <c r="H248" s="30">
        <v>-4.02857307207019</v>
      </c>
      <c r="I248" s="30" t="s">
        <v>52</v>
      </c>
      <c r="M248" s="28"/>
    </row>
    <row r="249" ht="15.75" customHeight="1">
      <c r="A249" s="30" t="s">
        <v>1337</v>
      </c>
      <c r="B249" s="30" t="s">
        <v>1335</v>
      </c>
      <c r="C249" s="30" t="s">
        <v>740</v>
      </c>
      <c r="D249" s="30">
        <v>8.29</v>
      </c>
      <c r="E249" s="6" t="s">
        <v>1338</v>
      </c>
      <c r="F249" s="30" t="s">
        <v>60</v>
      </c>
      <c r="G249" s="30">
        <v>37.1699002171083</v>
      </c>
      <c r="H249" s="30">
        <v>-4.02857307207019</v>
      </c>
      <c r="I249" s="30" t="s">
        <v>52</v>
      </c>
      <c r="M249" s="28"/>
    </row>
    <row r="250" ht="15.75" customHeight="1">
      <c r="A250" s="30" t="s">
        <v>1339</v>
      </c>
      <c r="B250" s="30" t="s">
        <v>1340</v>
      </c>
      <c r="C250" s="30" t="s">
        <v>754</v>
      </c>
      <c r="D250" s="30">
        <v>5.87</v>
      </c>
      <c r="E250" s="6" t="s">
        <v>1341</v>
      </c>
      <c r="F250" s="30" t="s">
        <v>829</v>
      </c>
      <c r="G250" s="30">
        <v>44.6271902334153</v>
      </c>
      <c r="H250" s="30">
        <v>8.6295606584594</v>
      </c>
      <c r="I250" s="30" t="s">
        <v>52</v>
      </c>
      <c r="M250" s="28"/>
    </row>
    <row r="251" ht="15.75" customHeight="1">
      <c r="A251" s="30" t="s">
        <v>1342</v>
      </c>
      <c r="B251" s="30" t="s">
        <v>1340</v>
      </c>
      <c r="C251" s="30" t="s">
        <v>754</v>
      </c>
      <c r="D251" s="30">
        <v>4.91</v>
      </c>
      <c r="E251" s="6" t="s">
        <v>1343</v>
      </c>
      <c r="F251" s="30" t="s">
        <v>829</v>
      </c>
      <c r="G251" s="30">
        <v>44.6271902334153</v>
      </c>
      <c r="H251" s="30">
        <v>8.6295606584594</v>
      </c>
      <c r="I251" s="30" t="s">
        <v>52</v>
      </c>
      <c r="M251" s="28"/>
    </row>
    <row r="252" ht="15.75" customHeight="1">
      <c r="A252" s="30" t="s">
        <v>1344</v>
      </c>
      <c r="B252" s="30" t="s">
        <v>1340</v>
      </c>
      <c r="C252" s="30" t="s">
        <v>754</v>
      </c>
      <c r="D252" s="30">
        <v>5.6</v>
      </c>
      <c r="E252" s="6" t="s">
        <v>1345</v>
      </c>
      <c r="F252" s="30" t="s">
        <v>829</v>
      </c>
      <c r="G252" s="30">
        <v>44.6271902334153</v>
      </c>
      <c r="H252" s="30">
        <v>8.6295606584594</v>
      </c>
      <c r="I252" s="30" t="s">
        <v>52</v>
      </c>
      <c r="M252" s="28"/>
    </row>
    <row r="253" ht="15.75" customHeight="1">
      <c r="A253" s="30" t="s">
        <v>1346</v>
      </c>
      <c r="B253" s="30" t="s">
        <v>1340</v>
      </c>
      <c r="C253" s="30" t="s">
        <v>754</v>
      </c>
      <c r="D253" s="30">
        <v>5.14</v>
      </c>
      <c r="E253" s="6" t="s">
        <v>1347</v>
      </c>
      <c r="F253" s="30" t="s">
        <v>829</v>
      </c>
      <c r="G253" s="30">
        <v>44.6271902334153</v>
      </c>
      <c r="H253" s="30">
        <v>8.6295606584594</v>
      </c>
      <c r="I253" s="30" t="s">
        <v>52</v>
      </c>
      <c r="M253" s="28"/>
    </row>
    <row r="254" ht="15.75" customHeight="1">
      <c r="A254" s="30" t="s">
        <v>1348</v>
      </c>
      <c r="B254" s="30" t="s">
        <v>1340</v>
      </c>
      <c r="C254" s="30" t="s">
        <v>754</v>
      </c>
      <c r="D254" s="30">
        <v>5.99</v>
      </c>
      <c r="E254" s="6" t="s">
        <v>1349</v>
      </c>
      <c r="F254" s="30" t="s">
        <v>829</v>
      </c>
      <c r="G254" s="30">
        <v>44.6271902334153</v>
      </c>
      <c r="H254" s="30">
        <v>8.6295606584594</v>
      </c>
      <c r="I254" s="30" t="s">
        <v>52</v>
      </c>
      <c r="M254" s="28"/>
    </row>
    <row r="255" ht="15.75" customHeight="1">
      <c r="A255" s="30" t="s">
        <v>1350</v>
      </c>
      <c r="B255" s="30" t="s">
        <v>1351</v>
      </c>
      <c r="C255" s="30" t="s">
        <v>854</v>
      </c>
      <c r="D255" s="30">
        <v>7.59</v>
      </c>
      <c r="E255" s="6" t="s">
        <v>1352</v>
      </c>
      <c r="F255" s="30" t="s">
        <v>140</v>
      </c>
      <c r="G255" s="30">
        <v>40.3005955510295</v>
      </c>
      <c r="H255" s="30">
        <v>16.355314331132</v>
      </c>
      <c r="I255" s="30" t="s">
        <v>38</v>
      </c>
      <c r="M255" s="28"/>
    </row>
    <row r="256" ht="15.75" customHeight="1">
      <c r="A256" s="30" t="s">
        <v>1353</v>
      </c>
      <c r="B256" s="30" t="s">
        <v>1354</v>
      </c>
      <c r="C256" s="30" t="s">
        <v>1355</v>
      </c>
      <c r="D256" s="30">
        <v>10.51</v>
      </c>
      <c r="E256" s="6" t="s">
        <v>1356</v>
      </c>
      <c r="F256" s="30" t="s">
        <v>471</v>
      </c>
      <c r="G256" s="30">
        <v>35.504420026146</v>
      </c>
      <c r="H256" s="30">
        <v>54.3536337384886</v>
      </c>
      <c r="I256" s="30" t="s">
        <v>38</v>
      </c>
    </row>
    <row r="257" ht="15.75" customHeight="1">
      <c r="A257" s="30" t="s">
        <v>1357</v>
      </c>
      <c r="B257" s="30" t="s">
        <v>1354</v>
      </c>
      <c r="C257" s="30" t="s">
        <v>1355</v>
      </c>
      <c r="D257" s="30">
        <v>9.33</v>
      </c>
      <c r="E257" s="6" t="s">
        <v>1358</v>
      </c>
      <c r="F257" s="30" t="s">
        <v>471</v>
      </c>
      <c r="G257" s="30">
        <v>35.504420026146</v>
      </c>
      <c r="H257" s="30">
        <v>54.3536337384886</v>
      </c>
      <c r="I257" s="30" t="s">
        <v>38</v>
      </c>
    </row>
    <row r="258" ht="15.75" customHeight="1">
      <c r="A258" s="30" t="s">
        <v>1359</v>
      </c>
      <c r="B258" s="30" t="s">
        <v>1354</v>
      </c>
      <c r="C258" s="30" t="s">
        <v>1355</v>
      </c>
      <c r="D258" s="30">
        <v>11.13</v>
      </c>
      <c r="E258" s="6" t="s">
        <v>1360</v>
      </c>
      <c r="F258" s="30" t="s">
        <v>471</v>
      </c>
      <c r="G258" s="30">
        <v>35.504420026146</v>
      </c>
      <c r="H258" s="30">
        <v>54.3536337384886</v>
      </c>
      <c r="I258" s="30" t="s">
        <v>38</v>
      </c>
    </row>
    <row r="259" ht="15.75" customHeight="1">
      <c r="A259" s="30" t="s">
        <v>1361</v>
      </c>
      <c r="B259" s="30" t="s">
        <v>1354</v>
      </c>
      <c r="C259" s="30" t="s">
        <v>1355</v>
      </c>
      <c r="D259" s="30">
        <v>12.4</v>
      </c>
      <c r="E259" s="6" t="s">
        <v>1362</v>
      </c>
      <c r="F259" s="30" t="s">
        <v>471</v>
      </c>
      <c r="G259" s="30">
        <v>35.504420026146</v>
      </c>
      <c r="H259" s="30">
        <v>54.3536337384886</v>
      </c>
      <c r="I259" s="30" t="s">
        <v>38</v>
      </c>
    </row>
    <row r="260" ht="15.75" customHeight="1">
      <c r="A260" s="30" t="s">
        <v>1363</v>
      </c>
      <c r="B260" s="30" t="s">
        <v>1354</v>
      </c>
      <c r="C260" s="30" t="s">
        <v>1355</v>
      </c>
      <c r="D260" s="30">
        <v>10.72</v>
      </c>
      <c r="E260" s="6" t="s">
        <v>1364</v>
      </c>
      <c r="F260" s="30" t="s">
        <v>471</v>
      </c>
      <c r="G260" s="30">
        <v>35.504420026146</v>
      </c>
      <c r="H260" s="30">
        <v>54.3536337384886</v>
      </c>
      <c r="I260" s="30" t="s">
        <v>38</v>
      </c>
    </row>
    <row r="261" ht="15.75" customHeight="1">
      <c r="A261" s="30" t="s">
        <v>1365</v>
      </c>
      <c r="B261" s="30" t="s">
        <v>1366</v>
      </c>
      <c r="C261" s="30" t="s">
        <v>754</v>
      </c>
      <c r="D261" s="30">
        <v>5.75</v>
      </c>
      <c r="E261" s="6" t="s">
        <v>1367</v>
      </c>
      <c r="F261" s="30" t="s">
        <v>756</v>
      </c>
      <c r="G261" s="30">
        <v>57.2632219823544</v>
      </c>
      <c r="H261" s="30">
        <v>-3.7910152413348</v>
      </c>
      <c r="I261" s="30" t="s">
        <v>52</v>
      </c>
      <c r="M261" s="28"/>
    </row>
    <row r="262" ht="15.75" customHeight="1">
      <c r="A262" s="30" t="s">
        <v>1368</v>
      </c>
      <c r="B262" s="30" t="s">
        <v>1366</v>
      </c>
      <c r="C262" s="30" t="s">
        <v>754</v>
      </c>
      <c r="D262" s="30">
        <v>0.6</v>
      </c>
      <c r="E262" s="6" t="s">
        <v>1369</v>
      </c>
      <c r="F262" s="30" t="s">
        <v>756</v>
      </c>
      <c r="G262" s="30">
        <v>57.2632219823544</v>
      </c>
      <c r="H262" s="30">
        <v>-3.7910152413348</v>
      </c>
      <c r="I262" s="30" t="s">
        <v>38</v>
      </c>
      <c r="M262" s="28"/>
    </row>
    <row r="263" ht="15.75" customHeight="1">
      <c r="A263" s="30" t="s">
        <v>1370</v>
      </c>
      <c r="B263" s="30" t="s">
        <v>1371</v>
      </c>
      <c r="C263" s="30" t="s">
        <v>731</v>
      </c>
      <c r="D263" s="30">
        <v>18.74</v>
      </c>
      <c r="E263" s="6" t="s">
        <v>1372</v>
      </c>
      <c r="F263" s="30" t="s">
        <v>825</v>
      </c>
      <c r="G263" s="30">
        <v>25.6594986616389</v>
      </c>
      <c r="H263" s="30">
        <v>71.0932465253157</v>
      </c>
      <c r="I263" s="30" t="s">
        <v>52</v>
      </c>
      <c r="J263" s="51" t="s">
        <v>1000</v>
      </c>
    </row>
    <row r="264" ht="15.75" customHeight="1">
      <c r="A264" s="30" t="s">
        <v>1373</v>
      </c>
      <c r="B264" s="30" t="s">
        <v>1374</v>
      </c>
      <c r="C264" s="30" t="s">
        <v>731</v>
      </c>
      <c r="D264" s="30">
        <v>17.9</v>
      </c>
      <c r="E264" s="6" t="s">
        <v>1375</v>
      </c>
      <c r="F264" s="30" t="s">
        <v>825</v>
      </c>
      <c r="G264" s="30">
        <v>30.6670875841335</v>
      </c>
      <c r="H264" s="30">
        <v>73.0943911990226</v>
      </c>
      <c r="I264" s="30" t="s">
        <v>38</v>
      </c>
    </row>
    <row r="265" ht="15.75" customHeight="1">
      <c r="A265" s="30" t="s">
        <v>1376</v>
      </c>
      <c r="B265" s="30" t="s">
        <v>1377</v>
      </c>
      <c r="C265" s="30" t="s">
        <v>754</v>
      </c>
      <c r="D265" s="30">
        <v>10.04</v>
      </c>
      <c r="E265" s="6" t="s">
        <v>1378</v>
      </c>
      <c r="F265" s="30" t="s">
        <v>829</v>
      </c>
      <c r="G265" s="30">
        <v>45.1098331647863</v>
      </c>
      <c r="H265" s="30">
        <v>2.66641875624612</v>
      </c>
      <c r="I265" s="30" t="s">
        <v>52</v>
      </c>
      <c r="M265" s="28"/>
    </row>
    <row r="266" ht="15.75" customHeight="1">
      <c r="A266" s="30" t="s">
        <v>1379</v>
      </c>
      <c r="B266" s="30" t="s">
        <v>1377</v>
      </c>
      <c r="C266" s="30" t="s">
        <v>754</v>
      </c>
      <c r="D266" s="30">
        <v>5.54</v>
      </c>
      <c r="E266" s="6" t="s">
        <v>1380</v>
      </c>
      <c r="F266" s="30" t="s">
        <v>829</v>
      </c>
      <c r="G266" s="30">
        <v>45.1098331647863</v>
      </c>
      <c r="H266" s="30">
        <v>2.66641875624612</v>
      </c>
      <c r="I266" s="30" t="s">
        <v>38</v>
      </c>
      <c r="M266" s="28"/>
    </row>
    <row r="267" ht="15.75" customHeight="1">
      <c r="A267" s="30" t="s">
        <v>1381</v>
      </c>
      <c r="B267" s="30" t="s">
        <v>1382</v>
      </c>
      <c r="C267" s="30" t="s">
        <v>740</v>
      </c>
      <c r="D267" s="30">
        <v>7.7</v>
      </c>
      <c r="E267" s="6" t="s">
        <v>1383</v>
      </c>
      <c r="F267" s="30" t="s">
        <v>60</v>
      </c>
      <c r="G267" s="30">
        <v>41.5032121295309</v>
      </c>
      <c r="H267" s="30">
        <v>-5.74191350634981</v>
      </c>
      <c r="I267" s="30" t="s">
        <v>38</v>
      </c>
      <c r="M267" s="28"/>
    </row>
    <row r="268" ht="15.75" customHeight="1">
      <c r="A268" s="30" t="s">
        <v>1384</v>
      </c>
      <c r="B268" s="30" t="s">
        <v>1382</v>
      </c>
      <c r="C268" s="30" t="s">
        <v>740</v>
      </c>
      <c r="D268" s="30">
        <v>8.45</v>
      </c>
      <c r="E268" s="6" t="s">
        <v>1385</v>
      </c>
      <c r="F268" s="30" t="s">
        <v>60</v>
      </c>
      <c r="G268" s="30">
        <v>41.5032121295309</v>
      </c>
      <c r="H268" s="30">
        <v>-5.74191350634981</v>
      </c>
      <c r="I268" s="30" t="s">
        <v>38</v>
      </c>
      <c r="M268" s="28"/>
    </row>
    <row r="269" ht="15.75" customHeight="1">
      <c r="A269" s="30" t="s">
        <v>1386</v>
      </c>
      <c r="B269" s="30" t="s">
        <v>1387</v>
      </c>
      <c r="C269" s="30" t="s">
        <v>754</v>
      </c>
      <c r="D269" s="30">
        <v>12.58</v>
      </c>
      <c r="E269" s="6" t="s">
        <v>1388</v>
      </c>
      <c r="F269" s="30" t="s">
        <v>756</v>
      </c>
      <c r="G269" s="30">
        <v>57.0851759999434</v>
      </c>
      <c r="H269" s="30">
        <v>-2.68938513053868</v>
      </c>
      <c r="I269" s="30" t="s">
        <v>38</v>
      </c>
      <c r="L269" s="51" t="s">
        <v>743</v>
      </c>
    </row>
    <row r="270" ht="15.75" customHeight="1">
      <c r="A270" s="30" t="s">
        <v>1389</v>
      </c>
      <c r="B270" s="30" t="s">
        <v>1387</v>
      </c>
      <c r="C270" s="30" t="s">
        <v>754</v>
      </c>
      <c r="D270" s="30">
        <v>32.72</v>
      </c>
      <c r="E270" s="6" t="s">
        <v>1390</v>
      </c>
      <c r="F270" s="30" t="s">
        <v>756</v>
      </c>
      <c r="G270" s="30">
        <v>57.0851759999434</v>
      </c>
      <c r="H270" s="30">
        <v>-2.68938513053868</v>
      </c>
      <c r="I270" s="30" t="s">
        <v>52</v>
      </c>
    </row>
    <row r="271" ht="15.75" customHeight="1">
      <c r="A271" s="30" t="s">
        <v>1391</v>
      </c>
      <c r="B271" s="30" t="s">
        <v>1387</v>
      </c>
      <c r="C271" s="30" t="s">
        <v>754</v>
      </c>
      <c r="D271" s="30">
        <v>10.87</v>
      </c>
      <c r="E271" s="6" t="s">
        <v>1392</v>
      </c>
      <c r="F271" s="30" t="s">
        <v>756</v>
      </c>
      <c r="G271" s="30">
        <v>57.0851759999434</v>
      </c>
      <c r="H271" s="30">
        <v>-2.68938513053868</v>
      </c>
      <c r="I271" s="30" t="s">
        <v>38</v>
      </c>
    </row>
    <row r="272" ht="15.75" customHeight="1">
      <c r="A272" s="30" t="s">
        <v>1393</v>
      </c>
      <c r="B272" s="30" t="s">
        <v>1394</v>
      </c>
      <c r="C272" s="30" t="s">
        <v>754</v>
      </c>
      <c r="D272" s="30">
        <v>9.17</v>
      </c>
      <c r="E272" s="6" t="s">
        <v>1395</v>
      </c>
      <c r="F272" s="30" t="s">
        <v>422</v>
      </c>
      <c r="G272" s="30">
        <v>54.2433896948217</v>
      </c>
      <c r="H272" s="30">
        <v>-1.75921927205701</v>
      </c>
      <c r="I272" s="30" t="s">
        <v>52</v>
      </c>
      <c r="M272" s="28"/>
    </row>
    <row r="273" ht="15.75" customHeight="1">
      <c r="A273" s="30" t="s">
        <v>1396</v>
      </c>
      <c r="B273" s="30" t="s">
        <v>1394</v>
      </c>
      <c r="C273" s="30" t="s">
        <v>754</v>
      </c>
      <c r="D273" s="30">
        <v>1.41</v>
      </c>
      <c r="E273" s="6" t="s">
        <v>1397</v>
      </c>
      <c r="F273" s="30" t="s">
        <v>422</v>
      </c>
      <c r="G273" s="30">
        <v>54.2433896948217</v>
      </c>
      <c r="H273" s="30">
        <v>-1.75921927205701</v>
      </c>
      <c r="I273" s="30" t="s">
        <v>38</v>
      </c>
      <c r="M273" s="28"/>
    </row>
    <row r="274" ht="15.75" customHeight="1">
      <c r="A274" s="30" t="s">
        <v>1398</v>
      </c>
      <c r="B274" s="30" t="s">
        <v>1399</v>
      </c>
      <c r="C274" s="30" t="s">
        <v>854</v>
      </c>
      <c r="D274" s="30">
        <v>17.37</v>
      </c>
      <c r="E274" s="6" t="s">
        <v>1400</v>
      </c>
      <c r="F274" s="30" t="s">
        <v>704</v>
      </c>
      <c r="G274" s="30">
        <v>40.0388234730809</v>
      </c>
      <c r="H274" s="30">
        <v>23.9434062401627</v>
      </c>
      <c r="I274" s="30" t="s">
        <v>38</v>
      </c>
    </row>
    <row r="275" ht="15.75" customHeight="1">
      <c r="A275" s="30" t="s">
        <v>1401</v>
      </c>
      <c r="B275" s="30" t="s">
        <v>1402</v>
      </c>
      <c r="C275" s="30" t="s">
        <v>754</v>
      </c>
      <c r="D275" s="30">
        <v>10.32</v>
      </c>
      <c r="E275" s="6" t="s">
        <v>1403</v>
      </c>
      <c r="F275" s="30" t="s">
        <v>869</v>
      </c>
      <c r="G275" s="30">
        <v>46.0027882390556</v>
      </c>
      <c r="H275" s="30">
        <v>6.002400325765</v>
      </c>
      <c r="I275" s="30" t="s">
        <v>38</v>
      </c>
      <c r="M275" s="28"/>
    </row>
    <row r="276" ht="15.75" customHeight="1">
      <c r="A276" s="30" t="s">
        <v>1404</v>
      </c>
      <c r="B276" s="30" t="s">
        <v>1402</v>
      </c>
      <c r="C276" s="30" t="s">
        <v>754</v>
      </c>
      <c r="D276" s="30">
        <v>10.18</v>
      </c>
      <c r="E276" s="6" t="s">
        <v>1405</v>
      </c>
      <c r="F276" s="30" t="s">
        <v>869</v>
      </c>
      <c r="G276" s="30">
        <v>46.0027882390556</v>
      </c>
      <c r="H276" s="30">
        <v>6.002400325765</v>
      </c>
      <c r="I276" s="30" t="s">
        <v>38</v>
      </c>
      <c r="M276" s="28"/>
    </row>
    <row r="277" ht="15.75" customHeight="1">
      <c r="A277" s="30" t="s">
        <v>1406</v>
      </c>
      <c r="B277" s="30" t="s">
        <v>1402</v>
      </c>
      <c r="C277" s="30" t="s">
        <v>754</v>
      </c>
      <c r="D277" s="30">
        <v>9.73</v>
      </c>
      <c r="E277" s="6" t="s">
        <v>1407</v>
      </c>
      <c r="F277" s="30" t="s">
        <v>869</v>
      </c>
      <c r="G277" s="30">
        <v>46.0027882390556</v>
      </c>
      <c r="H277" s="30">
        <v>6.002400325765</v>
      </c>
      <c r="I277" s="30" t="s">
        <v>38</v>
      </c>
      <c r="M277" s="28"/>
    </row>
    <row r="278" ht="15.75" customHeight="1">
      <c r="A278" s="30" t="s">
        <v>1408</v>
      </c>
      <c r="B278" s="30" t="s">
        <v>1402</v>
      </c>
      <c r="C278" s="30" t="s">
        <v>754</v>
      </c>
      <c r="D278" s="30">
        <v>11.0</v>
      </c>
      <c r="E278" s="6" t="s">
        <v>1409</v>
      </c>
      <c r="F278" s="30" t="s">
        <v>869</v>
      </c>
      <c r="G278" s="30">
        <v>46.0027882390556</v>
      </c>
      <c r="H278" s="30">
        <v>6.002400325765</v>
      </c>
      <c r="I278" s="30" t="s">
        <v>38</v>
      </c>
      <c r="M278" s="28"/>
    </row>
    <row r="279" ht="15.75" customHeight="1">
      <c r="A279" s="30" t="s">
        <v>1410</v>
      </c>
      <c r="B279" s="30" t="s">
        <v>1402</v>
      </c>
      <c r="C279" s="30" t="s">
        <v>754</v>
      </c>
      <c r="D279" s="30">
        <v>9.55</v>
      </c>
      <c r="E279" s="6" t="s">
        <v>1411</v>
      </c>
      <c r="F279" s="30" t="s">
        <v>869</v>
      </c>
      <c r="G279" s="30">
        <v>46.0027882390556</v>
      </c>
      <c r="H279" s="30">
        <v>6.002400325765</v>
      </c>
      <c r="I279" s="30" t="s">
        <v>38</v>
      </c>
      <c r="M279" s="28"/>
    </row>
    <row r="280" ht="15.75" customHeight="1">
      <c r="A280" s="30" t="s">
        <v>1412</v>
      </c>
      <c r="B280" s="30" t="s">
        <v>1402</v>
      </c>
      <c r="C280" s="30" t="s">
        <v>754</v>
      </c>
      <c r="D280" s="30">
        <v>10.77</v>
      </c>
      <c r="E280" s="6" t="s">
        <v>1413</v>
      </c>
      <c r="F280" s="30" t="s">
        <v>869</v>
      </c>
      <c r="G280" s="30">
        <v>46.0027882390556</v>
      </c>
      <c r="H280" s="30">
        <v>6.002400325765</v>
      </c>
      <c r="I280" s="30" t="s">
        <v>52</v>
      </c>
      <c r="M280" s="28"/>
    </row>
    <row r="281" ht="15.75" customHeight="1">
      <c r="A281" s="30" t="s">
        <v>1414</v>
      </c>
      <c r="B281" s="30" t="s">
        <v>1402</v>
      </c>
      <c r="C281" s="30" t="s">
        <v>754</v>
      </c>
      <c r="D281" s="30">
        <v>10.47</v>
      </c>
      <c r="E281" s="6" t="s">
        <v>1415</v>
      </c>
      <c r="F281" s="30" t="s">
        <v>869</v>
      </c>
      <c r="G281" s="30">
        <v>46.0027882390556</v>
      </c>
      <c r="H281" s="30">
        <v>6.002400325765</v>
      </c>
      <c r="I281" s="30" t="s">
        <v>52</v>
      </c>
      <c r="L281" s="51" t="s">
        <v>743</v>
      </c>
      <c r="M281" s="28"/>
    </row>
    <row r="282" ht="15.75" customHeight="1">
      <c r="A282" s="30" t="s">
        <v>1416</v>
      </c>
      <c r="B282" s="30" t="s">
        <v>1402</v>
      </c>
      <c r="C282" s="30" t="s">
        <v>754</v>
      </c>
      <c r="D282" s="30">
        <v>11.53</v>
      </c>
      <c r="E282" s="6" t="s">
        <v>1417</v>
      </c>
      <c r="F282" s="30" t="s">
        <v>869</v>
      </c>
      <c r="G282" s="30">
        <v>46.0027882390556</v>
      </c>
      <c r="H282" s="30">
        <v>6.002400325765</v>
      </c>
      <c r="I282" s="30" t="s">
        <v>52</v>
      </c>
      <c r="M282" s="28"/>
    </row>
    <row r="283" ht="15.75" customHeight="1">
      <c r="A283" s="30" t="s">
        <v>1418</v>
      </c>
      <c r="B283" s="30" t="s">
        <v>1402</v>
      </c>
      <c r="C283" s="30" t="s">
        <v>754</v>
      </c>
      <c r="D283" s="30">
        <v>12.88</v>
      </c>
      <c r="E283" s="6" t="s">
        <v>1419</v>
      </c>
      <c r="F283" s="30" t="s">
        <v>869</v>
      </c>
      <c r="G283" s="30">
        <v>46.0027882390556</v>
      </c>
      <c r="H283" s="30">
        <v>6.002400325765</v>
      </c>
      <c r="I283" s="30" t="s">
        <v>52</v>
      </c>
      <c r="M283" s="28"/>
    </row>
    <row r="284" ht="15.75" customHeight="1">
      <c r="A284" s="30" t="s">
        <v>1420</v>
      </c>
      <c r="B284" s="30" t="s">
        <v>1402</v>
      </c>
      <c r="C284" s="30" t="s">
        <v>754</v>
      </c>
      <c r="D284" s="30">
        <v>11.66</v>
      </c>
      <c r="E284" s="6" t="s">
        <v>1421</v>
      </c>
      <c r="F284" s="30" t="s">
        <v>869</v>
      </c>
      <c r="G284" s="30">
        <v>46.0027882390556</v>
      </c>
      <c r="H284" s="30">
        <v>6.002400325765</v>
      </c>
      <c r="I284" s="30" t="s">
        <v>52</v>
      </c>
      <c r="M284" s="28"/>
    </row>
    <row r="285" ht="15.75" customHeight="1">
      <c r="A285" s="30" t="s">
        <v>1422</v>
      </c>
      <c r="B285" s="30" t="s">
        <v>1423</v>
      </c>
      <c r="C285" s="30" t="s">
        <v>767</v>
      </c>
      <c r="D285" s="30">
        <v>28.37</v>
      </c>
      <c r="E285" s="6" t="s">
        <v>1424</v>
      </c>
      <c r="F285" s="30" t="s">
        <v>1159</v>
      </c>
      <c r="G285" s="30">
        <v>11.1154357762288</v>
      </c>
      <c r="H285" s="30">
        <v>1.51637584237749</v>
      </c>
      <c r="I285" s="30" t="s">
        <v>38</v>
      </c>
    </row>
    <row r="286" ht="15.75" customHeight="1">
      <c r="A286" s="30" t="s">
        <v>1425</v>
      </c>
      <c r="B286" s="30" t="s">
        <v>1426</v>
      </c>
      <c r="C286" s="30" t="s">
        <v>1355</v>
      </c>
      <c r="D286" s="30">
        <v>6.93</v>
      </c>
      <c r="E286" s="6" t="s">
        <v>1427</v>
      </c>
      <c r="F286" s="30" t="s">
        <v>407</v>
      </c>
      <c r="G286" s="30">
        <v>37.4572750143265</v>
      </c>
      <c r="H286" s="30">
        <v>37.4633166500243</v>
      </c>
      <c r="I286" s="30" t="s">
        <v>52</v>
      </c>
    </row>
    <row r="287" ht="15.75" customHeight="1">
      <c r="A287" s="30" t="s">
        <v>1428</v>
      </c>
      <c r="B287" s="30" t="s">
        <v>1429</v>
      </c>
      <c r="C287" s="30" t="s">
        <v>754</v>
      </c>
      <c r="D287" s="30">
        <v>7.34</v>
      </c>
      <c r="E287" s="6" t="s">
        <v>1430</v>
      </c>
      <c r="F287" s="30" t="s">
        <v>292</v>
      </c>
      <c r="G287" s="30">
        <v>57.8470215486531</v>
      </c>
      <c r="H287" s="30">
        <v>14.287304555734</v>
      </c>
      <c r="I287" s="30" t="s">
        <v>38</v>
      </c>
    </row>
    <row r="288" ht="15.75" customHeight="1">
      <c r="A288" s="30" t="s">
        <v>1431</v>
      </c>
      <c r="B288" s="30" t="s">
        <v>1432</v>
      </c>
      <c r="C288" s="30" t="s">
        <v>731</v>
      </c>
      <c r="D288" s="30">
        <v>14.05</v>
      </c>
      <c r="E288" s="6" t="s">
        <v>1433</v>
      </c>
      <c r="F288" s="30" t="s">
        <v>1038</v>
      </c>
      <c r="G288" s="30">
        <v>25.01770145888</v>
      </c>
      <c r="H288" s="30">
        <v>70.2384574759621</v>
      </c>
      <c r="I288" s="30" t="s">
        <v>38</v>
      </c>
    </row>
    <row r="289" ht="15.75" customHeight="1">
      <c r="A289" s="30" t="s">
        <v>1434</v>
      </c>
      <c r="B289" s="30" t="s">
        <v>1435</v>
      </c>
      <c r="C289" s="30" t="s">
        <v>886</v>
      </c>
      <c r="D289" s="30">
        <v>8.4</v>
      </c>
      <c r="E289" s="6" t="s">
        <v>1436</v>
      </c>
      <c r="F289" s="30" t="s">
        <v>1437</v>
      </c>
      <c r="G289" s="30">
        <v>30.6129432919951</v>
      </c>
      <c r="H289" s="30">
        <v>97.1900097889259</v>
      </c>
      <c r="I289" s="30" t="s">
        <v>52</v>
      </c>
      <c r="L289" s="51" t="s">
        <v>743</v>
      </c>
    </row>
    <row r="290" ht="15.75" customHeight="1">
      <c r="A290" s="30" t="s">
        <v>1438</v>
      </c>
      <c r="B290" s="30" t="s">
        <v>1435</v>
      </c>
      <c r="C290" s="30" t="s">
        <v>886</v>
      </c>
      <c r="D290" s="30">
        <v>8.08</v>
      </c>
      <c r="E290" s="6" t="s">
        <v>1439</v>
      </c>
      <c r="F290" s="30" t="s">
        <v>1437</v>
      </c>
      <c r="G290" s="30">
        <v>30.6129432919951</v>
      </c>
      <c r="H290" s="30">
        <v>97.1900097889259</v>
      </c>
      <c r="I290" s="30" t="s">
        <v>52</v>
      </c>
    </row>
    <row r="291" ht="15.75" customHeight="1">
      <c r="A291" s="30" t="s">
        <v>1440</v>
      </c>
      <c r="B291" s="30" t="s">
        <v>1435</v>
      </c>
      <c r="C291" s="30" t="s">
        <v>886</v>
      </c>
      <c r="D291" s="30">
        <v>22.16</v>
      </c>
      <c r="E291" s="16" t="s">
        <v>1441</v>
      </c>
      <c r="F291" s="30" t="s">
        <v>1437</v>
      </c>
      <c r="G291" s="30">
        <v>30.6129432919951</v>
      </c>
      <c r="H291" s="30">
        <v>97.1900097889259</v>
      </c>
      <c r="I291" s="30" t="s">
        <v>52</v>
      </c>
    </row>
    <row r="292" ht="15.75" customHeight="1">
      <c r="A292" s="30" t="s">
        <v>1442</v>
      </c>
      <c r="B292" s="30" t="s">
        <v>1435</v>
      </c>
      <c r="C292" s="30" t="s">
        <v>886</v>
      </c>
      <c r="D292" s="30">
        <v>20.83</v>
      </c>
      <c r="E292" s="6" t="s">
        <v>1443</v>
      </c>
      <c r="F292" s="30" t="s">
        <v>1437</v>
      </c>
      <c r="G292" s="30">
        <v>30.6129432919951</v>
      </c>
      <c r="H292" s="30">
        <v>97.1900097889259</v>
      </c>
      <c r="I292" s="30" t="s">
        <v>52</v>
      </c>
    </row>
    <row r="293" ht="15.75" customHeight="1">
      <c r="A293" s="30" t="s">
        <v>1444</v>
      </c>
      <c r="B293" s="30" t="s">
        <v>1435</v>
      </c>
      <c r="C293" s="30" t="s">
        <v>886</v>
      </c>
      <c r="D293" s="30">
        <v>9.52</v>
      </c>
      <c r="E293" s="6" t="s">
        <v>1436</v>
      </c>
      <c r="F293" s="30" t="s">
        <v>1437</v>
      </c>
      <c r="G293" s="30">
        <v>30.6129432919951</v>
      </c>
      <c r="H293" s="30">
        <v>97.1900097889259</v>
      </c>
      <c r="I293" s="30" t="s">
        <v>52</v>
      </c>
    </row>
    <row r="294" ht="15.75" customHeight="1">
      <c r="A294" s="30" t="s">
        <v>1445</v>
      </c>
      <c r="B294" s="30" t="s">
        <v>1435</v>
      </c>
      <c r="C294" s="30" t="s">
        <v>886</v>
      </c>
      <c r="D294" s="30">
        <v>7.56</v>
      </c>
      <c r="E294" s="6" t="s">
        <v>1446</v>
      </c>
      <c r="F294" s="30" t="s">
        <v>1437</v>
      </c>
      <c r="G294" s="30">
        <v>30.6129432919951</v>
      </c>
      <c r="H294" s="30">
        <v>97.1900097889259</v>
      </c>
      <c r="I294" s="30" t="s">
        <v>52</v>
      </c>
    </row>
    <row r="295" ht="15.75" customHeight="1">
      <c r="A295" s="30" t="s">
        <v>1447</v>
      </c>
      <c r="B295" s="30" t="s">
        <v>1435</v>
      </c>
      <c r="C295" s="30" t="s">
        <v>886</v>
      </c>
      <c r="D295" s="30">
        <v>9.01</v>
      </c>
      <c r="E295" s="6" t="s">
        <v>1448</v>
      </c>
      <c r="F295" s="30" t="s">
        <v>1437</v>
      </c>
      <c r="G295" s="30">
        <v>30.6129432919951</v>
      </c>
      <c r="H295" s="30">
        <v>97.1900097889259</v>
      </c>
      <c r="I295" s="30" t="s">
        <v>52</v>
      </c>
    </row>
    <row r="296" ht="15.75" customHeight="1">
      <c r="A296" s="30" t="s">
        <v>1449</v>
      </c>
      <c r="B296" s="30" t="s">
        <v>1435</v>
      </c>
      <c r="C296" s="30" t="s">
        <v>886</v>
      </c>
      <c r="D296" s="30">
        <v>9.59</v>
      </c>
      <c r="E296" s="6" t="s">
        <v>1450</v>
      </c>
      <c r="F296" s="30" t="s">
        <v>1437</v>
      </c>
      <c r="G296" s="30">
        <v>30.6129432919951</v>
      </c>
      <c r="H296" s="30">
        <v>97.1900097889259</v>
      </c>
      <c r="I296" s="30" t="s">
        <v>52</v>
      </c>
    </row>
    <row r="297" ht="15.75" customHeight="1">
      <c r="A297" s="30" t="s">
        <v>1451</v>
      </c>
      <c r="B297" s="30" t="s">
        <v>1435</v>
      </c>
      <c r="C297" s="30" t="s">
        <v>886</v>
      </c>
      <c r="D297" s="30">
        <v>11.28</v>
      </c>
      <c r="E297" s="6" t="s">
        <v>1452</v>
      </c>
      <c r="F297" s="30" t="s">
        <v>1437</v>
      </c>
      <c r="G297" s="30">
        <v>30.6129432919951</v>
      </c>
      <c r="H297" s="30">
        <v>97.1900097889259</v>
      </c>
      <c r="I297" s="30" t="s">
        <v>52</v>
      </c>
    </row>
    <row r="298" ht="15.75" customHeight="1">
      <c r="A298" s="30" t="s">
        <v>1453</v>
      </c>
      <c r="B298" s="30" t="s">
        <v>1454</v>
      </c>
      <c r="C298" s="30" t="s">
        <v>754</v>
      </c>
      <c r="D298" s="30">
        <v>15.39</v>
      </c>
      <c r="E298" s="6" t="s">
        <v>1455</v>
      </c>
      <c r="F298" s="30" t="s">
        <v>1456</v>
      </c>
      <c r="G298" s="30">
        <v>46.6466245712611</v>
      </c>
      <c r="H298" s="30">
        <v>9.98886782363503</v>
      </c>
      <c r="I298" s="30" t="s">
        <v>38</v>
      </c>
    </row>
    <row r="299" ht="15.75" customHeight="1">
      <c r="A299" s="30" t="s">
        <v>1457</v>
      </c>
      <c r="B299" s="30" t="s">
        <v>1458</v>
      </c>
      <c r="C299" s="30" t="s">
        <v>886</v>
      </c>
      <c r="D299" s="30">
        <v>15.84</v>
      </c>
      <c r="E299" s="6" t="s">
        <v>1459</v>
      </c>
      <c r="F299" s="30" t="s">
        <v>1155</v>
      </c>
      <c r="G299" s="30">
        <v>35.1104955938093</v>
      </c>
      <c r="H299" s="30">
        <v>136.066868038654</v>
      </c>
      <c r="I299" s="30" t="s">
        <v>52</v>
      </c>
      <c r="L299" s="51" t="s">
        <v>743</v>
      </c>
    </row>
    <row r="300" ht="15.75" customHeight="1">
      <c r="A300" s="30" t="s">
        <v>1460</v>
      </c>
      <c r="B300" s="30" t="s">
        <v>1461</v>
      </c>
      <c r="C300" s="30" t="s">
        <v>1096</v>
      </c>
      <c r="D300" s="30">
        <v>10.06</v>
      </c>
      <c r="E300" s="6" t="s">
        <v>1462</v>
      </c>
      <c r="F300" s="30" t="s">
        <v>913</v>
      </c>
      <c r="G300" s="30">
        <v>29.3733397091378</v>
      </c>
      <c r="H300" s="30">
        <v>115.415061187873</v>
      </c>
      <c r="I300" s="30" t="s">
        <v>52</v>
      </c>
    </row>
    <row r="301" ht="15.75" customHeight="1">
      <c r="A301" s="30" t="s">
        <v>1463</v>
      </c>
      <c r="B301" s="30" t="s">
        <v>1461</v>
      </c>
      <c r="C301" s="30" t="s">
        <v>1096</v>
      </c>
      <c r="D301" s="30">
        <v>8.58</v>
      </c>
      <c r="E301" s="6" t="s">
        <v>1464</v>
      </c>
      <c r="F301" s="30" t="s">
        <v>913</v>
      </c>
      <c r="G301" s="30">
        <v>29.3733397091378</v>
      </c>
      <c r="H301" s="30">
        <v>115.415061187873</v>
      </c>
      <c r="I301" s="30" t="s">
        <v>52</v>
      </c>
    </row>
    <row r="302" ht="15.75" customHeight="1">
      <c r="A302" s="30" t="s">
        <v>1465</v>
      </c>
      <c r="B302" s="30" t="s">
        <v>1461</v>
      </c>
      <c r="C302" s="30" t="s">
        <v>1096</v>
      </c>
      <c r="D302" s="30">
        <v>8.27</v>
      </c>
      <c r="E302" s="6" t="s">
        <v>1466</v>
      </c>
      <c r="F302" s="30" t="s">
        <v>913</v>
      </c>
      <c r="G302" s="30">
        <v>29.3733397091378</v>
      </c>
      <c r="H302" s="30">
        <v>115.415061187873</v>
      </c>
      <c r="I302" s="30" t="s">
        <v>52</v>
      </c>
    </row>
    <row r="303" ht="15.75" customHeight="1">
      <c r="A303" s="30" t="s">
        <v>1467</v>
      </c>
      <c r="B303" s="30" t="s">
        <v>1461</v>
      </c>
      <c r="C303" s="30" t="s">
        <v>1096</v>
      </c>
      <c r="D303" s="30">
        <v>10.6</v>
      </c>
      <c r="E303" s="6" t="s">
        <v>1468</v>
      </c>
      <c r="F303" s="30" t="s">
        <v>913</v>
      </c>
      <c r="G303" s="30">
        <v>29.3733397091378</v>
      </c>
      <c r="H303" s="30">
        <v>115.415061187873</v>
      </c>
      <c r="I303" s="30" t="s">
        <v>52</v>
      </c>
    </row>
    <row r="304" ht="15.75" customHeight="1">
      <c r="A304" s="30" t="s">
        <v>1469</v>
      </c>
      <c r="B304" s="30" t="s">
        <v>1461</v>
      </c>
      <c r="C304" s="30" t="s">
        <v>1096</v>
      </c>
      <c r="D304" s="30">
        <v>18.76</v>
      </c>
      <c r="E304" s="16" t="s">
        <v>1470</v>
      </c>
      <c r="F304" s="30" t="s">
        <v>913</v>
      </c>
      <c r="G304" s="30">
        <v>29.3733397091378</v>
      </c>
      <c r="H304" s="30">
        <v>115.415061187873</v>
      </c>
      <c r="I304" s="30" t="s">
        <v>52</v>
      </c>
    </row>
    <row r="305" ht="15.75" customHeight="1">
      <c r="A305" s="49" t="s">
        <v>1471</v>
      </c>
      <c r="B305" s="50" t="s">
        <v>1472</v>
      </c>
      <c r="C305" s="49" t="s">
        <v>736</v>
      </c>
      <c r="D305" s="49">
        <v>35.92</v>
      </c>
      <c r="E305" s="6" t="s">
        <v>1473</v>
      </c>
      <c r="F305" s="49"/>
      <c r="G305" s="49"/>
      <c r="H305" s="49"/>
      <c r="I305" s="49" t="s">
        <v>38</v>
      </c>
      <c r="J305" s="51" t="s">
        <v>1474</v>
      </c>
      <c r="M305" s="28"/>
    </row>
    <row r="306" ht="15.75" customHeight="1">
      <c r="A306" s="49" t="s">
        <v>1475</v>
      </c>
      <c r="B306" s="50" t="s">
        <v>1472</v>
      </c>
      <c r="C306" s="49" t="s">
        <v>736</v>
      </c>
      <c r="D306" s="49">
        <v>35.91</v>
      </c>
      <c r="E306" s="6" t="s">
        <v>1476</v>
      </c>
      <c r="F306" s="49"/>
      <c r="G306" s="49"/>
      <c r="H306" s="49"/>
      <c r="I306" s="49" t="s">
        <v>38</v>
      </c>
      <c r="J306" s="51" t="s">
        <v>1474</v>
      </c>
      <c r="M306" s="28"/>
    </row>
    <row r="307" ht="15.75" customHeight="1">
      <c r="A307" s="49" t="s">
        <v>1477</v>
      </c>
      <c r="B307" s="50" t="s">
        <v>1472</v>
      </c>
      <c r="C307" s="49" t="s">
        <v>736</v>
      </c>
      <c r="D307" s="49">
        <v>34.99</v>
      </c>
      <c r="E307" s="6" t="s">
        <v>1478</v>
      </c>
      <c r="F307" s="49"/>
      <c r="G307" s="49"/>
      <c r="H307" s="49"/>
      <c r="I307" s="49" t="s">
        <v>52</v>
      </c>
      <c r="J307" s="51" t="s">
        <v>1474</v>
      </c>
      <c r="M307" s="28"/>
    </row>
    <row r="308" ht="15.75" customHeight="1">
      <c r="A308" s="49" t="s">
        <v>1479</v>
      </c>
      <c r="B308" s="50" t="s">
        <v>1472</v>
      </c>
      <c r="C308" s="49" t="s">
        <v>736</v>
      </c>
      <c r="D308" s="49">
        <v>34.7</v>
      </c>
      <c r="E308" s="6" t="s">
        <v>1480</v>
      </c>
      <c r="F308" s="49"/>
      <c r="G308" s="49"/>
      <c r="H308" s="49"/>
      <c r="I308" s="49" t="s">
        <v>52</v>
      </c>
      <c r="J308" s="51" t="s">
        <v>1474</v>
      </c>
      <c r="M308" s="28"/>
    </row>
    <row r="309" ht="15.75" customHeight="1">
      <c r="A309" s="49" t="s">
        <v>1481</v>
      </c>
      <c r="B309" s="50" t="s">
        <v>1472</v>
      </c>
      <c r="C309" s="49" t="s">
        <v>736</v>
      </c>
      <c r="D309" s="49">
        <v>34.59</v>
      </c>
      <c r="E309" s="6" t="s">
        <v>1482</v>
      </c>
      <c r="F309" s="49"/>
      <c r="G309" s="49"/>
      <c r="H309" s="49"/>
      <c r="I309" s="49" t="s">
        <v>38</v>
      </c>
      <c r="M309" s="28"/>
    </row>
    <row r="310" ht="15.75" customHeight="1">
      <c r="A310" s="49" t="s">
        <v>1483</v>
      </c>
      <c r="B310" s="50" t="s">
        <v>1472</v>
      </c>
      <c r="C310" s="49" t="s">
        <v>736</v>
      </c>
      <c r="D310" s="49">
        <v>33.02</v>
      </c>
      <c r="E310" s="6" t="s">
        <v>1484</v>
      </c>
      <c r="F310" s="49"/>
      <c r="G310" s="49"/>
      <c r="H310" s="49"/>
      <c r="I310" s="49" t="s">
        <v>52</v>
      </c>
      <c r="M310" s="28"/>
    </row>
    <row r="311" ht="15.75" customHeight="1">
      <c r="A311" s="49" t="s">
        <v>1485</v>
      </c>
      <c r="B311" s="50" t="s">
        <v>1472</v>
      </c>
      <c r="C311" s="49" t="s">
        <v>736</v>
      </c>
      <c r="D311" s="49">
        <v>32.13</v>
      </c>
      <c r="E311" s="6" t="s">
        <v>1486</v>
      </c>
      <c r="F311" s="49"/>
      <c r="G311" s="49"/>
      <c r="H311" s="49"/>
      <c r="I311" s="49" t="s">
        <v>52</v>
      </c>
      <c r="M311" s="28"/>
    </row>
    <row r="312" ht="15.75" customHeight="1">
      <c r="A312" s="49" t="s">
        <v>1487</v>
      </c>
      <c r="B312" s="50" t="s">
        <v>1472</v>
      </c>
      <c r="C312" s="49" t="s">
        <v>736</v>
      </c>
      <c r="D312" s="49">
        <v>31.7</v>
      </c>
      <c r="E312" s="6" t="s">
        <v>1488</v>
      </c>
      <c r="F312" s="49"/>
      <c r="G312" s="49"/>
      <c r="H312" s="49"/>
      <c r="I312" s="49" t="s">
        <v>38</v>
      </c>
      <c r="M312" s="28"/>
    </row>
    <row r="313" ht="15.75" customHeight="1">
      <c r="A313" s="49" t="s">
        <v>1489</v>
      </c>
      <c r="B313" s="50" t="s">
        <v>1472</v>
      </c>
      <c r="C313" s="49" t="s">
        <v>736</v>
      </c>
      <c r="D313" s="49">
        <v>31.7</v>
      </c>
      <c r="E313" s="6" t="s">
        <v>1490</v>
      </c>
      <c r="F313" s="49"/>
      <c r="G313" s="49"/>
      <c r="H313" s="49"/>
      <c r="I313" s="49" t="s">
        <v>38</v>
      </c>
      <c r="M313" s="28"/>
    </row>
    <row r="314" ht="15.75" customHeight="1">
      <c r="A314" s="49" t="s">
        <v>1491</v>
      </c>
      <c r="B314" s="50" t="s">
        <v>1472</v>
      </c>
      <c r="C314" s="49" t="s">
        <v>736</v>
      </c>
      <c r="D314" s="49">
        <v>31.64</v>
      </c>
      <c r="E314" s="6" t="s">
        <v>1492</v>
      </c>
      <c r="F314" s="49"/>
      <c r="G314" s="49"/>
      <c r="H314" s="49"/>
      <c r="I314" s="49" t="s">
        <v>52</v>
      </c>
      <c r="M314" s="28"/>
    </row>
    <row r="315" ht="15.75" customHeight="1">
      <c r="A315" s="49" t="s">
        <v>1493</v>
      </c>
      <c r="B315" s="50" t="s">
        <v>1472</v>
      </c>
      <c r="C315" s="49" t="s">
        <v>736</v>
      </c>
      <c r="D315" s="49">
        <v>16.99</v>
      </c>
      <c r="E315" s="6" t="s">
        <v>1494</v>
      </c>
      <c r="F315" s="49"/>
      <c r="G315" s="49"/>
      <c r="H315" s="49"/>
      <c r="I315" s="49" t="s">
        <v>52</v>
      </c>
      <c r="M315" s="55"/>
    </row>
    <row r="316" ht="15.75" customHeight="1">
      <c r="A316" s="49" t="s">
        <v>1495</v>
      </c>
      <c r="B316" s="50" t="s">
        <v>1472</v>
      </c>
      <c r="C316" s="49" t="s">
        <v>736</v>
      </c>
      <c r="D316" s="49">
        <v>28.55</v>
      </c>
      <c r="E316" s="6" t="s">
        <v>1496</v>
      </c>
      <c r="F316" s="49"/>
      <c r="G316" s="49"/>
      <c r="H316" s="49"/>
      <c r="I316" s="49" t="s">
        <v>38</v>
      </c>
      <c r="M316" s="28"/>
    </row>
    <row r="317" ht="15.75" customHeight="1">
      <c r="A317" s="49" t="s">
        <v>1497</v>
      </c>
      <c r="B317" s="50" t="s">
        <v>1472</v>
      </c>
      <c r="C317" s="49" t="s">
        <v>736</v>
      </c>
      <c r="D317" s="49">
        <v>28.36</v>
      </c>
      <c r="E317" s="6" t="s">
        <v>1498</v>
      </c>
      <c r="F317" s="49"/>
      <c r="G317" s="49"/>
      <c r="H317" s="49"/>
      <c r="I317" s="49" t="s">
        <v>52</v>
      </c>
      <c r="M317" s="28"/>
    </row>
    <row r="318" ht="15.75" customHeight="1">
      <c r="A318" s="49" t="s">
        <v>1499</v>
      </c>
      <c r="B318" s="50" t="s">
        <v>1500</v>
      </c>
      <c r="C318" s="49" t="s">
        <v>736</v>
      </c>
      <c r="D318" s="49">
        <v>6.88</v>
      </c>
      <c r="E318" s="6" t="s">
        <v>1501</v>
      </c>
      <c r="F318" s="49"/>
      <c r="G318" s="49"/>
      <c r="H318" s="49"/>
      <c r="I318" s="49" t="s">
        <v>52</v>
      </c>
      <c r="J318" s="51" t="s">
        <v>1502</v>
      </c>
      <c r="M318" s="48"/>
    </row>
    <row r="319" ht="15.75" customHeight="1">
      <c r="A319" s="49" t="s">
        <v>1503</v>
      </c>
      <c r="B319" s="50" t="s">
        <v>1500</v>
      </c>
      <c r="C319" s="49" t="s">
        <v>736</v>
      </c>
      <c r="D319" s="49">
        <v>5.94</v>
      </c>
      <c r="E319" s="6" t="s">
        <v>1504</v>
      </c>
      <c r="F319" s="49"/>
      <c r="G319" s="49"/>
      <c r="H319" s="49"/>
      <c r="I319" s="49" t="s">
        <v>52</v>
      </c>
      <c r="J319" s="51" t="s">
        <v>1502</v>
      </c>
      <c r="M319" s="48"/>
    </row>
    <row r="320" ht="15.75" customHeight="1">
      <c r="A320" s="49" t="s">
        <v>1505</v>
      </c>
      <c r="B320" s="50" t="s">
        <v>1500</v>
      </c>
      <c r="C320" s="49" t="s">
        <v>736</v>
      </c>
      <c r="D320" s="49">
        <v>6.01</v>
      </c>
      <c r="E320" s="6" t="s">
        <v>1506</v>
      </c>
      <c r="F320" s="49"/>
      <c r="G320" s="49"/>
      <c r="H320" s="49"/>
      <c r="I320" s="49" t="s">
        <v>52</v>
      </c>
      <c r="J320" s="51" t="s">
        <v>1502</v>
      </c>
      <c r="M320" s="48"/>
    </row>
    <row r="321" ht="15.75" customHeight="1">
      <c r="A321" s="49" t="s">
        <v>1507</v>
      </c>
      <c r="B321" s="50" t="s">
        <v>1508</v>
      </c>
      <c r="C321" s="49" t="s">
        <v>736</v>
      </c>
      <c r="D321" s="49">
        <v>27.73</v>
      </c>
      <c r="E321" s="6" t="s">
        <v>1509</v>
      </c>
      <c r="F321" s="49"/>
      <c r="G321" s="49"/>
      <c r="H321" s="49"/>
      <c r="I321" s="49" t="s">
        <v>38</v>
      </c>
      <c r="J321" s="51" t="s">
        <v>1510</v>
      </c>
      <c r="M321" s="48"/>
    </row>
    <row r="322" ht="15.75" customHeight="1">
      <c r="A322" s="30" t="s">
        <v>1511</v>
      </c>
      <c r="B322" s="30" t="s">
        <v>1512</v>
      </c>
      <c r="C322" s="30" t="s">
        <v>886</v>
      </c>
      <c r="D322" s="30">
        <v>9.29</v>
      </c>
      <c r="E322" s="6" t="s">
        <v>1513</v>
      </c>
      <c r="F322" s="30" t="s">
        <v>1514</v>
      </c>
      <c r="G322" s="30">
        <v>63.4162959185759</v>
      </c>
      <c r="H322" s="30">
        <v>128.032778872061</v>
      </c>
      <c r="I322" s="30" t="s">
        <v>52</v>
      </c>
    </row>
    <row r="323" ht="15.75" customHeight="1">
      <c r="A323" s="30" t="s">
        <v>1515</v>
      </c>
      <c r="B323" s="30" t="s">
        <v>1512</v>
      </c>
      <c r="C323" s="30" t="s">
        <v>886</v>
      </c>
      <c r="D323" s="30">
        <v>9.17</v>
      </c>
      <c r="E323" s="6" t="s">
        <v>1516</v>
      </c>
      <c r="F323" s="30" t="s">
        <v>1514</v>
      </c>
      <c r="G323" s="30">
        <v>63.4162959185759</v>
      </c>
      <c r="H323" s="30">
        <v>128.032778872061</v>
      </c>
      <c r="I323" s="30" t="s">
        <v>38</v>
      </c>
    </row>
    <row r="324" ht="15.75" customHeight="1">
      <c r="A324" s="30" t="s">
        <v>1517</v>
      </c>
      <c r="B324" s="30" t="s">
        <v>1512</v>
      </c>
      <c r="C324" s="30" t="s">
        <v>886</v>
      </c>
      <c r="D324" s="30">
        <v>9.0</v>
      </c>
      <c r="E324" s="6" t="s">
        <v>1518</v>
      </c>
      <c r="F324" s="30" t="s">
        <v>1514</v>
      </c>
      <c r="G324" s="30">
        <v>63.4162959185759</v>
      </c>
      <c r="H324" s="30">
        <v>128.032778872061</v>
      </c>
      <c r="I324" s="30" t="s">
        <v>38</v>
      </c>
    </row>
    <row r="325" ht="15.75" customHeight="1">
      <c r="A325" s="30" t="s">
        <v>1519</v>
      </c>
      <c r="B325" s="30" t="s">
        <v>1512</v>
      </c>
      <c r="C325" s="30" t="s">
        <v>886</v>
      </c>
      <c r="D325" s="30">
        <v>9.23</v>
      </c>
      <c r="E325" s="6" t="s">
        <v>1520</v>
      </c>
      <c r="F325" s="30" t="s">
        <v>1514</v>
      </c>
      <c r="G325" s="30">
        <v>63.4162959185759</v>
      </c>
      <c r="H325" s="30">
        <v>128.032778872061</v>
      </c>
      <c r="I325" s="30" t="s">
        <v>38</v>
      </c>
    </row>
    <row r="326" ht="15.75" customHeight="1">
      <c r="A326" s="30" t="s">
        <v>1521</v>
      </c>
      <c r="B326" s="30" t="s">
        <v>1512</v>
      </c>
      <c r="C326" s="30" t="s">
        <v>886</v>
      </c>
      <c r="D326" s="30">
        <v>8.67</v>
      </c>
      <c r="E326" s="6" t="s">
        <v>1522</v>
      </c>
      <c r="F326" s="30" t="s">
        <v>1514</v>
      </c>
      <c r="G326" s="30">
        <v>63.4162959185759</v>
      </c>
      <c r="H326" s="30">
        <v>128.032778872061</v>
      </c>
      <c r="I326" s="30" t="s">
        <v>38</v>
      </c>
    </row>
    <row r="327" ht="15.75" customHeight="1">
      <c r="A327" s="30" t="s">
        <v>1523</v>
      </c>
      <c r="B327" s="30" t="s">
        <v>1524</v>
      </c>
      <c r="C327" s="30" t="s">
        <v>886</v>
      </c>
      <c r="D327" s="30">
        <v>8.46</v>
      </c>
      <c r="E327" s="6" t="s">
        <v>1525</v>
      </c>
      <c r="F327" s="30" t="s">
        <v>888</v>
      </c>
      <c r="G327" s="30">
        <v>42.9105058233883</v>
      </c>
      <c r="H327" s="30">
        <v>129.51614020945</v>
      </c>
      <c r="I327" s="30" t="s">
        <v>38</v>
      </c>
    </row>
    <row r="328" ht="15.75" customHeight="1">
      <c r="A328" s="30" t="s">
        <v>1526</v>
      </c>
      <c r="B328" s="30" t="s">
        <v>1524</v>
      </c>
      <c r="C328" s="30" t="s">
        <v>886</v>
      </c>
      <c r="D328" s="30">
        <v>9.37</v>
      </c>
      <c r="E328" s="6" t="s">
        <v>1527</v>
      </c>
      <c r="F328" s="30" t="s">
        <v>888</v>
      </c>
      <c r="G328" s="30">
        <v>42.9105058233883</v>
      </c>
      <c r="H328" s="30">
        <v>129.51614020945</v>
      </c>
      <c r="I328" s="30" t="s">
        <v>52</v>
      </c>
    </row>
    <row r="329" ht="15.75" customHeight="1">
      <c r="E329" s="56"/>
    </row>
    <row r="330" ht="15.75" customHeight="1">
      <c r="E330" s="56"/>
    </row>
    <row r="331" ht="15.75" customHeight="1">
      <c r="E331" s="56"/>
    </row>
    <row r="332" ht="15.75" customHeight="1">
      <c r="E332" s="56"/>
    </row>
    <row r="333" ht="15.75" customHeight="1">
      <c r="E333" s="56"/>
    </row>
    <row r="334" ht="15.75" customHeight="1">
      <c r="E334" s="56"/>
    </row>
    <row r="335" ht="15.75" customHeight="1">
      <c r="E335" s="56"/>
    </row>
    <row r="336" ht="15.75" customHeight="1">
      <c r="E336" s="56"/>
    </row>
    <row r="337" ht="15.75" customHeight="1">
      <c r="E337" s="56"/>
    </row>
    <row r="338" ht="15.75" customHeight="1">
      <c r="E338" s="56"/>
    </row>
    <row r="339" ht="15.75" customHeight="1">
      <c r="E339" s="56"/>
    </row>
    <row r="340" ht="15.75" customHeight="1">
      <c r="E340" s="56"/>
    </row>
    <row r="341" ht="15.75" customHeight="1">
      <c r="E341" s="56"/>
    </row>
    <row r="342" ht="15.75" customHeight="1">
      <c r="E342" s="56"/>
    </row>
    <row r="343" ht="15.75" customHeight="1">
      <c r="E343" s="56"/>
    </row>
    <row r="344" ht="15.75" customHeight="1">
      <c r="E344" s="56"/>
    </row>
    <row r="345" ht="15.75" customHeight="1">
      <c r="E345" s="56"/>
    </row>
    <row r="346" ht="15.75" customHeight="1">
      <c r="E346" s="56"/>
    </row>
    <row r="347" ht="15.75" customHeight="1">
      <c r="E347" s="56"/>
    </row>
    <row r="348" ht="15.75" customHeight="1">
      <c r="E348" s="56"/>
    </row>
    <row r="349" ht="15.75" customHeight="1">
      <c r="E349" s="56"/>
    </row>
    <row r="350" ht="15.75" customHeight="1">
      <c r="E350" s="56"/>
    </row>
    <row r="351" ht="15.75" customHeight="1">
      <c r="E351" s="56"/>
    </row>
    <row r="352" ht="15.75" customHeight="1">
      <c r="E352" s="56"/>
    </row>
    <row r="353" ht="15.75" customHeight="1">
      <c r="E353" s="56"/>
    </row>
    <row r="354" ht="15.75" customHeight="1">
      <c r="E354" s="56"/>
    </row>
    <row r="355" ht="15.75" customHeight="1">
      <c r="E355" s="56"/>
    </row>
    <row r="356" ht="15.75" customHeight="1">
      <c r="E356" s="56"/>
    </row>
    <row r="357" ht="15.75" customHeight="1">
      <c r="E357" s="56"/>
    </row>
    <row r="358" ht="15.75" customHeight="1">
      <c r="E358" s="56"/>
    </row>
    <row r="359" ht="15.75" customHeight="1">
      <c r="E359" s="56"/>
    </row>
    <row r="360" ht="15.75" customHeight="1">
      <c r="E360" s="56"/>
    </row>
    <row r="361" ht="15.75" customHeight="1">
      <c r="E361" s="56"/>
    </row>
    <row r="362" ht="15.75" customHeight="1">
      <c r="E362" s="56"/>
    </row>
    <row r="363" ht="15.75" customHeight="1">
      <c r="E363" s="56"/>
    </row>
    <row r="364" ht="15.75" customHeight="1">
      <c r="E364" s="56"/>
    </row>
    <row r="365" ht="15.75" customHeight="1">
      <c r="E365" s="56"/>
    </row>
    <row r="366" ht="15.75" customHeight="1">
      <c r="E366" s="56"/>
    </row>
    <row r="367" ht="15.75" customHeight="1">
      <c r="E367" s="56"/>
    </row>
    <row r="368" ht="15.75" customHeight="1">
      <c r="E368" s="56"/>
    </row>
    <row r="369" ht="15.75" customHeight="1">
      <c r="E369" s="56"/>
    </row>
    <row r="370" ht="15.75" customHeight="1">
      <c r="E370" s="56"/>
    </row>
    <row r="371" ht="15.75" customHeight="1">
      <c r="E371" s="56"/>
    </row>
    <row r="372" ht="15.75" customHeight="1">
      <c r="E372" s="56"/>
    </row>
    <row r="373" ht="15.75" customHeight="1">
      <c r="E373" s="56"/>
    </row>
    <row r="374" ht="15.75" customHeight="1">
      <c r="E374" s="56"/>
    </row>
    <row r="375" ht="15.75" customHeight="1">
      <c r="E375" s="56"/>
    </row>
    <row r="376" ht="15.75" customHeight="1">
      <c r="E376" s="56"/>
    </row>
    <row r="377" ht="15.75" customHeight="1">
      <c r="E377" s="56"/>
    </row>
    <row r="378" ht="15.75" customHeight="1">
      <c r="E378" s="56"/>
    </row>
    <row r="379" ht="15.75" customHeight="1">
      <c r="E379" s="56"/>
    </row>
    <row r="380" ht="15.75" customHeight="1">
      <c r="E380" s="56"/>
    </row>
    <row r="381" ht="15.75" customHeight="1">
      <c r="E381" s="56"/>
    </row>
    <row r="382" ht="15.75" customHeight="1">
      <c r="E382" s="56"/>
    </row>
    <row r="383" ht="15.75" customHeight="1">
      <c r="E383" s="56"/>
    </row>
    <row r="384" ht="15.75" customHeight="1">
      <c r="E384" s="56"/>
    </row>
    <row r="385" ht="15.75" customHeight="1">
      <c r="E385" s="56"/>
    </row>
    <row r="386" ht="15.75" customHeight="1">
      <c r="E386" s="56"/>
    </row>
    <row r="387" ht="15.75" customHeight="1">
      <c r="E387" s="56"/>
    </row>
    <row r="388" ht="15.75" customHeight="1">
      <c r="E388" s="56"/>
    </row>
    <row r="389" ht="15.75" customHeight="1">
      <c r="E389" s="56"/>
    </row>
    <row r="390" ht="15.75" customHeight="1">
      <c r="E390" s="56"/>
    </row>
    <row r="391" ht="15.75" customHeight="1">
      <c r="E391" s="56"/>
    </row>
    <row r="392" ht="15.75" customHeight="1">
      <c r="E392" s="56"/>
    </row>
    <row r="393" ht="15.75" customHeight="1">
      <c r="E393" s="56"/>
    </row>
    <row r="394" ht="15.75" customHeight="1">
      <c r="E394" s="56"/>
    </row>
    <row r="395" ht="15.75" customHeight="1">
      <c r="E395" s="56"/>
    </row>
    <row r="396" ht="15.75" customHeight="1">
      <c r="E396" s="56"/>
    </row>
    <row r="397" ht="15.75" customHeight="1">
      <c r="E397" s="56"/>
    </row>
    <row r="398" ht="15.75" customHeight="1">
      <c r="E398" s="56"/>
    </row>
    <row r="399" ht="15.75" customHeight="1">
      <c r="E399" s="56"/>
    </row>
    <row r="400" ht="15.75" customHeight="1">
      <c r="E400" s="56"/>
    </row>
    <row r="401" ht="15.75" customHeight="1">
      <c r="E401" s="56"/>
    </row>
    <row r="402" ht="15.75" customHeight="1">
      <c r="E402" s="56"/>
    </row>
    <row r="403" ht="15.75" customHeight="1">
      <c r="E403" s="56"/>
    </row>
    <row r="404" ht="15.75" customHeight="1">
      <c r="E404" s="56"/>
    </row>
    <row r="405" ht="15.75" customHeight="1">
      <c r="E405" s="56"/>
    </row>
    <row r="406" ht="15.75" customHeight="1">
      <c r="E406" s="56"/>
    </row>
    <row r="407" ht="15.75" customHeight="1">
      <c r="E407" s="56"/>
    </row>
    <row r="408" ht="15.75" customHeight="1">
      <c r="E408" s="56"/>
    </row>
    <row r="409" ht="15.75" customHeight="1">
      <c r="E409" s="56"/>
    </row>
    <row r="410" ht="15.75" customHeight="1">
      <c r="E410" s="56"/>
    </row>
    <row r="411" ht="15.75" customHeight="1">
      <c r="E411" s="56"/>
    </row>
    <row r="412" ht="15.75" customHeight="1">
      <c r="E412" s="56"/>
    </row>
    <row r="413" ht="15.75" customHeight="1">
      <c r="E413" s="56"/>
    </row>
    <row r="414" ht="15.75" customHeight="1">
      <c r="E414" s="56"/>
    </row>
    <row r="415" ht="15.75" customHeight="1">
      <c r="E415" s="56"/>
    </row>
    <row r="416" ht="15.75" customHeight="1">
      <c r="E416" s="56"/>
    </row>
    <row r="417" ht="15.75" customHeight="1">
      <c r="E417" s="56"/>
    </row>
    <row r="418" ht="15.75" customHeight="1">
      <c r="E418" s="56"/>
    </row>
    <row r="419" ht="15.75" customHeight="1">
      <c r="E419" s="56"/>
    </row>
    <row r="420" ht="15.75" customHeight="1">
      <c r="E420" s="56"/>
    </row>
    <row r="421" ht="15.75" customHeight="1">
      <c r="E421" s="56"/>
    </row>
    <row r="422" ht="15.75" customHeight="1">
      <c r="E422" s="56"/>
    </row>
    <row r="423" ht="15.75" customHeight="1">
      <c r="E423" s="56"/>
    </row>
    <row r="424" ht="15.75" customHeight="1">
      <c r="E424" s="56"/>
    </row>
    <row r="425" ht="15.75" customHeight="1">
      <c r="E425" s="56"/>
    </row>
    <row r="426" ht="15.75" customHeight="1">
      <c r="E426" s="56"/>
    </row>
    <row r="427" ht="15.75" customHeight="1">
      <c r="E427" s="56"/>
    </row>
    <row r="428" ht="15.75" customHeight="1">
      <c r="E428" s="56"/>
    </row>
    <row r="429" ht="15.75" customHeight="1">
      <c r="E429" s="56"/>
    </row>
    <row r="430" ht="15.75" customHeight="1">
      <c r="E430" s="56"/>
    </row>
    <row r="431" ht="15.75" customHeight="1">
      <c r="E431" s="56"/>
    </row>
    <row r="432" ht="15.75" customHeight="1">
      <c r="E432" s="56"/>
    </row>
    <row r="433" ht="15.75" customHeight="1">
      <c r="E433" s="56"/>
    </row>
    <row r="434" ht="15.75" customHeight="1">
      <c r="E434" s="56"/>
    </row>
    <row r="435" ht="15.75" customHeight="1">
      <c r="E435" s="56"/>
    </row>
    <row r="436" ht="15.75" customHeight="1">
      <c r="E436" s="56"/>
    </row>
    <row r="437" ht="15.75" customHeight="1">
      <c r="E437" s="56"/>
    </row>
    <row r="438" ht="15.75" customHeight="1">
      <c r="E438" s="56"/>
    </row>
    <row r="439" ht="15.75" customHeight="1">
      <c r="E439" s="56"/>
    </row>
    <row r="440" ht="15.75" customHeight="1">
      <c r="E440" s="56"/>
    </row>
    <row r="441" ht="15.75" customHeight="1">
      <c r="E441" s="56"/>
    </row>
    <row r="442" ht="15.75" customHeight="1">
      <c r="E442" s="56"/>
    </row>
    <row r="443" ht="15.75" customHeight="1">
      <c r="E443" s="56"/>
    </row>
    <row r="444" ht="15.75" customHeight="1">
      <c r="E444" s="56"/>
    </row>
    <row r="445" ht="15.75" customHeight="1">
      <c r="E445" s="56"/>
    </row>
    <row r="446" ht="15.75" customHeight="1">
      <c r="E446" s="56"/>
    </row>
    <row r="447" ht="15.75" customHeight="1">
      <c r="E447" s="56"/>
    </row>
    <row r="448" ht="15.75" customHeight="1">
      <c r="E448" s="56"/>
    </row>
    <row r="449" ht="15.75" customHeight="1">
      <c r="E449" s="56"/>
    </row>
    <row r="450" ht="15.75" customHeight="1">
      <c r="E450" s="56"/>
    </row>
    <row r="451" ht="15.75" customHeight="1">
      <c r="E451" s="56"/>
    </row>
    <row r="452" ht="15.75" customHeight="1">
      <c r="E452" s="56"/>
    </row>
    <row r="453" ht="15.75" customHeight="1">
      <c r="E453" s="56"/>
    </row>
    <row r="454" ht="15.75" customHeight="1">
      <c r="E454" s="56"/>
    </row>
    <row r="455" ht="15.75" customHeight="1">
      <c r="E455" s="56"/>
    </row>
    <row r="456" ht="15.75" customHeight="1">
      <c r="E456" s="56"/>
    </row>
    <row r="457" ht="15.75" customHeight="1">
      <c r="E457" s="56"/>
    </row>
    <row r="458" ht="15.75" customHeight="1">
      <c r="E458" s="56"/>
    </row>
    <row r="459" ht="15.75" customHeight="1">
      <c r="E459" s="56"/>
    </row>
    <row r="460" ht="15.75" customHeight="1">
      <c r="E460" s="56"/>
    </row>
    <row r="461" ht="15.75" customHeight="1">
      <c r="E461" s="56"/>
    </row>
    <row r="462" ht="15.75" customHeight="1">
      <c r="E462" s="56"/>
    </row>
    <row r="463" ht="15.75" customHeight="1">
      <c r="E463" s="56"/>
    </row>
    <row r="464" ht="15.75" customHeight="1">
      <c r="E464" s="56"/>
    </row>
    <row r="465" ht="15.75" customHeight="1">
      <c r="E465" s="56"/>
    </row>
    <row r="466" ht="15.75" customHeight="1">
      <c r="E466" s="56"/>
    </row>
    <row r="467" ht="15.75" customHeight="1">
      <c r="E467" s="56"/>
    </row>
    <row r="468" ht="15.75" customHeight="1">
      <c r="E468" s="56"/>
    </row>
    <row r="469" ht="15.75" customHeight="1">
      <c r="E469" s="56"/>
    </row>
    <row r="470" ht="15.75" customHeight="1">
      <c r="E470" s="56"/>
    </row>
    <row r="471" ht="15.75" customHeight="1">
      <c r="E471" s="56"/>
    </row>
    <row r="472" ht="15.75" customHeight="1">
      <c r="E472" s="56"/>
    </row>
    <row r="473" ht="15.75" customHeight="1">
      <c r="E473" s="56"/>
    </row>
    <row r="474" ht="15.75" customHeight="1">
      <c r="E474" s="56"/>
    </row>
    <row r="475" ht="15.75" customHeight="1">
      <c r="E475" s="56"/>
    </row>
    <row r="476" ht="15.75" customHeight="1">
      <c r="E476" s="56"/>
    </row>
    <row r="477" ht="15.75" customHeight="1">
      <c r="E477" s="56"/>
    </row>
    <row r="478" ht="15.75" customHeight="1">
      <c r="E478" s="56"/>
    </row>
    <row r="479" ht="15.75" customHeight="1">
      <c r="E479" s="56"/>
    </row>
    <row r="480" ht="15.75" customHeight="1">
      <c r="E480" s="56"/>
    </row>
    <row r="481" ht="15.75" customHeight="1">
      <c r="E481" s="56"/>
    </row>
    <row r="482" ht="15.75" customHeight="1">
      <c r="E482" s="56"/>
    </row>
    <row r="483" ht="15.75" customHeight="1">
      <c r="E483" s="56"/>
    </row>
    <row r="484" ht="15.75" customHeight="1">
      <c r="E484" s="56"/>
    </row>
    <row r="485" ht="15.75" customHeight="1">
      <c r="E485" s="56"/>
    </row>
    <row r="486" ht="15.75" customHeight="1">
      <c r="E486" s="56"/>
    </row>
    <row r="487" ht="15.75" customHeight="1">
      <c r="E487" s="56"/>
    </row>
    <row r="488" ht="15.75" customHeight="1">
      <c r="E488" s="56"/>
    </row>
    <row r="489" ht="15.75" customHeight="1">
      <c r="E489" s="56"/>
    </row>
    <row r="490" ht="15.75" customHeight="1">
      <c r="E490" s="56"/>
    </row>
    <row r="491" ht="15.75" customHeight="1">
      <c r="E491" s="56"/>
    </row>
    <row r="492" ht="15.75" customHeight="1">
      <c r="E492" s="56"/>
    </row>
    <row r="493" ht="15.75" customHeight="1">
      <c r="E493" s="56"/>
    </row>
    <row r="494" ht="15.75" customHeight="1">
      <c r="E494" s="56"/>
    </row>
    <row r="495" ht="15.75" customHeight="1">
      <c r="E495" s="56"/>
    </row>
    <row r="496" ht="15.75" customHeight="1">
      <c r="E496" s="56"/>
    </row>
    <row r="497" ht="15.75" customHeight="1">
      <c r="E497" s="56"/>
    </row>
    <row r="498" ht="15.75" customHeight="1">
      <c r="E498" s="56"/>
    </row>
    <row r="499" ht="15.75" customHeight="1">
      <c r="E499" s="56"/>
    </row>
    <row r="500" ht="15.75" customHeight="1">
      <c r="E500" s="56"/>
    </row>
    <row r="501" ht="15.75" customHeight="1">
      <c r="E501" s="56"/>
    </row>
    <row r="502" ht="15.75" customHeight="1">
      <c r="E502" s="56"/>
    </row>
    <row r="503" ht="15.75" customHeight="1">
      <c r="E503" s="56"/>
    </row>
    <row r="504" ht="15.75" customHeight="1">
      <c r="E504" s="56"/>
    </row>
    <row r="505" ht="15.75" customHeight="1">
      <c r="E505" s="56"/>
    </row>
    <row r="506" ht="15.75" customHeight="1">
      <c r="E506" s="56"/>
    </row>
    <row r="507" ht="15.75" customHeight="1">
      <c r="E507" s="56"/>
    </row>
    <row r="508" ht="15.75" customHeight="1">
      <c r="E508" s="56"/>
    </row>
    <row r="509" ht="15.75" customHeight="1">
      <c r="E509" s="56"/>
    </row>
    <row r="510" ht="15.75" customHeight="1">
      <c r="E510" s="56"/>
    </row>
    <row r="511" ht="15.75" customHeight="1">
      <c r="E511" s="56"/>
    </row>
    <row r="512" ht="15.75" customHeight="1">
      <c r="E512" s="56"/>
    </row>
    <row r="513" ht="15.75" customHeight="1">
      <c r="E513" s="56"/>
    </row>
    <row r="514" ht="15.75" customHeight="1">
      <c r="E514" s="56"/>
    </row>
    <row r="515" ht="15.75" customHeight="1">
      <c r="E515" s="56"/>
    </row>
    <row r="516" ht="15.75" customHeight="1">
      <c r="E516" s="56"/>
    </row>
    <row r="517" ht="15.75" customHeight="1">
      <c r="E517" s="56"/>
    </row>
    <row r="518" ht="15.75" customHeight="1">
      <c r="E518" s="56"/>
    </row>
    <row r="519" ht="15.75" customHeight="1">
      <c r="E519" s="56"/>
    </row>
    <row r="520" ht="15.75" customHeight="1">
      <c r="E520" s="56"/>
    </row>
    <row r="521" ht="15.75" customHeight="1">
      <c r="E521" s="56"/>
    </row>
    <row r="522" ht="15.75" customHeight="1">
      <c r="E522" s="56"/>
    </row>
    <row r="523" ht="15.75" customHeight="1">
      <c r="E523" s="56"/>
    </row>
    <row r="524" ht="15.75" customHeight="1">
      <c r="E524" s="56"/>
    </row>
    <row r="525" ht="15.75" customHeight="1">
      <c r="E525" s="56"/>
    </row>
    <row r="526" ht="15.75" customHeight="1">
      <c r="E526" s="56"/>
    </row>
    <row r="527" ht="15.75" customHeight="1">
      <c r="E527" s="56"/>
    </row>
    <row r="528" ht="15.75" customHeight="1">
      <c r="E528" s="56"/>
    </row>
    <row r="529" ht="15.75" customHeight="1">
      <c r="E529" s="56"/>
    </row>
    <row r="530" ht="15.75" customHeight="1">
      <c r="E530" s="56"/>
    </row>
    <row r="531" ht="15.75" customHeight="1">
      <c r="E531" s="56"/>
    </row>
    <row r="532" ht="15.75" customHeight="1">
      <c r="E532" s="56"/>
    </row>
    <row r="533" ht="15.75" customHeight="1">
      <c r="E533" s="56"/>
    </row>
    <row r="534" ht="15.75" customHeight="1">
      <c r="E534" s="56"/>
    </row>
    <row r="535" ht="15.75" customHeight="1">
      <c r="E535" s="56"/>
    </row>
    <row r="536" ht="15.75" customHeight="1">
      <c r="E536" s="56"/>
    </row>
    <row r="537" ht="15.75" customHeight="1">
      <c r="E537" s="56"/>
    </row>
    <row r="538" ht="15.75" customHeight="1">
      <c r="E538" s="56"/>
    </row>
    <row r="539" ht="15.75" customHeight="1">
      <c r="E539" s="56"/>
    </row>
    <row r="540" ht="15.75" customHeight="1">
      <c r="E540" s="56"/>
    </row>
    <row r="541" ht="15.75" customHeight="1">
      <c r="E541" s="56"/>
    </row>
    <row r="542" ht="15.75" customHeight="1">
      <c r="E542" s="56"/>
    </row>
    <row r="543" ht="15.75" customHeight="1">
      <c r="E543" s="56"/>
    </row>
    <row r="544" ht="15.75" customHeight="1">
      <c r="E544" s="56"/>
    </row>
    <row r="545" ht="15.75" customHeight="1">
      <c r="E545" s="56"/>
    </row>
    <row r="546" ht="15.75" customHeight="1">
      <c r="E546" s="56"/>
    </row>
    <row r="547" ht="15.75" customHeight="1">
      <c r="E547" s="56"/>
    </row>
    <row r="548" ht="15.75" customHeight="1">
      <c r="E548" s="56"/>
    </row>
    <row r="549" ht="15.75" customHeight="1">
      <c r="E549" s="56"/>
    </row>
    <row r="550" ht="15.75" customHeight="1">
      <c r="E550" s="56"/>
    </row>
    <row r="551" ht="15.75" customHeight="1">
      <c r="E551" s="56"/>
    </row>
    <row r="552" ht="15.75" customHeight="1">
      <c r="E552" s="56"/>
    </row>
    <row r="553" ht="15.75" customHeight="1">
      <c r="E553" s="56"/>
    </row>
    <row r="554" ht="15.75" customHeight="1">
      <c r="E554" s="56"/>
    </row>
    <row r="555" ht="15.75" customHeight="1">
      <c r="E555" s="56"/>
    </row>
    <row r="556" ht="15.75" customHeight="1">
      <c r="E556" s="56"/>
    </row>
    <row r="557" ht="15.75" customHeight="1">
      <c r="E557" s="56"/>
    </row>
    <row r="558" ht="15.75" customHeight="1">
      <c r="E558" s="56"/>
    </row>
    <row r="559" ht="15.75" customHeight="1">
      <c r="E559" s="56"/>
    </row>
    <row r="560" ht="15.75" customHeight="1">
      <c r="E560" s="56"/>
    </row>
    <row r="561" ht="15.75" customHeight="1">
      <c r="E561" s="56"/>
    </row>
    <row r="562" ht="15.75" customHeight="1">
      <c r="E562" s="56"/>
    </row>
    <row r="563" ht="15.75" customHeight="1">
      <c r="E563" s="56"/>
    </row>
    <row r="564" ht="15.75" customHeight="1">
      <c r="E564" s="56"/>
    </row>
    <row r="565" ht="15.75" customHeight="1">
      <c r="E565" s="56"/>
    </row>
    <row r="566" ht="15.75" customHeight="1">
      <c r="E566" s="56"/>
    </row>
    <row r="567" ht="15.75" customHeight="1">
      <c r="E567" s="56"/>
    </row>
    <row r="568" ht="15.75" customHeight="1">
      <c r="E568" s="56"/>
    </row>
    <row r="569" ht="15.75" customHeight="1">
      <c r="E569" s="56"/>
    </row>
    <row r="570" ht="15.75" customHeight="1">
      <c r="E570" s="56"/>
    </row>
    <row r="571" ht="15.75" customHeight="1">
      <c r="E571" s="56"/>
    </row>
    <row r="572" ht="15.75" customHeight="1">
      <c r="E572" s="56"/>
    </row>
    <row r="573" ht="15.75" customHeight="1">
      <c r="E573" s="56"/>
    </row>
    <row r="574" ht="15.75" customHeight="1">
      <c r="E574" s="56"/>
    </row>
    <row r="575" ht="15.75" customHeight="1">
      <c r="E575" s="56"/>
    </row>
    <row r="576" ht="15.75" customHeight="1">
      <c r="E576" s="56"/>
    </row>
    <row r="577" ht="15.75" customHeight="1">
      <c r="E577" s="56"/>
    </row>
    <row r="578" ht="15.75" customHeight="1">
      <c r="E578" s="56"/>
    </row>
    <row r="579" ht="15.75" customHeight="1">
      <c r="E579" s="56"/>
    </row>
    <row r="580" ht="15.75" customHeight="1">
      <c r="E580" s="56"/>
    </row>
    <row r="581" ht="15.75" customHeight="1">
      <c r="E581" s="56"/>
    </row>
    <row r="582" ht="15.75" customHeight="1">
      <c r="E582" s="56"/>
    </row>
    <row r="583" ht="15.75" customHeight="1">
      <c r="E583" s="56"/>
    </row>
    <row r="584" ht="15.75" customHeight="1">
      <c r="E584" s="56"/>
    </row>
    <row r="585" ht="15.75" customHeight="1">
      <c r="E585" s="56"/>
    </row>
    <row r="586" ht="15.75" customHeight="1">
      <c r="E586" s="56"/>
    </row>
    <row r="587" ht="15.75" customHeight="1">
      <c r="E587" s="56"/>
    </row>
    <row r="588" ht="15.75" customHeight="1">
      <c r="E588" s="56"/>
    </row>
    <row r="589" ht="15.75" customHeight="1">
      <c r="E589" s="56"/>
    </row>
    <row r="590" ht="15.75" customHeight="1">
      <c r="E590" s="56"/>
    </row>
    <row r="591" ht="15.75" customHeight="1">
      <c r="E591" s="56"/>
    </row>
    <row r="592" ht="15.75" customHeight="1">
      <c r="E592" s="56"/>
    </row>
    <row r="593" ht="15.75" customHeight="1">
      <c r="E593" s="56"/>
    </row>
    <row r="594" ht="15.75" customHeight="1">
      <c r="E594" s="56"/>
    </row>
    <row r="595" ht="15.75" customHeight="1">
      <c r="E595" s="56"/>
    </row>
    <row r="596" ht="15.75" customHeight="1">
      <c r="E596" s="56"/>
    </row>
    <row r="597" ht="15.75" customHeight="1">
      <c r="E597" s="56"/>
    </row>
    <row r="598" ht="15.75" customHeight="1">
      <c r="E598" s="56"/>
    </row>
    <row r="599" ht="15.75" customHeight="1">
      <c r="E599" s="56"/>
    </row>
    <row r="600" ht="15.75" customHeight="1">
      <c r="E600" s="56"/>
    </row>
    <row r="601" ht="15.75" customHeight="1">
      <c r="E601" s="56"/>
    </row>
    <row r="602" ht="15.75" customHeight="1">
      <c r="E602" s="56"/>
    </row>
    <row r="603" ht="15.75" customHeight="1">
      <c r="E603" s="56"/>
    </row>
    <row r="604" ht="15.75" customHeight="1">
      <c r="E604" s="56"/>
    </row>
    <row r="605" ht="15.75" customHeight="1">
      <c r="E605" s="56"/>
    </row>
    <row r="606" ht="15.75" customHeight="1">
      <c r="E606" s="56"/>
    </row>
    <row r="607" ht="15.75" customHeight="1">
      <c r="E607" s="56"/>
    </row>
    <row r="608" ht="15.75" customHeight="1">
      <c r="E608" s="56"/>
    </row>
    <row r="609" ht="15.75" customHeight="1">
      <c r="E609" s="56"/>
    </row>
    <row r="610" ht="15.75" customHeight="1">
      <c r="E610" s="56"/>
    </row>
    <row r="611" ht="15.75" customHeight="1">
      <c r="E611" s="56"/>
    </row>
    <row r="612" ht="15.75" customHeight="1">
      <c r="E612" s="56"/>
    </row>
    <row r="613" ht="15.75" customHeight="1">
      <c r="E613" s="56"/>
    </row>
    <row r="614" ht="15.75" customHeight="1">
      <c r="E614" s="56"/>
    </row>
    <row r="615" ht="15.75" customHeight="1">
      <c r="E615" s="56"/>
    </row>
    <row r="616" ht="15.75" customHeight="1">
      <c r="E616" s="56"/>
    </row>
    <row r="617" ht="15.75" customHeight="1">
      <c r="E617" s="56"/>
    </row>
    <row r="618" ht="15.75" customHeight="1">
      <c r="E618" s="56"/>
    </row>
    <row r="619" ht="15.75" customHeight="1">
      <c r="E619" s="56"/>
    </row>
    <row r="620" ht="15.75" customHeight="1">
      <c r="E620" s="56"/>
    </row>
    <row r="621" ht="15.75" customHeight="1">
      <c r="E621" s="56"/>
    </row>
    <row r="622" ht="15.75" customHeight="1">
      <c r="E622" s="56"/>
    </row>
    <row r="623" ht="15.75" customHeight="1">
      <c r="E623" s="56"/>
    </row>
    <row r="624" ht="15.75" customHeight="1">
      <c r="E624" s="56"/>
    </row>
    <row r="625" ht="15.75" customHeight="1">
      <c r="E625" s="56"/>
    </row>
    <row r="626" ht="15.75" customHeight="1">
      <c r="E626" s="56"/>
    </row>
    <row r="627" ht="15.75" customHeight="1">
      <c r="E627" s="56"/>
    </row>
    <row r="628" ht="15.75" customHeight="1">
      <c r="E628" s="56"/>
    </row>
    <row r="629" ht="15.75" customHeight="1">
      <c r="E629" s="56"/>
    </row>
    <row r="630" ht="15.75" customHeight="1">
      <c r="E630" s="56"/>
    </row>
    <row r="631" ht="15.75" customHeight="1">
      <c r="E631" s="56"/>
    </row>
    <row r="632" ht="15.75" customHeight="1">
      <c r="E632" s="56"/>
    </row>
    <row r="633" ht="15.75" customHeight="1">
      <c r="E633" s="56"/>
    </row>
    <row r="634" ht="15.75" customHeight="1">
      <c r="E634" s="56"/>
    </row>
    <row r="635" ht="15.75" customHeight="1">
      <c r="E635" s="56"/>
    </row>
    <row r="636" ht="15.75" customHeight="1">
      <c r="E636" s="56"/>
    </row>
    <row r="637" ht="15.75" customHeight="1">
      <c r="E637" s="56"/>
    </row>
    <row r="638" ht="15.75" customHeight="1">
      <c r="E638" s="56"/>
    </row>
    <row r="639" ht="15.75" customHeight="1">
      <c r="E639" s="56"/>
    </row>
    <row r="640" ht="15.75" customHeight="1">
      <c r="E640" s="56"/>
    </row>
    <row r="641" ht="15.75" customHeight="1">
      <c r="E641" s="56"/>
    </row>
    <row r="642" ht="15.75" customHeight="1">
      <c r="E642" s="56"/>
    </row>
    <row r="643" ht="15.75" customHeight="1">
      <c r="E643" s="56"/>
    </row>
    <row r="644" ht="15.75" customHeight="1">
      <c r="E644" s="56"/>
    </row>
    <row r="645" ht="15.75" customHeight="1">
      <c r="E645" s="56"/>
    </row>
    <row r="646" ht="15.75" customHeight="1">
      <c r="E646" s="56"/>
    </row>
    <row r="647" ht="15.75" customHeight="1">
      <c r="E647" s="56"/>
    </row>
    <row r="648" ht="15.75" customHeight="1">
      <c r="E648" s="56"/>
    </row>
    <row r="649" ht="15.75" customHeight="1">
      <c r="E649" s="56"/>
    </row>
    <row r="650" ht="15.75" customHeight="1">
      <c r="E650" s="56"/>
    </row>
    <row r="651" ht="15.75" customHeight="1">
      <c r="E651" s="56"/>
    </row>
    <row r="652" ht="15.75" customHeight="1">
      <c r="E652" s="56"/>
    </row>
    <row r="653" ht="15.75" customHeight="1">
      <c r="E653" s="56"/>
    </row>
    <row r="654" ht="15.75" customHeight="1">
      <c r="E654" s="56"/>
    </row>
    <row r="655" ht="15.75" customHeight="1">
      <c r="E655" s="56"/>
    </row>
    <row r="656" ht="15.75" customHeight="1">
      <c r="E656" s="56"/>
    </row>
    <row r="657" ht="15.75" customHeight="1">
      <c r="E657" s="56"/>
    </row>
    <row r="658" ht="15.75" customHeight="1">
      <c r="E658" s="56"/>
    </row>
    <row r="659" ht="15.75" customHeight="1">
      <c r="E659" s="56"/>
    </row>
    <row r="660" ht="15.75" customHeight="1">
      <c r="E660" s="56"/>
    </row>
    <row r="661" ht="15.75" customHeight="1">
      <c r="E661" s="56"/>
    </row>
    <row r="662" ht="15.75" customHeight="1">
      <c r="E662" s="56"/>
    </row>
    <row r="663" ht="15.75" customHeight="1">
      <c r="E663" s="56"/>
    </row>
    <row r="664" ht="15.75" customHeight="1">
      <c r="E664" s="56"/>
    </row>
    <row r="665" ht="15.75" customHeight="1">
      <c r="E665" s="56"/>
    </row>
    <row r="666" ht="15.75" customHeight="1">
      <c r="E666" s="56"/>
    </row>
    <row r="667" ht="15.75" customHeight="1">
      <c r="E667" s="56"/>
    </row>
    <row r="668" ht="15.75" customHeight="1">
      <c r="E668" s="56"/>
    </row>
    <row r="669" ht="15.75" customHeight="1">
      <c r="E669" s="56"/>
    </row>
    <row r="670" ht="15.75" customHeight="1">
      <c r="E670" s="56"/>
    </row>
    <row r="671" ht="15.75" customHeight="1">
      <c r="E671" s="56"/>
    </row>
    <row r="672" ht="15.75" customHeight="1">
      <c r="E672" s="56"/>
    </row>
    <row r="673" ht="15.75" customHeight="1">
      <c r="E673" s="56"/>
    </row>
    <row r="674" ht="15.75" customHeight="1">
      <c r="E674" s="56"/>
    </row>
    <row r="675" ht="15.75" customHeight="1">
      <c r="E675" s="56"/>
    </row>
    <row r="676" ht="15.75" customHeight="1">
      <c r="E676" s="56"/>
    </row>
    <row r="677" ht="15.75" customHeight="1">
      <c r="E677" s="56"/>
    </row>
    <row r="678" ht="15.75" customHeight="1">
      <c r="E678" s="56"/>
    </row>
    <row r="679" ht="15.75" customHeight="1">
      <c r="E679" s="56"/>
    </row>
    <row r="680" ht="15.75" customHeight="1">
      <c r="E680" s="56"/>
    </row>
    <row r="681" ht="15.75" customHeight="1">
      <c r="E681" s="56"/>
    </row>
    <row r="682" ht="15.75" customHeight="1">
      <c r="E682" s="56"/>
    </row>
    <row r="683" ht="15.75" customHeight="1">
      <c r="E683" s="56"/>
    </row>
    <row r="684" ht="15.75" customHeight="1">
      <c r="E684" s="56"/>
    </row>
    <row r="685" ht="15.75" customHeight="1">
      <c r="E685" s="56"/>
    </row>
    <row r="686" ht="15.75" customHeight="1">
      <c r="E686" s="56"/>
    </row>
    <row r="687" ht="15.75" customHeight="1">
      <c r="E687" s="56"/>
    </row>
    <row r="688" ht="15.75" customHeight="1">
      <c r="E688" s="56"/>
    </row>
    <row r="689" ht="15.75" customHeight="1">
      <c r="E689" s="56"/>
    </row>
    <row r="690" ht="15.75" customHeight="1">
      <c r="E690" s="56"/>
    </row>
    <row r="691" ht="15.75" customHeight="1">
      <c r="E691" s="56"/>
    </row>
    <row r="692" ht="15.75" customHeight="1">
      <c r="E692" s="56"/>
    </row>
    <row r="693" ht="15.75" customHeight="1">
      <c r="E693" s="56"/>
    </row>
    <row r="694" ht="15.75" customHeight="1">
      <c r="E694" s="56"/>
    </row>
    <row r="695" ht="15.75" customHeight="1">
      <c r="E695" s="56"/>
    </row>
    <row r="696" ht="15.75" customHeight="1">
      <c r="E696" s="56"/>
    </row>
    <row r="697" ht="15.75" customHeight="1">
      <c r="E697" s="56"/>
    </row>
    <row r="698" ht="15.75" customHeight="1">
      <c r="E698" s="56"/>
    </row>
    <row r="699" ht="15.75" customHeight="1">
      <c r="E699" s="56"/>
    </row>
    <row r="700" ht="15.75" customHeight="1">
      <c r="E700" s="56"/>
    </row>
    <row r="701" ht="15.75" customHeight="1">
      <c r="E701" s="56"/>
    </row>
    <row r="702" ht="15.75" customHeight="1">
      <c r="E702" s="56"/>
    </row>
    <row r="703" ht="15.75" customHeight="1">
      <c r="E703" s="56"/>
    </row>
    <row r="704" ht="15.75" customHeight="1">
      <c r="E704" s="56"/>
    </row>
    <row r="705" ht="15.75" customHeight="1">
      <c r="E705" s="56"/>
    </row>
    <row r="706" ht="15.75" customHeight="1">
      <c r="E706" s="56"/>
    </row>
    <row r="707" ht="15.75" customHeight="1">
      <c r="E707" s="56"/>
    </row>
    <row r="708" ht="15.75" customHeight="1">
      <c r="E708" s="56"/>
    </row>
    <row r="709" ht="15.75" customHeight="1">
      <c r="E709" s="56"/>
    </row>
    <row r="710" ht="15.75" customHeight="1">
      <c r="E710" s="56"/>
    </row>
    <row r="711" ht="15.75" customHeight="1">
      <c r="E711" s="56"/>
    </row>
    <row r="712" ht="15.75" customHeight="1">
      <c r="E712" s="56"/>
    </row>
    <row r="713" ht="15.75" customHeight="1">
      <c r="E713" s="56"/>
    </row>
    <row r="714" ht="15.75" customHeight="1">
      <c r="E714" s="56"/>
    </row>
    <row r="715" ht="15.75" customHeight="1">
      <c r="E715" s="56"/>
    </row>
    <row r="716" ht="15.75" customHeight="1">
      <c r="E716" s="56"/>
    </row>
    <row r="717" ht="15.75" customHeight="1">
      <c r="E717" s="56"/>
    </row>
    <row r="718" ht="15.75" customHeight="1">
      <c r="E718" s="56"/>
    </row>
    <row r="719" ht="15.75" customHeight="1">
      <c r="E719" s="56"/>
    </row>
    <row r="720" ht="15.75" customHeight="1">
      <c r="E720" s="56"/>
    </row>
    <row r="721" ht="15.75" customHeight="1">
      <c r="E721" s="56"/>
    </row>
    <row r="722" ht="15.75" customHeight="1">
      <c r="E722" s="56"/>
    </row>
    <row r="723" ht="15.75" customHeight="1">
      <c r="E723" s="56"/>
    </row>
    <row r="724" ht="15.75" customHeight="1">
      <c r="E724" s="56"/>
    </row>
    <row r="725" ht="15.75" customHeight="1">
      <c r="E725" s="56"/>
    </row>
    <row r="726" ht="15.75" customHeight="1">
      <c r="E726" s="56"/>
    </row>
    <row r="727" ht="15.75" customHeight="1">
      <c r="E727" s="56"/>
    </row>
    <row r="728" ht="15.75" customHeight="1">
      <c r="E728" s="56"/>
    </row>
    <row r="729" ht="15.75" customHeight="1">
      <c r="E729" s="56"/>
    </row>
    <row r="730" ht="15.75" customHeight="1">
      <c r="E730" s="56"/>
    </row>
    <row r="731" ht="15.75" customHeight="1">
      <c r="E731" s="56"/>
    </row>
    <row r="732" ht="15.75" customHeight="1">
      <c r="E732" s="56"/>
    </row>
    <row r="733" ht="15.75" customHeight="1">
      <c r="E733" s="56"/>
    </row>
    <row r="734" ht="15.75" customHeight="1">
      <c r="E734" s="56"/>
    </row>
    <row r="735" ht="15.75" customHeight="1">
      <c r="E735" s="56"/>
    </row>
    <row r="736" ht="15.75" customHeight="1">
      <c r="E736" s="56"/>
    </row>
    <row r="737" ht="15.75" customHeight="1">
      <c r="E737" s="56"/>
    </row>
    <row r="738" ht="15.75" customHeight="1">
      <c r="E738" s="56"/>
    </row>
    <row r="739" ht="15.75" customHeight="1">
      <c r="E739" s="56"/>
    </row>
    <row r="740" ht="15.75" customHeight="1">
      <c r="E740" s="56"/>
    </row>
    <row r="741" ht="15.75" customHeight="1">
      <c r="E741" s="56"/>
    </row>
    <row r="742" ht="15.75" customHeight="1">
      <c r="E742" s="56"/>
    </row>
    <row r="743" ht="15.75" customHeight="1">
      <c r="E743" s="56"/>
    </row>
    <row r="744" ht="15.75" customHeight="1">
      <c r="E744" s="56"/>
    </row>
    <row r="745" ht="15.75" customHeight="1">
      <c r="E745" s="56"/>
    </row>
    <row r="746" ht="15.75" customHeight="1">
      <c r="E746" s="56"/>
    </row>
    <row r="747" ht="15.75" customHeight="1">
      <c r="E747" s="56"/>
    </row>
    <row r="748" ht="15.75" customHeight="1">
      <c r="E748" s="56"/>
    </row>
    <row r="749" ht="15.75" customHeight="1">
      <c r="E749" s="56"/>
    </row>
    <row r="750" ht="15.75" customHeight="1">
      <c r="E750" s="56"/>
    </row>
    <row r="751" ht="15.75" customHeight="1">
      <c r="E751" s="56"/>
    </row>
    <row r="752" ht="15.75" customHeight="1">
      <c r="E752" s="56"/>
    </row>
    <row r="753" ht="15.75" customHeight="1">
      <c r="E753" s="56"/>
    </row>
    <row r="754" ht="15.75" customHeight="1">
      <c r="E754" s="56"/>
    </row>
    <row r="755" ht="15.75" customHeight="1">
      <c r="E755" s="56"/>
    </row>
    <row r="756" ht="15.75" customHeight="1">
      <c r="E756" s="56"/>
    </row>
    <row r="757" ht="15.75" customHeight="1">
      <c r="E757" s="56"/>
    </row>
    <row r="758" ht="15.75" customHeight="1">
      <c r="E758" s="56"/>
    </row>
    <row r="759" ht="15.75" customHeight="1">
      <c r="E759" s="56"/>
    </row>
    <row r="760" ht="15.75" customHeight="1">
      <c r="E760" s="56"/>
    </row>
    <row r="761" ht="15.75" customHeight="1">
      <c r="E761" s="56"/>
    </row>
    <row r="762" ht="15.75" customHeight="1">
      <c r="E762" s="56"/>
    </row>
    <row r="763" ht="15.75" customHeight="1">
      <c r="E763" s="56"/>
    </row>
    <row r="764" ht="15.75" customHeight="1">
      <c r="E764" s="56"/>
    </row>
    <row r="765" ht="15.75" customHeight="1">
      <c r="E765" s="56"/>
    </row>
    <row r="766" ht="15.75" customHeight="1">
      <c r="E766" s="56"/>
    </row>
    <row r="767" ht="15.75" customHeight="1">
      <c r="E767" s="56"/>
    </row>
    <row r="768" ht="15.75" customHeight="1">
      <c r="E768" s="56"/>
    </row>
    <row r="769" ht="15.75" customHeight="1">
      <c r="E769" s="56"/>
    </row>
    <row r="770" ht="15.75" customHeight="1">
      <c r="E770" s="56"/>
    </row>
    <row r="771" ht="15.75" customHeight="1">
      <c r="E771" s="56"/>
    </row>
    <row r="772" ht="15.75" customHeight="1">
      <c r="E772" s="56"/>
    </row>
    <row r="773" ht="15.75" customHeight="1">
      <c r="E773" s="56"/>
    </row>
    <row r="774" ht="15.75" customHeight="1">
      <c r="E774" s="56"/>
    </row>
    <row r="775" ht="15.75" customHeight="1">
      <c r="E775" s="56"/>
    </row>
    <row r="776" ht="15.75" customHeight="1">
      <c r="E776" s="56"/>
    </row>
    <row r="777" ht="15.75" customHeight="1">
      <c r="E777" s="56"/>
    </row>
    <row r="778" ht="15.75" customHeight="1">
      <c r="E778" s="56"/>
    </row>
    <row r="779" ht="15.75" customHeight="1">
      <c r="E779" s="56"/>
    </row>
    <row r="780" ht="15.75" customHeight="1">
      <c r="E780" s="56"/>
    </row>
    <row r="781" ht="15.75" customHeight="1">
      <c r="E781" s="56"/>
    </row>
    <row r="782" ht="15.75" customHeight="1">
      <c r="E782" s="56"/>
    </row>
    <row r="783" ht="15.75" customHeight="1">
      <c r="E783" s="56"/>
    </row>
    <row r="784" ht="15.75" customHeight="1">
      <c r="E784" s="56"/>
    </row>
    <row r="785" ht="15.75" customHeight="1">
      <c r="E785" s="56"/>
    </row>
    <row r="786" ht="15.75" customHeight="1">
      <c r="E786" s="56"/>
    </row>
    <row r="787" ht="15.75" customHeight="1">
      <c r="E787" s="56"/>
    </row>
    <row r="788" ht="15.75" customHeight="1">
      <c r="E788" s="56"/>
    </row>
    <row r="789" ht="15.75" customHeight="1">
      <c r="E789" s="56"/>
    </row>
    <row r="790" ht="15.75" customHeight="1">
      <c r="E790" s="56"/>
    </row>
    <row r="791" ht="15.75" customHeight="1">
      <c r="E791" s="56"/>
    </row>
    <row r="792" ht="15.75" customHeight="1">
      <c r="E792" s="56"/>
    </row>
    <row r="793" ht="15.75" customHeight="1">
      <c r="E793" s="56"/>
    </row>
    <row r="794" ht="15.75" customHeight="1">
      <c r="E794" s="56"/>
    </row>
    <row r="795" ht="15.75" customHeight="1">
      <c r="E795" s="56"/>
    </row>
    <row r="796" ht="15.75" customHeight="1">
      <c r="E796" s="56"/>
    </row>
    <row r="797" ht="15.75" customHeight="1">
      <c r="E797" s="56"/>
    </row>
    <row r="798" ht="15.75" customHeight="1">
      <c r="E798" s="56"/>
    </row>
    <row r="799" ht="15.75" customHeight="1">
      <c r="E799" s="56"/>
    </row>
    <row r="800" ht="15.75" customHeight="1">
      <c r="E800" s="56"/>
    </row>
    <row r="801" ht="15.75" customHeight="1">
      <c r="E801" s="56"/>
    </row>
    <row r="802" ht="15.75" customHeight="1">
      <c r="E802" s="56"/>
    </row>
    <row r="803" ht="15.75" customHeight="1">
      <c r="E803" s="56"/>
    </row>
    <row r="804" ht="15.75" customHeight="1">
      <c r="E804" s="56"/>
    </row>
    <row r="805" ht="15.75" customHeight="1">
      <c r="E805" s="56"/>
    </row>
    <row r="806" ht="15.75" customHeight="1">
      <c r="E806" s="56"/>
    </row>
    <row r="807" ht="15.75" customHeight="1">
      <c r="E807" s="56"/>
    </row>
    <row r="808" ht="15.75" customHeight="1">
      <c r="E808" s="56"/>
    </row>
    <row r="809" ht="15.75" customHeight="1">
      <c r="E809" s="56"/>
    </row>
    <row r="810" ht="15.75" customHeight="1">
      <c r="E810" s="56"/>
    </row>
    <row r="811" ht="15.75" customHeight="1">
      <c r="E811" s="56"/>
    </row>
    <row r="812" ht="15.75" customHeight="1">
      <c r="E812" s="56"/>
    </row>
    <row r="813" ht="15.75" customHeight="1">
      <c r="E813" s="56"/>
    </row>
    <row r="814" ht="15.75" customHeight="1">
      <c r="E814" s="56"/>
    </row>
    <row r="815" ht="15.75" customHeight="1">
      <c r="E815" s="56"/>
    </row>
    <row r="816" ht="15.75" customHeight="1">
      <c r="E816" s="56"/>
    </row>
    <row r="817" ht="15.75" customHeight="1">
      <c r="E817" s="56"/>
    </row>
    <row r="818" ht="15.75" customHeight="1">
      <c r="E818" s="56"/>
    </row>
    <row r="819" ht="15.75" customHeight="1">
      <c r="E819" s="56"/>
    </row>
    <row r="820" ht="15.75" customHeight="1">
      <c r="E820" s="56"/>
    </row>
    <row r="821" ht="15.75" customHeight="1">
      <c r="E821" s="56"/>
    </row>
    <row r="822" ht="15.75" customHeight="1">
      <c r="E822" s="56"/>
    </row>
    <row r="823" ht="15.75" customHeight="1">
      <c r="E823" s="56"/>
    </row>
    <row r="824" ht="15.75" customHeight="1">
      <c r="E824" s="56"/>
    </row>
    <row r="825" ht="15.75" customHeight="1">
      <c r="E825" s="56"/>
    </row>
    <row r="826" ht="15.75" customHeight="1">
      <c r="E826" s="56"/>
    </row>
    <row r="827" ht="15.75" customHeight="1">
      <c r="E827" s="56"/>
    </row>
    <row r="828" ht="15.75" customHeight="1">
      <c r="E828" s="56"/>
    </row>
    <row r="829" ht="15.75" customHeight="1">
      <c r="E829" s="56"/>
    </row>
    <row r="830" ht="15.75" customHeight="1">
      <c r="E830" s="56"/>
    </row>
    <row r="831" ht="15.75" customHeight="1">
      <c r="E831" s="56"/>
    </row>
    <row r="832" ht="15.75" customHeight="1">
      <c r="E832" s="56"/>
    </row>
    <row r="833" ht="15.75" customHeight="1">
      <c r="E833" s="56"/>
    </row>
    <row r="834" ht="15.75" customHeight="1">
      <c r="E834" s="56"/>
    </row>
    <row r="835" ht="15.75" customHeight="1">
      <c r="E835" s="56"/>
    </row>
    <row r="836" ht="15.75" customHeight="1">
      <c r="E836" s="56"/>
    </row>
    <row r="837" ht="15.75" customHeight="1">
      <c r="E837" s="56"/>
    </row>
    <row r="838" ht="15.75" customHeight="1">
      <c r="E838" s="56"/>
    </row>
    <row r="839" ht="15.75" customHeight="1">
      <c r="E839" s="56"/>
    </row>
    <row r="840" ht="15.75" customHeight="1">
      <c r="E840" s="56"/>
    </row>
    <row r="841" ht="15.75" customHeight="1">
      <c r="E841" s="56"/>
    </row>
    <row r="842" ht="15.75" customHeight="1">
      <c r="E842" s="56"/>
    </row>
    <row r="843" ht="15.75" customHeight="1">
      <c r="E843" s="56"/>
    </row>
    <row r="844" ht="15.75" customHeight="1">
      <c r="E844" s="56"/>
    </row>
    <row r="845" ht="15.75" customHeight="1">
      <c r="E845" s="56"/>
    </row>
    <row r="846" ht="15.75" customHeight="1">
      <c r="E846" s="56"/>
    </row>
    <row r="847" ht="15.75" customHeight="1">
      <c r="E847" s="56"/>
    </row>
    <row r="848" ht="15.75" customHeight="1">
      <c r="E848" s="56"/>
    </row>
    <row r="849" ht="15.75" customHeight="1">
      <c r="E849" s="56"/>
    </row>
    <row r="850" ht="15.75" customHeight="1">
      <c r="E850" s="56"/>
    </row>
    <row r="851" ht="15.75" customHeight="1">
      <c r="E851" s="56"/>
    </row>
    <row r="852" ht="15.75" customHeight="1">
      <c r="E852" s="56"/>
    </row>
    <row r="853" ht="15.75" customHeight="1">
      <c r="E853" s="56"/>
    </row>
    <row r="854" ht="15.75" customHeight="1">
      <c r="E854" s="56"/>
    </row>
    <row r="855" ht="15.75" customHeight="1">
      <c r="E855" s="56"/>
    </row>
    <row r="856" ht="15.75" customHeight="1">
      <c r="E856" s="56"/>
    </row>
    <row r="857" ht="15.75" customHeight="1">
      <c r="E857" s="56"/>
    </row>
    <row r="858" ht="15.75" customHeight="1">
      <c r="E858" s="56"/>
    </row>
    <row r="859" ht="15.75" customHeight="1">
      <c r="E859" s="56"/>
    </row>
    <row r="860" ht="15.75" customHeight="1">
      <c r="E860" s="56"/>
    </row>
    <row r="861" ht="15.75" customHeight="1">
      <c r="E861" s="56"/>
    </row>
    <row r="862" ht="15.75" customHeight="1">
      <c r="E862" s="56"/>
    </row>
    <row r="863" ht="15.75" customHeight="1">
      <c r="E863" s="56"/>
    </row>
    <row r="864" ht="15.75" customHeight="1">
      <c r="E864" s="56"/>
    </row>
    <row r="865" ht="15.75" customHeight="1">
      <c r="E865" s="56"/>
    </row>
    <row r="866" ht="15.75" customHeight="1">
      <c r="E866" s="56"/>
    </row>
    <row r="867" ht="15.75" customHeight="1">
      <c r="E867" s="56"/>
    </row>
    <row r="868" ht="15.75" customHeight="1">
      <c r="E868" s="56"/>
    </row>
    <row r="869" ht="15.75" customHeight="1">
      <c r="E869" s="56"/>
    </row>
    <row r="870" ht="15.75" customHeight="1">
      <c r="E870" s="56"/>
    </row>
    <row r="871" ht="15.75" customHeight="1">
      <c r="E871" s="56"/>
    </row>
    <row r="872" ht="15.75" customHeight="1">
      <c r="E872" s="56"/>
    </row>
    <row r="873" ht="15.75" customHeight="1">
      <c r="E873" s="56"/>
    </row>
    <row r="874" ht="15.75" customHeight="1">
      <c r="E874" s="56"/>
    </row>
    <row r="875" ht="15.75" customHeight="1">
      <c r="E875" s="56"/>
    </row>
    <row r="876" ht="15.75" customHeight="1">
      <c r="E876" s="56"/>
    </row>
    <row r="877" ht="15.75" customHeight="1">
      <c r="E877" s="56"/>
    </row>
    <row r="878" ht="15.75" customHeight="1">
      <c r="E878" s="56"/>
    </row>
    <row r="879" ht="15.75" customHeight="1">
      <c r="E879" s="56"/>
    </row>
    <row r="880" ht="15.75" customHeight="1">
      <c r="E880" s="56"/>
    </row>
    <row r="881" ht="15.75" customHeight="1">
      <c r="E881" s="56"/>
    </row>
    <row r="882" ht="15.75" customHeight="1">
      <c r="E882" s="56"/>
    </row>
    <row r="883" ht="15.75" customHeight="1">
      <c r="E883" s="56"/>
    </row>
    <row r="884" ht="15.75" customHeight="1">
      <c r="E884" s="56"/>
    </row>
    <row r="885" ht="15.75" customHeight="1">
      <c r="E885" s="56"/>
    </row>
    <row r="886" ht="15.75" customHeight="1">
      <c r="E886" s="56"/>
    </row>
    <row r="887" ht="15.75" customHeight="1">
      <c r="E887" s="56"/>
    </row>
    <row r="888" ht="15.75" customHeight="1">
      <c r="E888" s="56"/>
    </row>
    <row r="889" ht="15.75" customHeight="1">
      <c r="E889" s="56"/>
    </row>
    <row r="890" ht="15.75" customHeight="1">
      <c r="E890" s="56"/>
    </row>
    <row r="891" ht="15.75" customHeight="1">
      <c r="E891" s="56"/>
    </row>
    <row r="892" ht="15.75" customHeight="1">
      <c r="E892" s="56"/>
    </row>
    <row r="893" ht="15.75" customHeight="1">
      <c r="E893" s="56"/>
    </row>
    <row r="894" ht="15.75" customHeight="1">
      <c r="E894" s="56"/>
    </row>
    <row r="895" ht="15.75" customHeight="1">
      <c r="E895" s="56"/>
    </row>
    <row r="896" ht="15.75" customHeight="1">
      <c r="E896" s="56"/>
    </row>
    <row r="897" ht="15.75" customHeight="1">
      <c r="E897" s="56"/>
    </row>
    <row r="898" ht="15.75" customHeight="1">
      <c r="E898" s="56"/>
    </row>
    <row r="899" ht="15.75" customHeight="1">
      <c r="E899" s="56"/>
    </row>
    <row r="900" ht="15.75" customHeight="1">
      <c r="E900" s="56"/>
    </row>
    <row r="901" ht="15.75" customHeight="1">
      <c r="E901" s="56"/>
    </row>
    <row r="902" ht="15.75" customHeight="1">
      <c r="E902" s="56"/>
    </row>
    <row r="903" ht="15.75" customHeight="1">
      <c r="E903" s="56"/>
    </row>
    <row r="904" ht="15.75" customHeight="1">
      <c r="E904" s="56"/>
    </row>
    <row r="905" ht="15.75" customHeight="1">
      <c r="E905" s="56"/>
    </row>
    <row r="906" ht="15.75" customHeight="1">
      <c r="E906" s="56"/>
    </row>
    <row r="907" ht="15.75" customHeight="1">
      <c r="E907" s="56"/>
    </row>
    <row r="908" ht="15.75" customHeight="1">
      <c r="E908" s="56"/>
    </row>
    <row r="909" ht="15.75" customHeight="1">
      <c r="E909" s="56"/>
    </row>
    <row r="910" ht="15.75" customHeight="1">
      <c r="E910" s="56"/>
    </row>
    <row r="911" ht="15.75" customHeight="1">
      <c r="E911" s="56"/>
    </row>
    <row r="912" ht="15.75" customHeight="1">
      <c r="E912" s="56"/>
    </row>
    <row r="913" ht="15.75" customHeight="1">
      <c r="E913" s="56"/>
    </row>
    <row r="914" ht="15.75" customHeight="1">
      <c r="E914" s="56"/>
    </row>
    <row r="915" ht="15.75" customHeight="1">
      <c r="E915" s="56"/>
    </row>
    <row r="916" ht="15.75" customHeight="1">
      <c r="E916" s="56"/>
    </row>
    <row r="917" ht="15.75" customHeight="1">
      <c r="E917" s="56"/>
    </row>
    <row r="918" ht="15.75" customHeight="1">
      <c r="E918" s="56"/>
    </row>
    <row r="919" ht="15.75" customHeight="1">
      <c r="E919" s="56"/>
    </row>
    <row r="920" ht="15.75" customHeight="1">
      <c r="E920" s="56"/>
    </row>
    <row r="921" ht="15.75" customHeight="1">
      <c r="E921" s="56"/>
    </row>
    <row r="922" ht="15.75" customHeight="1">
      <c r="E922" s="56"/>
    </row>
    <row r="923" ht="15.75" customHeight="1">
      <c r="E923" s="56"/>
    </row>
    <row r="924" ht="15.75" customHeight="1">
      <c r="E924" s="56"/>
    </row>
    <row r="925" ht="15.75" customHeight="1">
      <c r="E925" s="56"/>
    </row>
    <row r="926" ht="15.75" customHeight="1">
      <c r="E926" s="56"/>
    </row>
    <row r="927" ht="15.75" customHeight="1">
      <c r="E927" s="56"/>
    </row>
    <row r="928" ht="15.75" customHeight="1">
      <c r="E928" s="56"/>
    </row>
    <row r="929" ht="15.75" customHeight="1">
      <c r="E929" s="56"/>
    </row>
    <row r="930" ht="15.75" customHeight="1">
      <c r="E930" s="56"/>
    </row>
    <row r="931" ht="15.75" customHeight="1">
      <c r="E931" s="56"/>
    </row>
    <row r="932" ht="15.75" customHeight="1">
      <c r="E932" s="56"/>
    </row>
    <row r="933" ht="15.75" customHeight="1">
      <c r="E933" s="56"/>
    </row>
    <row r="934" ht="15.75" customHeight="1">
      <c r="E934" s="56"/>
    </row>
    <row r="935" ht="15.75" customHeight="1">
      <c r="E935" s="56"/>
    </row>
    <row r="936" ht="15.75" customHeight="1">
      <c r="E936" s="56"/>
    </row>
    <row r="937" ht="15.75" customHeight="1">
      <c r="E937" s="56"/>
    </row>
    <row r="938" ht="15.75" customHeight="1">
      <c r="E938" s="56"/>
    </row>
    <row r="939" ht="15.75" customHeight="1">
      <c r="E939" s="56"/>
    </row>
    <row r="940" ht="15.75" customHeight="1">
      <c r="E940" s="56"/>
    </row>
    <row r="941" ht="15.75" customHeight="1">
      <c r="E941" s="56"/>
    </row>
    <row r="942" ht="15.75" customHeight="1">
      <c r="E942" s="56"/>
    </row>
    <row r="943" ht="15.75" customHeight="1">
      <c r="E943" s="56"/>
    </row>
    <row r="944" ht="15.75" customHeight="1">
      <c r="E944" s="56"/>
    </row>
    <row r="945" ht="15.75" customHeight="1">
      <c r="E945" s="56"/>
    </row>
    <row r="946" ht="15.75" customHeight="1">
      <c r="E946" s="56"/>
    </row>
    <row r="947" ht="15.75" customHeight="1">
      <c r="E947" s="56"/>
    </row>
    <row r="948" ht="15.75" customHeight="1">
      <c r="E948" s="56"/>
    </row>
    <row r="949" ht="15.75" customHeight="1">
      <c r="E949" s="56"/>
    </row>
    <row r="950" ht="15.75" customHeight="1">
      <c r="E950" s="56"/>
    </row>
    <row r="951" ht="15.75" customHeight="1">
      <c r="E951" s="56"/>
    </row>
    <row r="952" ht="15.75" customHeight="1">
      <c r="E952" s="56"/>
    </row>
    <row r="953" ht="15.75" customHeight="1">
      <c r="E953" s="56"/>
    </row>
    <row r="954" ht="15.75" customHeight="1">
      <c r="E954" s="56"/>
    </row>
    <row r="955" ht="15.75" customHeight="1">
      <c r="E955" s="56"/>
    </row>
    <row r="956" ht="15.75" customHeight="1">
      <c r="E956" s="56"/>
    </row>
    <row r="957" ht="15.75" customHeight="1">
      <c r="E957" s="56"/>
    </row>
    <row r="958" ht="15.75" customHeight="1">
      <c r="E958" s="56"/>
    </row>
    <row r="959" ht="15.75" customHeight="1">
      <c r="E959" s="56"/>
    </row>
    <row r="960" ht="15.75" customHeight="1">
      <c r="E960" s="56"/>
    </row>
    <row r="961" ht="15.75" customHeight="1">
      <c r="E961" s="56"/>
    </row>
    <row r="962" ht="15.75" customHeight="1">
      <c r="E962" s="56"/>
    </row>
    <row r="963" ht="15.75" customHeight="1">
      <c r="E963" s="56"/>
    </row>
    <row r="964" ht="15.75" customHeight="1">
      <c r="E964" s="56"/>
    </row>
    <row r="965" ht="15.75" customHeight="1">
      <c r="E965" s="56"/>
    </row>
    <row r="966" ht="15.75" customHeight="1">
      <c r="E966" s="56"/>
    </row>
    <row r="967" ht="15.75" customHeight="1">
      <c r="E967" s="56"/>
    </row>
    <row r="968" ht="15.75" customHeight="1">
      <c r="E968" s="56"/>
    </row>
    <row r="969" ht="15.75" customHeight="1">
      <c r="E969" s="56"/>
    </row>
    <row r="970" ht="15.75" customHeight="1">
      <c r="E970" s="56"/>
    </row>
    <row r="971" ht="15.75" customHeight="1">
      <c r="E971" s="56"/>
    </row>
    <row r="972" ht="15.75" customHeight="1">
      <c r="E972" s="56"/>
    </row>
    <row r="973" ht="15.75" customHeight="1">
      <c r="E973" s="56"/>
    </row>
    <row r="974" ht="15.75" customHeight="1">
      <c r="E974" s="56"/>
    </row>
    <row r="975" ht="15.75" customHeight="1">
      <c r="E975" s="56"/>
    </row>
    <row r="976" ht="15.75" customHeight="1">
      <c r="E976" s="56"/>
    </row>
    <row r="977" ht="15.75" customHeight="1">
      <c r="E977" s="56"/>
    </row>
    <row r="978" ht="15.75" customHeight="1">
      <c r="E978" s="56"/>
    </row>
    <row r="979" ht="15.75" customHeight="1">
      <c r="E979" s="56"/>
    </row>
    <row r="980" ht="15.75" customHeight="1">
      <c r="E980" s="56"/>
    </row>
    <row r="981" ht="15.75" customHeight="1">
      <c r="E981" s="56"/>
    </row>
    <row r="982" ht="15.75" customHeight="1">
      <c r="E982" s="56"/>
    </row>
    <row r="983" ht="15.75" customHeight="1">
      <c r="E983" s="56"/>
    </row>
    <row r="984" ht="15.75" customHeight="1">
      <c r="E984" s="56"/>
    </row>
    <row r="985" ht="15.75" customHeight="1">
      <c r="E985" s="56"/>
    </row>
    <row r="986" ht="15.75" customHeight="1">
      <c r="E986" s="56"/>
    </row>
    <row r="987" ht="15.75" customHeight="1">
      <c r="E987" s="56"/>
    </row>
    <row r="988" ht="15.75" customHeight="1">
      <c r="E988" s="56"/>
    </row>
    <row r="989" ht="15.75" customHeight="1">
      <c r="E989" s="56"/>
    </row>
    <row r="990" ht="15.75" customHeight="1">
      <c r="E990" s="56"/>
    </row>
    <row r="991" ht="15.75" customHeight="1">
      <c r="E991" s="56"/>
    </row>
    <row r="992" ht="15.75" customHeight="1">
      <c r="E992" s="56"/>
    </row>
    <row r="993" ht="15.75" customHeight="1">
      <c r="E993" s="56"/>
    </row>
    <row r="994" ht="15.75" customHeight="1">
      <c r="E994" s="56"/>
    </row>
    <row r="995" ht="15.75" customHeight="1">
      <c r="E995" s="56"/>
    </row>
    <row r="996" ht="15.75" customHeight="1">
      <c r="E996" s="56"/>
    </row>
    <row r="997" ht="15.75" customHeight="1">
      <c r="E997" s="56"/>
    </row>
    <row r="998" ht="15.75" customHeight="1">
      <c r="E998" s="56"/>
    </row>
    <row r="999" ht="15.75" customHeight="1">
      <c r="E999" s="56"/>
    </row>
    <row r="1000" ht="15.75" customHeight="1">
      <c r="E1000" s="56"/>
    </row>
  </sheetData>
  <autoFilter ref="$C$1:$C$1000"/>
  <hyperlinks>
    <hyperlink r:id="rId1" ref="E55"/>
    <hyperlink r:id="rId2" ref="E56"/>
    <hyperlink r:id="rId3" ref="E193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6.63"/>
    <col customWidth="1" min="4" max="5" width="12.63"/>
    <col customWidth="1" min="6" max="6" width="29.38"/>
  </cols>
  <sheetData>
    <row r="1" ht="15.75" customHeight="1">
      <c r="A1" s="57" t="s">
        <v>1528</v>
      </c>
      <c r="B1" s="57" t="s">
        <v>1529</v>
      </c>
      <c r="C1" s="57" t="s">
        <v>1530</v>
      </c>
      <c r="D1" s="57" t="s">
        <v>723</v>
      </c>
      <c r="E1" s="57" t="s">
        <v>1531</v>
      </c>
      <c r="F1" s="57" t="s">
        <v>1532</v>
      </c>
    </row>
    <row r="2" ht="15.75" customHeight="1">
      <c r="A2" s="30" t="s">
        <v>1533</v>
      </c>
      <c r="B2" s="30" t="s">
        <v>1534</v>
      </c>
      <c r="C2" s="30" t="s">
        <v>140</v>
      </c>
      <c r="D2" s="30" t="s">
        <v>1535</v>
      </c>
      <c r="E2" s="37" t="s">
        <v>1536</v>
      </c>
      <c r="F2" s="30" t="s">
        <v>1537</v>
      </c>
    </row>
    <row r="3" ht="15.75" customHeight="1">
      <c r="A3" s="30" t="s">
        <v>1538</v>
      </c>
      <c r="B3" s="30" t="s">
        <v>1539</v>
      </c>
      <c r="C3" s="30" t="s">
        <v>1540</v>
      </c>
      <c r="D3" s="30" t="s">
        <v>1541</v>
      </c>
      <c r="E3" s="37" t="s">
        <v>1536</v>
      </c>
      <c r="F3" s="30" t="s">
        <v>1537</v>
      </c>
    </row>
    <row r="4" ht="15.75" customHeight="1">
      <c r="A4" s="30" t="s">
        <v>1542</v>
      </c>
      <c r="B4" s="30" t="s">
        <v>1539</v>
      </c>
      <c r="C4" s="30" t="s">
        <v>1540</v>
      </c>
      <c r="D4" s="30" t="s">
        <v>1541</v>
      </c>
      <c r="E4" s="37" t="s">
        <v>1536</v>
      </c>
      <c r="F4" s="30" t="s">
        <v>1537</v>
      </c>
    </row>
    <row r="5" ht="15.75" customHeight="1">
      <c r="A5" s="30" t="s">
        <v>1543</v>
      </c>
      <c r="B5" s="30" t="s">
        <v>1544</v>
      </c>
      <c r="C5" s="30" t="s">
        <v>140</v>
      </c>
      <c r="D5" s="30" t="s">
        <v>1545</v>
      </c>
      <c r="E5" s="37" t="s">
        <v>1536</v>
      </c>
      <c r="F5" s="30" t="s">
        <v>1537</v>
      </c>
    </row>
    <row r="6" ht="15.75" customHeight="1">
      <c r="A6" s="30" t="s">
        <v>1546</v>
      </c>
      <c r="B6" s="30" t="s">
        <v>1544</v>
      </c>
      <c r="C6" s="30" t="s">
        <v>140</v>
      </c>
      <c r="D6" s="30" t="s">
        <v>1340</v>
      </c>
      <c r="E6" s="37" t="s">
        <v>1536</v>
      </c>
      <c r="F6" s="30" t="s">
        <v>1537</v>
      </c>
    </row>
    <row r="7" ht="15.75" customHeight="1">
      <c r="A7" s="30" t="s">
        <v>1547</v>
      </c>
      <c r="B7" s="30" t="s">
        <v>1544</v>
      </c>
      <c r="C7" s="30" t="s">
        <v>856</v>
      </c>
      <c r="D7" s="30" t="s">
        <v>1061</v>
      </c>
      <c r="E7" s="37" t="s">
        <v>1536</v>
      </c>
      <c r="F7" s="30" t="s">
        <v>1537</v>
      </c>
    </row>
    <row r="8" ht="15.75" customHeight="1">
      <c r="A8" s="30" t="s">
        <v>1548</v>
      </c>
      <c r="B8" s="30" t="s">
        <v>1544</v>
      </c>
      <c r="C8" s="30" t="s">
        <v>856</v>
      </c>
      <c r="D8" s="30" t="s">
        <v>1549</v>
      </c>
      <c r="E8" s="37" t="s">
        <v>1536</v>
      </c>
      <c r="F8" s="30" t="s">
        <v>1537</v>
      </c>
    </row>
    <row r="9" ht="15.75" customHeight="1">
      <c r="A9" s="30" t="s">
        <v>1550</v>
      </c>
      <c r="B9" s="30" t="s">
        <v>1544</v>
      </c>
      <c r="C9" s="30" t="s">
        <v>1551</v>
      </c>
      <c r="D9" s="30" t="s">
        <v>1552</v>
      </c>
      <c r="E9" s="37" t="s">
        <v>1536</v>
      </c>
      <c r="F9" s="30" t="s">
        <v>1537</v>
      </c>
    </row>
    <row r="10" ht="15.75" customHeight="1">
      <c r="A10" s="30" t="s">
        <v>1553</v>
      </c>
      <c r="B10" s="30" t="s">
        <v>445</v>
      </c>
      <c r="C10" s="30" t="s">
        <v>1155</v>
      </c>
      <c r="D10" s="30" t="s">
        <v>1554</v>
      </c>
      <c r="E10" s="37" t="s">
        <v>1536</v>
      </c>
      <c r="F10" s="30" t="s">
        <v>1537</v>
      </c>
    </row>
    <row r="11" ht="15.75" customHeight="1">
      <c r="A11" s="30" t="s">
        <v>1555</v>
      </c>
      <c r="B11" s="30" t="s">
        <v>445</v>
      </c>
      <c r="C11" s="30" t="s">
        <v>1016</v>
      </c>
      <c r="D11" s="30" t="s">
        <v>1556</v>
      </c>
      <c r="E11" s="37" t="s">
        <v>1536</v>
      </c>
      <c r="F11" s="30" t="s">
        <v>1537</v>
      </c>
    </row>
    <row r="12" ht="15.75" customHeight="1">
      <c r="A12" s="30" t="s">
        <v>1557</v>
      </c>
      <c r="B12" s="30" t="s">
        <v>445</v>
      </c>
      <c r="C12" s="30" t="s">
        <v>1016</v>
      </c>
      <c r="D12" s="30" t="s">
        <v>1556</v>
      </c>
      <c r="E12" s="37" t="s">
        <v>1536</v>
      </c>
      <c r="F12" s="30" t="s">
        <v>1537</v>
      </c>
    </row>
    <row r="13" ht="15.75" customHeight="1">
      <c r="A13" s="30" t="s">
        <v>1558</v>
      </c>
      <c r="B13" s="30" t="s">
        <v>445</v>
      </c>
      <c r="C13" s="30" t="s">
        <v>1016</v>
      </c>
      <c r="D13" s="30" t="s">
        <v>1556</v>
      </c>
      <c r="E13" s="37" t="s">
        <v>1536</v>
      </c>
      <c r="F13" s="30" t="s">
        <v>1537</v>
      </c>
    </row>
    <row r="14" ht="15.75" customHeight="1">
      <c r="A14" s="30" t="s">
        <v>1559</v>
      </c>
      <c r="B14" s="30" t="s">
        <v>445</v>
      </c>
      <c r="C14" s="30" t="s">
        <v>1063</v>
      </c>
      <c r="D14" s="30" t="s">
        <v>1061</v>
      </c>
      <c r="E14" s="37" t="s">
        <v>1536</v>
      </c>
      <c r="F14" s="30" t="s">
        <v>1537</v>
      </c>
    </row>
    <row r="15" ht="15.75" customHeight="1">
      <c r="A15" s="30" t="s">
        <v>1560</v>
      </c>
      <c r="B15" s="30" t="s">
        <v>106</v>
      </c>
      <c r="C15" s="30" t="s">
        <v>1551</v>
      </c>
      <c r="D15" s="30" t="s">
        <v>1561</v>
      </c>
      <c r="E15" s="37" t="s">
        <v>1536</v>
      </c>
      <c r="F15" s="30" t="s">
        <v>1537</v>
      </c>
    </row>
    <row r="16" ht="15.75" customHeight="1">
      <c r="A16" s="30" t="s">
        <v>1562</v>
      </c>
      <c r="B16" s="30" t="s">
        <v>106</v>
      </c>
      <c r="C16" s="30" t="s">
        <v>1563</v>
      </c>
      <c r="D16" s="30" t="s">
        <v>1564</v>
      </c>
      <c r="E16" s="37" t="s">
        <v>1536</v>
      </c>
      <c r="F16" s="30" t="s">
        <v>1537</v>
      </c>
    </row>
    <row r="17" ht="15.75" customHeight="1">
      <c r="A17" s="30" t="s">
        <v>1565</v>
      </c>
      <c r="B17" s="30" t="s">
        <v>106</v>
      </c>
      <c r="C17" s="30" t="s">
        <v>1563</v>
      </c>
      <c r="D17" s="30" t="s">
        <v>1566</v>
      </c>
      <c r="E17" s="37" t="s">
        <v>1536</v>
      </c>
      <c r="F17" s="30" t="s">
        <v>1537</v>
      </c>
    </row>
    <row r="18" ht="15.75" customHeight="1">
      <c r="A18" s="30" t="s">
        <v>1567</v>
      </c>
      <c r="B18" s="30" t="s">
        <v>106</v>
      </c>
      <c r="C18" s="30" t="s">
        <v>1540</v>
      </c>
      <c r="D18" s="28"/>
      <c r="E18" s="37" t="s">
        <v>1536</v>
      </c>
      <c r="F18" s="30" t="s">
        <v>1537</v>
      </c>
    </row>
    <row r="19" ht="15.75" customHeight="1">
      <c r="A19" s="30" t="s">
        <v>1568</v>
      </c>
      <c r="B19" s="30" t="s">
        <v>393</v>
      </c>
      <c r="C19" s="30" t="s">
        <v>856</v>
      </c>
      <c r="D19" s="30" t="s">
        <v>1569</v>
      </c>
      <c r="E19" s="37" t="s">
        <v>1536</v>
      </c>
      <c r="F19" s="30" t="s">
        <v>1537</v>
      </c>
    </row>
    <row r="20" ht="15.75" customHeight="1">
      <c r="A20" s="30" t="s">
        <v>1570</v>
      </c>
      <c r="B20" s="30" t="s">
        <v>393</v>
      </c>
      <c r="C20" s="30" t="s">
        <v>704</v>
      </c>
      <c r="D20" s="30" t="s">
        <v>1571</v>
      </c>
      <c r="E20" s="37" t="s">
        <v>1536</v>
      </c>
      <c r="F20" s="30" t="s">
        <v>1537</v>
      </c>
    </row>
    <row r="21" ht="15.75" customHeight="1">
      <c r="A21" s="30" t="s">
        <v>1572</v>
      </c>
      <c r="B21" s="30" t="s">
        <v>393</v>
      </c>
      <c r="C21" s="30" t="s">
        <v>704</v>
      </c>
      <c r="D21" s="30" t="s">
        <v>1573</v>
      </c>
      <c r="E21" s="37" t="s">
        <v>1536</v>
      </c>
      <c r="F21" s="30" t="s">
        <v>1537</v>
      </c>
    </row>
    <row r="22" ht="15.75" customHeight="1">
      <c r="A22" s="30" t="s">
        <v>1574</v>
      </c>
      <c r="B22" s="30" t="s">
        <v>561</v>
      </c>
      <c r="C22" s="30" t="s">
        <v>1575</v>
      </c>
      <c r="D22" s="30" t="s">
        <v>1576</v>
      </c>
      <c r="E22" s="37" t="s">
        <v>1536</v>
      </c>
      <c r="F22" s="30" t="s">
        <v>1537</v>
      </c>
    </row>
    <row r="23" ht="15.75" customHeight="1">
      <c r="A23" s="30" t="s">
        <v>1577</v>
      </c>
      <c r="B23" s="30" t="s">
        <v>561</v>
      </c>
      <c r="C23" s="30" t="s">
        <v>1563</v>
      </c>
      <c r="D23" s="30" t="s">
        <v>1566</v>
      </c>
      <c r="E23" s="37" t="s">
        <v>1536</v>
      </c>
      <c r="F23" s="30" t="s">
        <v>1537</v>
      </c>
    </row>
    <row r="24" ht="15.75" customHeight="1">
      <c r="A24" s="30" t="s">
        <v>1578</v>
      </c>
      <c r="B24" s="30" t="s">
        <v>561</v>
      </c>
      <c r="C24" s="30" t="s">
        <v>1579</v>
      </c>
      <c r="D24" s="30" t="s">
        <v>1580</v>
      </c>
      <c r="E24" s="37" t="s">
        <v>1536</v>
      </c>
      <c r="F24" s="30" t="s">
        <v>1537</v>
      </c>
    </row>
    <row r="25" ht="15.75" customHeight="1">
      <c r="A25" s="30" t="s">
        <v>1581</v>
      </c>
      <c r="B25" s="30" t="s">
        <v>561</v>
      </c>
      <c r="C25" s="30" t="s">
        <v>1582</v>
      </c>
      <c r="D25" s="30" t="s">
        <v>1583</v>
      </c>
      <c r="E25" s="30" t="s">
        <v>1536</v>
      </c>
      <c r="F25" s="30" t="s">
        <v>1537</v>
      </c>
    </row>
    <row r="26" ht="15.75" customHeight="1">
      <c r="A26" s="30" t="s">
        <v>1584</v>
      </c>
      <c r="B26" s="30" t="s">
        <v>561</v>
      </c>
      <c r="C26" s="30" t="s">
        <v>856</v>
      </c>
      <c r="D26" s="30" t="s">
        <v>1569</v>
      </c>
      <c r="E26" s="37" t="s">
        <v>1536</v>
      </c>
      <c r="F26" s="30" t="s">
        <v>1537</v>
      </c>
    </row>
    <row r="27" ht="15.75" customHeight="1">
      <c r="A27" s="30" t="s">
        <v>1585</v>
      </c>
      <c r="B27" s="30" t="s">
        <v>561</v>
      </c>
      <c r="C27" s="30" t="s">
        <v>704</v>
      </c>
      <c r="D27" s="30" t="s">
        <v>1586</v>
      </c>
      <c r="E27" s="37" t="s">
        <v>1536</v>
      </c>
      <c r="F27" s="30" t="s">
        <v>1537</v>
      </c>
    </row>
    <row r="28" ht="15.75" customHeight="1">
      <c r="A28" s="30" t="s">
        <v>1587</v>
      </c>
      <c r="B28" s="30" t="s">
        <v>561</v>
      </c>
      <c r="C28" s="30" t="s">
        <v>1588</v>
      </c>
      <c r="D28" s="30" t="s">
        <v>1589</v>
      </c>
      <c r="E28" s="37" t="s">
        <v>1536</v>
      </c>
      <c r="F28" s="30" t="s">
        <v>1537</v>
      </c>
    </row>
    <row r="29" ht="15.75" customHeight="1">
      <c r="A29" s="30" t="s">
        <v>1590</v>
      </c>
      <c r="B29" s="30" t="s">
        <v>1591</v>
      </c>
      <c r="C29" s="30" t="s">
        <v>140</v>
      </c>
      <c r="D29" s="30" t="s">
        <v>1592</v>
      </c>
      <c r="E29" s="37" t="s">
        <v>1536</v>
      </c>
      <c r="F29" s="30" t="s">
        <v>1537</v>
      </c>
    </row>
    <row r="30" ht="15.75" customHeight="1">
      <c r="A30" s="30" t="s">
        <v>1593</v>
      </c>
      <c r="B30" s="30" t="s">
        <v>1591</v>
      </c>
      <c r="C30" s="30" t="s">
        <v>140</v>
      </c>
      <c r="D30" s="30" t="s">
        <v>1594</v>
      </c>
      <c r="E30" s="37" t="s">
        <v>1536</v>
      </c>
      <c r="F30" s="30" t="s">
        <v>1537</v>
      </c>
    </row>
    <row r="31" ht="15.75" customHeight="1">
      <c r="A31" s="30" t="s">
        <v>1595</v>
      </c>
      <c r="B31" s="30" t="s">
        <v>1596</v>
      </c>
      <c r="C31" s="30" t="s">
        <v>140</v>
      </c>
      <c r="D31" s="30" t="s">
        <v>1597</v>
      </c>
      <c r="E31" s="37" t="s">
        <v>1536</v>
      </c>
      <c r="F31" s="30" t="s">
        <v>1537</v>
      </c>
    </row>
    <row r="32" ht="15.75" customHeight="1">
      <c r="A32" s="30" t="s">
        <v>1598</v>
      </c>
      <c r="B32" s="30" t="s">
        <v>1596</v>
      </c>
      <c r="C32" s="30" t="s">
        <v>140</v>
      </c>
      <c r="D32" s="30" t="s">
        <v>1599</v>
      </c>
      <c r="E32" s="37" t="s">
        <v>1536</v>
      </c>
      <c r="F32" s="30" t="s">
        <v>1537</v>
      </c>
    </row>
    <row r="33" ht="15.75" customHeight="1">
      <c r="A33" s="30" t="s">
        <v>1600</v>
      </c>
      <c r="B33" s="30" t="s">
        <v>1596</v>
      </c>
      <c r="C33" s="30" t="s">
        <v>140</v>
      </c>
      <c r="D33" s="30" t="s">
        <v>1599</v>
      </c>
      <c r="E33" s="37" t="s">
        <v>1536</v>
      </c>
      <c r="F33" s="30" t="s">
        <v>1537</v>
      </c>
    </row>
    <row r="34" ht="15.75" customHeight="1">
      <c r="A34" s="30" t="s">
        <v>1601</v>
      </c>
      <c r="B34" s="30" t="s">
        <v>1596</v>
      </c>
      <c r="C34" s="30" t="s">
        <v>140</v>
      </c>
      <c r="D34" s="30" t="s">
        <v>1592</v>
      </c>
      <c r="E34" s="37" t="s">
        <v>1536</v>
      </c>
      <c r="F34" s="30" t="s">
        <v>1537</v>
      </c>
    </row>
    <row r="35" ht="15.75" customHeight="1">
      <c r="A35" s="30" t="s">
        <v>1602</v>
      </c>
      <c r="B35" s="30" t="s">
        <v>1596</v>
      </c>
      <c r="C35" s="30" t="s">
        <v>140</v>
      </c>
      <c r="D35" s="30" t="s">
        <v>1592</v>
      </c>
      <c r="E35" s="37" t="s">
        <v>1536</v>
      </c>
      <c r="F35" s="30" t="s">
        <v>1537</v>
      </c>
    </row>
    <row r="36" ht="15.75" customHeight="1">
      <c r="A36" s="30" t="s">
        <v>1603</v>
      </c>
      <c r="B36" s="30" t="s">
        <v>1596</v>
      </c>
      <c r="C36" s="30" t="s">
        <v>140</v>
      </c>
      <c r="D36" s="30" t="s">
        <v>1592</v>
      </c>
      <c r="E36" s="37" t="s">
        <v>1536</v>
      </c>
      <c r="F36" s="30" t="s">
        <v>1537</v>
      </c>
    </row>
    <row r="37" ht="15.75" customHeight="1">
      <c r="A37" s="30" t="s">
        <v>1604</v>
      </c>
      <c r="B37" s="30" t="s">
        <v>1596</v>
      </c>
      <c r="C37" s="30" t="s">
        <v>140</v>
      </c>
      <c r="D37" s="30" t="s">
        <v>1592</v>
      </c>
      <c r="E37" s="37" t="s">
        <v>1536</v>
      </c>
      <c r="F37" s="30" t="s">
        <v>1537</v>
      </c>
    </row>
    <row r="38" ht="15.75" customHeight="1">
      <c r="A38" s="30" t="s">
        <v>1605</v>
      </c>
      <c r="B38" s="30" t="s">
        <v>1596</v>
      </c>
      <c r="C38" s="30" t="s">
        <v>140</v>
      </c>
      <c r="D38" s="30" t="s">
        <v>1592</v>
      </c>
      <c r="E38" s="37" t="s">
        <v>1536</v>
      </c>
      <c r="F38" s="30" t="s">
        <v>1537</v>
      </c>
    </row>
    <row r="39" ht="15.75" customHeight="1">
      <c r="A39" s="30" t="s">
        <v>1606</v>
      </c>
      <c r="B39" s="30" t="s">
        <v>1607</v>
      </c>
      <c r="C39" s="30" t="s">
        <v>140</v>
      </c>
      <c r="D39" s="30" t="s">
        <v>905</v>
      </c>
      <c r="E39" s="37" t="s">
        <v>1536</v>
      </c>
      <c r="F39" s="30" t="s">
        <v>1537</v>
      </c>
    </row>
    <row r="40" ht="15.75" customHeight="1">
      <c r="A40" s="30" t="s">
        <v>1608</v>
      </c>
      <c r="B40" s="30" t="s">
        <v>1607</v>
      </c>
      <c r="C40" s="30" t="s">
        <v>140</v>
      </c>
      <c r="D40" s="30" t="s">
        <v>905</v>
      </c>
      <c r="E40" s="37" t="s">
        <v>1536</v>
      </c>
      <c r="F40" s="30" t="s">
        <v>1537</v>
      </c>
    </row>
    <row r="41" ht="15.75" customHeight="1">
      <c r="A41" s="30" t="s">
        <v>1609</v>
      </c>
      <c r="B41" s="30" t="s">
        <v>1610</v>
      </c>
      <c r="C41" s="30" t="s">
        <v>704</v>
      </c>
      <c r="D41" s="30" t="s">
        <v>1571</v>
      </c>
      <c r="E41" s="30" t="s">
        <v>1536</v>
      </c>
      <c r="F41" s="30" t="s">
        <v>1537</v>
      </c>
    </row>
    <row r="42" ht="15.75" customHeight="1">
      <c r="A42" s="30" t="s">
        <v>1611</v>
      </c>
      <c r="B42" s="30" t="s">
        <v>1610</v>
      </c>
      <c r="C42" s="30" t="s">
        <v>704</v>
      </c>
      <c r="D42" s="30" t="s">
        <v>1612</v>
      </c>
      <c r="E42" s="30" t="s">
        <v>1536</v>
      </c>
      <c r="F42" s="30" t="s">
        <v>1537</v>
      </c>
    </row>
    <row r="43" ht="15.75" customHeight="1">
      <c r="A43" s="30" t="s">
        <v>1613</v>
      </c>
      <c r="B43" s="30" t="s">
        <v>458</v>
      </c>
      <c r="C43" s="30" t="s">
        <v>140</v>
      </c>
      <c r="D43" s="30" t="s">
        <v>1535</v>
      </c>
      <c r="E43" s="37" t="s">
        <v>1536</v>
      </c>
      <c r="F43" s="30" t="s">
        <v>1537</v>
      </c>
    </row>
    <row r="44" ht="15.75" customHeight="1">
      <c r="A44" s="30" t="s">
        <v>1614</v>
      </c>
      <c r="B44" s="30" t="s">
        <v>458</v>
      </c>
      <c r="C44" s="30" t="s">
        <v>140</v>
      </c>
      <c r="D44" s="30" t="s">
        <v>1535</v>
      </c>
      <c r="E44" s="37" t="s">
        <v>1536</v>
      </c>
      <c r="F44" s="30" t="s">
        <v>1537</v>
      </c>
    </row>
    <row r="45" ht="15.75" customHeight="1">
      <c r="A45" s="30" t="s">
        <v>1615</v>
      </c>
      <c r="B45" s="30" t="s">
        <v>458</v>
      </c>
      <c r="C45" s="30" t="s">
        <v>140</v>
      </c>
      <c r="D45" s="30" t="s">
        <v>1592</v>
      </c>
      <c r="E45" s="37" t="s">
        <v>1536</v>
      </c>
      <c r="F45" s="30" t="s">
        <v>1537</v>
      </c>
    </row>
    <row r="46" ht="15.75" customHeight="1">
      <c r="A46" s="30" t="s">
        <v>1616</v>
      </c>
      <c r="B46" s="30" t="s">
        <v>458</v>
      </c>
      <c r="C46" s="30" t="s">
        <v>140</v>
      </c>
      <c r="D46" s="30" t="s">
        <v>1617</v>
      </c>
      <c r="E46" s="37" t="s">
        <v>1536</v>
      </c>
      <c r="F46" s="30" t="s">
        <v>1537</v>
      </c>
    </row>
    <row r="47" ht="15.75" customHeight="1">
      <c r="A47" s="30" t="s">
        <v>1618</v>
      </c>
      <c r="B47" s="30" t="s">
        <v>458</v>
      </c>
      <c r="C47" s="30" t="s">
        <v>140</v>
      </c>
      <c r="D47" s="30" t="s">
        <v>1592</v>
      </c>
      <c r="E47" s="37" t="s">
        <v>1536</v>
      </c>
      <c r="F47" s="30" t="s">
        <v>1537</v>
      </c>
    </row>
    <row r="48" ht="15.75" customHeight="1">
      <c r="A48" s="30" t="s">
        <v>1619</v>
      </c>
      <c r="B48" s="30" t="s">
        <v>458</v>
      </c>
      <c r="C48" s="30" t="s">
        <v>140</v>
      </c>
      <c r="D48" s="30" t="s">
        <v>1592</v>
      </c>
      <c r="E48" s="30" t="s">
        <v>1536</v>
      </c>
      <c r="F48" s="30" t="s">
        <v>1537</v>
      </c>
    </row>
    <row r="49" ht="15.75" customHeight="1">
      <c r="A49" s="30" t="s">
        <v>1620</v>
      </c>
      <c r="B49" s="30" t="s">
        <v>458</v>
      </c>
      <c r="C49" s="30" t="s">
        <v>140</v>
      </c>
      <c r="D49" s="30" t="s">
        <v>1592</v>
      </c>
      <c r="E49" s="30" t="s">
        <v>1536</v>
      </c>
      <c r="F49" s="30" t="s">
        <v>1537</v>
      </c>
    </row>
    <row r="50" ht="15.75" customHeight="1">
      <c r="A50" s="30" t="s">
        <v>1621</v>
      </c>
      <c r="B50" s="30" t="s">
        <v>458</v>
      </c>
      <c r="C50" s="30" t="s">
        <v>140</v>
      </c>
      <c r="D50" s="30" t="s">
        <v>1622</v>
      </c>
      <c r="E50" s="30" t="s">
        <v>1536</v>
      </c>
      <c r="F50" s="30" t="s">
        <v>1537</v>
      </c>
    </row>
    <row r="51" ht="15.75" customHeight="1">
      <c r="A51" s="30" t="s">
        <v>1623</v>
      </c>
      <c r="B51" s="30" t="s">
        <v>458</v>
      </c>
      <c r="C51" s="30" t="s">
        <v>140</v>
      </c>
      <c r="D51" s="30" t="s">
        <v>1622</v>
      </c>
      <c r="E51" s="30" t="s">
        <v>1536</v>
      </c>
      <c r="F51" s="30" t="s">
        <v>1537</v>
      </c>
    </row>
    <row r="52" ht="15.75" customHeight="1">
      <c r="A52" s="30" t="s">
        <v>1624</v>
      </c>
      <c r="B52" s="30" t="s">
        <v>458</v>
      </c>
      <c r="C52" s="30" t="s">
        <v>140</v>
      </c>
      <c r="D52" s="30" t="s">
        <v>1535</v>
      </c>
      <c r="E52" s="30" t="s">
        <v>1536</v>
      </c>
      <c r="F52" s="30" t="s">
        <v>1537</v>
      </c>
    </row>
    <row r="53" ht="15.75" customHeight="1">
      <c r="A53" s="30" t="s">
        <v>1625</v>
      </c>
      <c r="B53" s="30" t="s">
        <v>458</v>
      </c>
      <c r="C53" s="30" t="s">
        <v>140</v>
      </c>
      <c r="D53" s="30" t="s">
        <v>905</v>
      </c>
      <c r="E53" s="30" t="s">
        <v>1536</v>
      </c>
      <c r="F53" s="30" t="s">
        <v>1537</v>
      </c>
    </row>
    <row r="54" ht="15.75" customHeight="1">
      <c r="A54" s="30" t="s">
        <v>1626</v>
      </c>
      <c r="B54" s="30" t="s">
        <v>458</v>
      </c>
      <c r="C54" s="30" t="s">
        <v>1563</v>
      </c>
      <c r="D54" s="30" t="s">
        <v>1566</v>
      </c>
      <c r="E54" s="30" t="s">
        <v>1536</v>
      </c>
      <c r="F54" s="30" t="s">
        <v>1537</v>
      </c>
    </row>
    <row r="55" ht="15.75" customHeight="1">
      <c r="A55" s="30" t="s">
        <v>1627</v>
      </c>
      <c r="B55" s="30" t="s">
        <v>458</v>
      </c>
      <c r="C55" s="30" t="s">
        <v>1563</v>
      </c>
      <c r="D55" s="30" t="s">
        <v>1566</v>
      </c>
      <c r="E55" s="30" t="s">
        <v>1536</v>
      </c>
      <c r="F55" s="30" t="s">
        <v>1537</v>
      </c>
    </row>
    <row r="56" ht="15.75" customHeight="1">
      <c r="A56" s="30" t="s">
        <v>1628</v>
      </c>
      <c r="B56" s="30" t="s">
        <v>39</v>
      </c>
      <c r="C56" s="30" t="s">
        <v>1629</v>
      </c>
      <c r="D56" s="30" t="s">
        <v>1630</v>
      </c>
      <c r="E56" s="37" t="s">
        <v>1631</v>
      </c>
      <c r="F56" s="30" t="s">
        <v>1537</v>
      </c>
    </row>
    <row r="57" ht="15.75" customHeight="1">
      <c r="A57" s="30" t="s">
        <v>1632</v>
      </c>
      <c r="B57" s="30" t="s">
        <v>39</v>
      </c>
      <c r="C57" s="30" t="s">
        <v>1155</v>
      </c>
      <c r="D57" s="30" t="s">
        <v>1633</v>
      </c>
      <c r="E57" s="30" t="s">
        <v>1536</v>
      </c>
      <c r="F57" s="30" t="s">
        <v>1537</v>
      </c>
    </row>
    <row r="58" ht="15.75" customHeight="1">
      <c r="A58" s="30" t="s">
        <v>1634</v>
      </c>
      <c r="B58" s="30" t="s">
        <v>39</v>
      </c>
      <c r="C58" s="30" t="s">
        <v>1635</v>
      </c>
      <c r="D58" s="30" t="s">
        <v>1636</v>
      </c>
      <c r="E58" s="30" t="s">
        <v>1536</v>
      </c>
      <c r="F58" s="30" t="s">
        <v>1537</v>
      </c>
    </row>
    <row r="59" ht="15.75" customHeight="1">
      <c r="A59" s="30" t="s">
        <v>1637</v>
      </c>
      <c r="B59" s="30" t="s">
        <v>39</v>
      </c>
      <c r="C59" s="30" t="s">
        <v>1635</v>
      </c>
      <c r="D59" s="30" t="s">
        <v>1636</v>
      </c>
      <c r="E59" s="37" t="s">
        <v>1536</v>
      </c>
      <c r="F59" s="30" t="s">
        <v>1537</v>
      </c>
    </row>
    <row r="60" ht="15.75" customHeight="1">
      <c r="A60" s="30" t="s">
        <v>1638</v>
      </c>
      <c r="B60" s="30" t="s">
        <v>39</v>
      </c>
      <c r="C60" s="30" t="s">
        <v>1635</v>
      </c>
      <c r="D60" s="30" t="s">
        <v>1636</v>
      </c>
      <c r="E60" s="37" t="s">
        <v>1536</v>
      </c>
      <c r="F60" s="30" t="s">
        <v>1537</v>
      </c>
    </row>
    <row r="61" ht="15.75" customHeight="1">
      <c r="A61" s="30" t="s">
        <v>1639</v>
      </c>
      <c r="B61" s="30" t="s">
        <v>39</v>
      </c>
      <c r="C61" s="30" t="s">
        <v>1635</v>
      </c>
      <c r="D61" s="30" t="s">
        <v>1636</v>
      </c>
      <c r="E61" s="37" t="s">
        <v>1536</v>
      </c>
      <c r="F61" s="30" t="s">
        <v>1537</v>
      </c>
    </row>
    <row r="62" ht="15.75" customHeight="1">
      <c r="A62" s="30" t="s">
        <v>1640</v>
      </c>
      <c r="B62" s="30" t="s">
        <v>39</v>
      </c>
      <c r="C62" s="30" t="s">
        <v>1635</v>
      </c>
      <c r="D62" s="30" t="s">
        <v>1636</v>
      </c>
      <c r="E62" s="37" t="s">
        <v>1536</v>
      </c>
      <c r="F62" s="30" t="s">
        <v>1537</v>
      </c>
    </row>
    <row r="63" ht="15.75" customHeight="1">
      <c r="A63" s="30" t="s">
        <v>1641</v>
      </c>
      <c r="B63" s="30" t="s">
        <v>39</v>
      </c>
      <c r="C63" s="30" t="s">
        <v>1016</v>
      </c>
      <c r="D63" s="30" t="s">
        <v>1642</v>
      </c>
      <c r="E63" s="37" t="s">
        <v>1536</v>
      </c>
      <c r="F63" s="30" t="s">
        <v>1537</v>
      </c>
    </row>
    <row r="64" ht="15.75" customHeight="1">
      <c r="A64" s="30" t="s">
        <v>1643</v>
      </c>
      <c r="B64" s="30" t="s">
        <v>39</v>
      </c>
      <c r="C64" s="30" t="s">
        <v>1155</v>
      </c>
      <c r="D64" s="30" t="s">
        <v>1633</v>
      </c>
      <c r="E64" s="37" t="s">
        <v>1536</v>
      </c>
      <c r="F64" s="30" t="s">
        <v>1537</v>
      </c>
    </row>
    <row r="65" ht="15.75" customHeight="1">
      <c r="A65" s="30" t="s">
        <v>1644</v>
      </c>
      <c r="B65" s="30" t="s">
        <v>39</v>
      </c>
      <c r="C65" s="30" t="s">
        <v>1155</v>
      </c>
      <c r="D65" s="30" t="s">
        <v>1633</v>
      </c>
      <c r="E65" s="37" t="s">
        <v>1536</v>
      </c>
      <c r="F65" s="30" t="s">
        <v>1537</v>
      </c>
    </row>
    <row r="66" ht="15.75" customHeight="1">
      <c r="A66" s="30" t="s">
        <v>1645</v>
      </c>
      <c r="B66" s="30" t="s">
        <v>39</v>
      </c>
      <c r="C66" s="30" t="s">
        <v>1155</v>
      </c>
      <c r="D66" s="30" t="s">
        <v>1633</v>
      </c>
      <c r="E66" s="37" t="s">
        <v>1536</v>
      </c>
      <c r="F66" s="30" t="s">
        <v>1537</v>
      </c>
    </row>
    <row r="67" ht="15.75" customHeight="1">
      <c r="A67" s="30" t="s">
        <v>1646</v>
      </c>
      <c r="B67" s="30" t="s">
        <v>39</v>
      </c>
      <c r="C67" s="30" t="s">
        <v>1155</v>
      </c>
      <c r="D67" s="30" t="s">
        <v>1633</v>
      </c>
      <c r="E67" s="37" t="s">
        <v>1536</v>
      </c>
      <c r="F67" s="30" t="s">
        <v>1537</v>
      </c>
    </row>
    <row r="68" ht="15.75" customHeight="1">
      <c r="A68" s="30" t="s">
        <v>1647</v>
      </c>
      <c r="B68" s="30" t="s">
        <v>39</v>
      </c>
      <c r="C68" s="30" t="s">
        <v>1155</v>
      </c>
      <c r="D68" s="30" t="s">
        <v>1633</v>
      </c>
      <c r="E68" s="37" t="s">
        <v>1536</v>
      </c>
      <c r="F68" s="30" t="s">
        <v>1537</v>
      </c>
    </row>
    <row r="69" ht="15.75" customHeight="1">
      <c r="A69" s="58" t="s">
        <v>1648</v>
      </c>
      <c r="B69" s="30" t="s">
        <v>39</v>
      </c>
      <c r="C69" s="30" t="s">
        <v>1155</v>
      </c>
      <c r="D69" s="30" t="s">
        <v>1633</v>
      </c>
      <c r="E69" s="37" t="s">
        <v>1536</v>
      </c>
      <c r="F69" s="30" t="s">
        <v>1537</v>
      </c>
    </row>
    <row r="70" ht="15.75" customHeight="1">
      <c r="A70" s="30" t="s">
        <v>1649</v>
      </c>
      <c r="B70" s="30" t="s">
        <v>39</v>
      </c>
      <c r="C70" s="30" t="s">
        <v>1155</v>
      </c>
      <c r="D70" s="30" t="s">
        <v>1633</v>
      </c>
      <c r="E70" s="37" t="s">
        <v>1536</v>
      </c>
      <c r="F70" s="30" t="s">
        <v>1537</v>
      </c>
    </row>
    <row r="71" ht="15.75" customHeight="1">
      <c r="A71" s="30" t="s">
        <v>1650</v>
      </c>
      <c r="B71" s="30" t="s">
        <v>39</v>
      </c>
      <c r="C71" s="30" t="s">
        <v>1155</v>
      </c>
      <c r="D71" s="30" t="s">
        <v>1633</v>
      </c>
      <c r="E71" s="37" t="s">
        <v>1536</v>
      </c>
      <c r="F71" s="30" t="s">
        <v>1537</v>
      </c>
    </row>
    <row r="72" ht="15.75" customHeight="1">
      <c r="A72" s="30" t="s">
        <v>1651</v>
      </c>
      <c r="B72" s="30" t="s">
        <v>39</v>
      </c>
      <c r="C72" s="30" t="s">
        <v>1155</v>
      </c>
      <c r="D72" s="30" t="s">
        <v>1633</v>
      </c>
      <c r="E72" s="37" t="s">
        <v>1536</v>
      </c>
      <c r="F72" s="30" t="s">
        <v>1537</v>
      </c>
    </row>
    <row r="73" ht="15.75" customHeight="1">
      <c r="A73" s="30" t="s">
        <v>1652</v>
      </c>
      <c r="B73" s="30" t="s">
        <v>524</v>
      </c>
      <c r="C73" s="30" t="s">
        <v>414</v>
      </c>
      <c r="D73" s="30" t="s">
        <v>1653</v>
      </c>
      <c r="E73" s="37" t="s">
        <v>1536</v>
      </c>
      <c r="F73" s="30" t="s">
        <v>1537</v>
      </c>
    </row>
    <row r="74" ht="15.75" customHeight="1">
      <c r="A74" s="30" t="s">
        <v>1654</v>
      </c>
      <c r="B74" s="30" t="s">
        <v>1655</v>
      </c>
      <c r="C74" s="30" t="s">
        <v>442</v>
      </c>
      <c r="D74" s="30" t="s">
        <v>1656</v>
      </c>
      <c r="E74" s="37" t="s">
        <v>1536</v>
      </c>
      <c r="F74" s="30" t="s">
        <v>1537</v>
      </c>
    </row>
    <row r="75" ht="15.75" customHeight="1">
      <c r="A75" s="30" t="s">
        <v>1372</v>
      </c>
      <c r="B75" s="30" t="s">
        <v>1657</v>
      </c>
      <c r="C75" s="30" t="s">
        <v>825</v>
      </c>
      <c r="D75" s="30" t="s">
        <v>1371</v>
      </c>
      <c r="E75" s="37" t="s">
        <v>1536</v>
      </c>
      <c r="F75" s="30" t="s">
        <v>1537</v>
      </c>
    </row>
    <row r="76" ht="15.75" customHeight="1">
      <c r="A76" s="30" t="s">
        <v>1658</v>
      </c>
      <c r="B76" s="30" t="s">
        <v>1657</v>
      </c>
      <c r="C76" s="30" t="s">
        <v>999</v>
      </c>
      <c r="D76" s="30" t="s">
        <v>1659</v>
      </c>
      <c r="E76" s="37" t="s">
        <v>1536</v>
      </c>
      <c r="F76" s="30" t="s">
        <v>1537</v>
      </c>
    </row>
    <row r="77" ht="15.75" customHeight="1">
      <c r="A77" s="30" t="s">
        <v>1660</v>
      </c>
      <c r="B77" s="30" t="s">
        <v>1657</v>
      </c>
      <c r="C77" s="30" t="s">
        <v>414</v>
      </c>
      <c r="D77" s="30" t="s">
        <v>1653</v>
      </c>
      <c r="E77" s="37" t="s">
        <v>1536</v>
      </c>
      <c r="F77" s="30" t="s">
        <v>1537</v>
      </c>
    </row>
    <row r="78" ht="15.75" customHeight="1">
      <c r="A78" s="30" t="s">
        <v>1661</v>
      </c>
      <c r="B78" s="30" t="s">
        <v>1657</v>
      </c>
      <c r="C78" s="30" t="s">
        <v>1662</v>
      </c>
      <c r="D78" s="28"/>
      <c r="E78" s="37" t="s">
        <v>1536</v>
      </c>
      <c r="F78" s="30" t="s">
        <v>1537</v>
      </c>
    </row>
    <row r="79" ht="15.75" customHeight="1">
      <c r="A79" s="30" t="s">
        <v>1663</v>
      </c>
      <c r="B79" s="30" t="s">
        <v>1657</v>
      </c>
      <c r="C79" s="30" t="s">
        <v>999</v>
      </c>
      <c r="D79" s="30" t="s">
        <v>1303</v>
      </c>
      <c r="E79" s="37" t="s">
        <v>1536</v>
      </c>
      <c r="F79" s="30" t="s">
        <v>1537</v>
      </c>
    </row>
    <row r="80" ht="15.75" customHeight="1">
      <c r="A80" s="30" t="s">
        <v>1664</v>
      </c>
      <c r="B80" s="30" t="s">
        <v>1665</v>
      </c>
      <c r="C80" s="30" t="s">
        <v>442</v>
      </c>
      <c r="D80" s="28"/>
      <c r="E80" s="30" t="s">
        <v>1536</v>
      </c>
      <c r="F80" s="30" t="s">
        <v>1537</v>
      </c>
    </row>
    <row r="81" ht="15.75" customHeight="1">
      <c r="A81" s="30" t="s">
        <v>732</v>
      </c>
      <c r="B81" s="30" t="s">
        <v>1657</v>
      </c>
      <c r="C81" s="30" t="s">
        <v>733</v>
      </c>
      <c r="D81" s="30" t="s">
        <v>730</v>
      </c>
      <c r="E81" s="37" t="s">
        <v>1536</v>
      </c>
      <c r="F81" s="30" t="s">
        <v>1537</v>
      </c>
    </row>
    <row r="82" ht="15.75" customHeight="1">
      <c r="A82" s="30" t="s">
        <v>909</v>
      </c>
      <c r="B82" s="30" t="s">
        <v>1657</v>
      </c>
      <c r="C82" s="30" t="s">
        <v>825</v>
      </c>
      <c r="D82" s="30" t="s">
        <v>908</v>
      </c>
      <c r="E82" s="37" t="s">
        <v>1536</v>
      </c>
      <c r="F82" s="30" t="s">
        <v>1537</v>
      </c>
    </row>
    <row r="83" ht="15.75" customHeight="1">
      <c r="A83" s="30" t="s">
        <v>912</v>
      </c>
      <c r="B83" s="30" t="s">
        <v>1655</v>
      </c>
      <c r="C83" s="30" t="s">
        <v>442</v>
      </c>
      <c r="D83" s="30" t="s">
        <v>911</v>
      </c>
      <c r="E83" s="37" t="s">
        <v>1536</v>
      </c>
      <c r="F83" s="30" t="s">
        <v>1537</v>
      </c>
    </row>
    <row r="84" ht="15.75" customHeight="1">
      <c r="A84" s="30" t="s">
        <v>927</v>
      </c>
      <c r="B84" s="30" t="s">
        <v>1657</v>
      </c>
      <c r="C84" s="30" t="s">
        <v>825</v>
      </c>
      <c r="D84" s="30" t="s">
        <v>926</v>
      </c>
      <c r="E84" s="37" t="s">
        <v>1536</v>
      </c>
      <c r="F84" s="30" t="s">
        <v>1537</v>
      </c>
    </row>
    <row r="85" ht="15.75" customHeight="1">
      <c r="A85" s="30" t="s">
        <v>1037</v>
      </c>
      <c r="B85" s="30" t="s">
        <v>1665</v>
      </c>
      <c r="C85" s="30" t="s">
        <v>1038</v>
      </c>
      <c r="D85" s="30" t="s">
        <v>1036</v>
      </c>
      <c r="E85" s="37" t="s">
        <v>1536</v>
      </c>
      <c r="F85" s="30" t="s">
        <v>1537</v>
      </c>
    </row>
    <row r="86" ht="15.75" customHeight="1">
      <c r="A86" s="30" t="s">
        <v>1097</v>
      </c>
      <c r="B86" s="30" t="s">
        <v>1655</v>
      </c>
      <c r="C86" s="30" t="s">
        <v>442</v>
      </c>
      <c r="D86" s="30" t="s">
        <v>1095</v>
      </c>
      <c r="E86" s="37" t="s">
        <v>1536</v>
      </c>
      <c r="F86" s="30" t="s">
        <v>1537</v>
      </c>
    </row>
    <row r="87" ht="15.75" customHeight="1">
      <c r="A87" s="30" t="s">
        <v>1102</v>
      </c>
      <c r="B87" s="30" t="s">
        <v>1655</v>
      </c>
      <c r="C87" s="30" t="s">
        <v>442</v>
      </c>
      <c r="D87" s="30" t="s">
        <v>1101</v>
      </c>
      <c r="E87" s="37" t="s">
        <v>1536</v>
      </c>
      <c r="F87" s="30" t="s">
        <v>1537</v>
      </c>
    </row>
    <row r="88" ht="15.75" customHeight="1">
      <c r="A88" s="30" t="s">
        <v>1104</v>
      </c>
      <c r="B88" s="30" t="s">
        <v>1655</v>
      </c>
      <c r="C88" s="30" t="s">
        <v>442</v>
      </c>
      <c r="D88" s="30" t="s">
        <v>1101</v>
      </c>
      <c r="E88" s="37" t="s">
        <v>1536</v>
      </c>
      <c r="F88" s="30" t="s">
        <v>1537</v>
      </c>
    </row>
    <row r="89" ht="15.75" customHeight="1">
      <c r="A89" s="30" t="s">
        <v>1185</v>
      </c>
      <c r="B89" s="30" t="s">
        <v>524</v>
      </c>
      <c r="C89" s="30" t="s">
        <v>825</v>
      </c>
      <c r="D89" s="30" t="s">
        <v>1184</v>
      </c>
      <c r="E89" s="30" t="s">
        <v>1536</v>
      </c>
      <c r="F89" s="30" t="s">
        <v>1537</v>
      </c>
    </row>
    <row r="90" ht="15.75" customHeight="1">
      <c r="A90" s="30" t="s">
        <v>1304</v>
      </c>
      <c r="B90" s="30" t="s">
        <v>1657</v>
      </c>
      <c r="C90" s="30" t="s">
        <v>1666</v>
      </c>
      <c r="D90" s="30" t="s">
        <v>1303</v>
      </c>
      <c r="E90" s="37" t="s">
        <v>1536</v>
      </c>
      <c r="F90" s="30" t="s">
        <v>1537</v>
      </c>
    </row>
    <row r="91" ht="15.75" customHeight="1">
      <c r="A91" s="30" t="s">
        <v>1375</v>
      </c>
      <c r="B91" s="30" t="s">
        <v>1655</v>
      </c>
      <c r="C91" s="30" t="s">
        <v>825</v>
      </c>
      <c r="D91" s="30" t="s">
        <v>1374</v>
      </c>
      <c r="E91" s="37" t="s">
        <v>1536</v>
      </c>
      <c r="F91" s="30" t="s">
        <v>1537</v>
      </c>
    </row>
    <row r="92" ht="15.75" customHeight="1">
      <c r="A92" s="30" t="s">
        <v>1433</v>
      </c>
      <c r="B92" s="30" t="s">
        <v>1657</v>
      </c>
      <c r="C92" s="30" t="s">
        <v>1038</v>
      </c>
      <c r="D92" s="30" t="s">
        <v>1432</v>
      </c>
      <c r="E92" s="37" t="s">
        <v>1536</v>
      </c>
      <c r="F92" s="30" t="s">
        <v>1537</v>
      </c>
    </row>
    <row r="93" ht="15.75" customHeight="1">
      <c r="A93" s="30" t="s">
        <v>1462</v>
      </c>
      <c r="B93" s="30" t="s">
        <v>1655</v>
      </c>
      <c r="C93" s="30" t="s">
        <v>442</v>
      </c>
      <c r="D93" s="30" t="s">
        <v>1461</v>
      </c>
      <c r="E93" s="37" t="s">
        <v>1536</v>
      </c>
      <c r="F93" s="30" t="s">
        <v>1537</v>
      </c>
    </row>
    <row r="94" ht="15.75" customHeight="1">
      <c r="A94" s="30" t="s">
        <v>1667</v>
      </c>
      <c r="B94" s="28"/>
      <c r="C94" s="30" t="s">
        <v>1668</v>
      </c>
      <c r="D94" s="37" t="s">
        <v>745</v>
      </c>
      <c r="E94" s="37" t="s">
        <v>1536</v>
      </c>
      <c r="F94" s="59" t="s">
        <v>1669</v>
      </c>
    </row>
    <row r="95" ht="15.75" customHeight="1">
      <c r="A95" s="30" t="s">
        <v>1670</v>
      </c>
      <c r="B95" s="28"/>
      <c r="C95" s="30" t="s">
        <v>1668</v>
      </c>
      <c r="D95" s="37" t="s">
        <v>745</v>
      </c>
      <c r="E95" s="37" t="s">
        <v>1536</v>
      </c>
      <c r="F95" s="59" t="s">
        <v>1669</v>
      </c>
    </row>
    <row r="96" ht="15.75" customHeight="1">
      <c r="A96" s="30" t="s">
        <v>1671</v>
      </c>
      <c r="B96" s="28"/>
      <c r="C96" s="30" t="s">
        <v>1668</v>
      </c>
      <c r="D96" s="37" t="s">
        <v>745</v>
      </c>
      <c r="E96" s="37" t="s">
        <v>1536</v>
      </c>
      <c r="F96" s="59" t="s">
        <v>1669</v>
      </c>
    </row>
    <row r="97" ht="15.75" customHeight="1">
      <c r="A97" s="30" t="s">
        <v>1672</v>
      </c>
      <c r="B97" s="28"/>
      <c r="C97" s="28"/>
      <c r="D97" s="37" t="s">
        <v>745</v>
      </c>
      <c r="E97" s="37" t="s">
        <v>1536</v>
      </c>
      <c r="F97" s="59" t="s">
        <v>1669</v>
      </c>
    </row>
    <row r="98" ht="15.75" customHeight="1">
      <c r="A98" s="30" t="s">
        <v>1673</v>
      </c>
      <c r="B98" s="28"/>
      <c r="C98" s="30" t="s">
        <v>1674</v>
      </c>
      <c r="D98" s="37" t="s">
        <v>745</v>
      </c>
      <c r="E98" s="37" t="s">
        <v>1536</v>
      </c>
      <c r="F98" s="59" t="s">
        <v>1669</v>
      </c>
    </row>
    <row r="99" ht="15.75" customHeight="1">
      <c r="A99" s="30" t="s">
        <v>1675</v>
      </c>
      <c r="B99" s="28"/>
      <c r="C99" s="30" t="s">
        <v>1676</v>
      </c>
      <c r="D99" s="37" t="s">
        <v>775</v>
      </c>
      <c r="E99" s="37" t="s">
        <v>1536</v>
      </c>
      <c r="F99" s="59" t="s">
        <v>1669</v>
      </c>
    </row>
    <row r="100" ht="15.75" customHeight="1">
      <c r="A100" s="30" t="s">
        <v>1677</v>
      </c>
      <c r="B100" s="28"/>
      <c r="C100" s="30" t="s">
        <v>1678</v>
      </c>
      <c r="D100" s="37" t="s">
        <v>775</v>
      </c>
      <c r="E100" s="37" t="s">
        <v>1536</v>
      </c>
      <c r="F100" s="59" t="s">
        <v>1669</v>
      </c>
    </row>
    <row r="101" ht="15.75" customHeight="1">
      <c r="A101" s="30" t="s">
        <v>1679</v>
      </c>
      <c r="B101" s="28"/>
      <c r="C101" s="30" t="s">
        <v>1680</v>
      </c>
      <c r="D101" s="37" t="s">
        <v>775</v>
      </c>
      <c r="E101" s="37" t="s">
        <v>1536</v>
      </c>
      <c r="F101" s="59" t="s">
        <v>1669</v>
      </c>
    </row>
    <row r="102" ht="15.75" customHeight="1">
      <c r="A102" s="30" t="s">
        <v>1681</v>
      </c>
      <c r="B102" s="28"/>
      <c r="C102" s="28"/>
      <c r="D102" s="37" t="s">
        <v>775</v>
      </c>
      <c r="E102" s="37" t="s">
        <v>1536</v>
      </c>
      <c r="F102" s="59" t="s">
        <v>1669</v>
      </c>
    </row>
    <row r="103" ht="15.75" customHeight="1">
      <c r="A103" s="30" t="s">
        <v>1682</v>
      </c>
      <c r="B103" s="28"/>
      <c r="C103" s="30" t="s">
        <v>69</v>
      </c>
      <c r="D103" s="37" t="s">
        <v>1683</v>
      </c>
      <c r="E103" s="30" t="s">
        <v>1684</v>
      </c>
      <c r="F103" s="59" t="s">
        <v>1669</v>
      </c>
    </row>
    <row r="104" ht="15.75" customHeight="1">
      <c r="A104" s="30" t="s">
        <v>1685</v>
      </c>
      <c r="B104" s="28"/>
      <c r="C104" s="30" t="s">
        <v>46</v>
      </c>
      <c r="D104" s="37" t="s">
        <v>1683</v>
      </c>
      <c r="E104" s="30" t="s">
        <v>1686</v>
      </c>
      <c r="F104" s="59" t="s">
        <v>1669</v>
      </c>
    </row>
    <row r="105" ht="15.75" customHeight="1">
      <c r="A105" s="30" t="s">
        <v>1687</v>
      </c>
      <c r="B105" s="37" t="s">
        <v>1688</v>
      </c>
      <c r="C105" s="30" t="s">
        <v>191</v>
      </c>
      <c r="D105" s="37" t="s">
        <v>1508</v>
      </c>
      <c r="E105" s="30" t="s">
        <v>1536</v>
      </c>
      <c r="F105" s="59" t="s">
        <v>1669</v>
      </c>
    </row>
    <row r="106" ht="15.75" customHeight="1">
      <c r="A106" s="30" t="s">
        <v>1689</v>
      </c>
      <c r="B106" s="37" t="s">
        <v>1688</v>
      </c>
      <c r="C106" s="28"/>
      <c r="D106" s="37" t="s">
        <v>1508</v>
      </c>
      <c r="E106" s="28"/>
      <c r="F106" s="59" t="s">
        <v>1669</v>
      </c>
    </row>
    <row r="107" ht="15.75" customHeight="1">
      <c r="A107" s="30" t="s">
        <v>1690</v>
      </c>
      <c r="B107" s="37" t="s">
        <v>1688</v>
      </c>
      <c r="C107" s="30" t="s">
        <v>1635</v>
      </c>
      <c r="D107" s="37" t="s">
        <v>1508</v>
      </c>
      <c r="E107" s="30" t="s">
        <v>1691</v>
      </c>
      <c r="F107" s="59" t="s">
        <v>1669</v>
      </c>
    </row>
    <row r="108" ht="15.75" customHeight="1">
      <c r="A108" s="30" t="s">
        <v>1692</v>
      </c>
      <c r="B108" s="37" t="s">
        <v>1688</v>
      </c>
      <c r="C108" s="30" t="s">
        <v>1635</v>
      </c>
      <c r="D108" s="37" t="s">
        <v>1508</v>
      </c>
      <c r="E108" s="30" t="s">
        <v>1693</v>
      </c>
      <c r="F108" s="59" t="s">
        <v>1669</v>
      </c>
    </row>
    <row r="109" ht="15.75" customHeight="1">
      <c r="A109" s="30" t="s">
        <v>1694</v>
      </c>
      <c r="B109" s="37" t="s">
        <v>1688</v>
      </c>
      <c r="C109" s="30" t="s">
        <v>1635</v>
      </c>
      <c r="D109" s="37" t="s">
        <v>1508</v>
      </c>
      <c r="E109" s="30" t="s">
        <v>1695</v>
      </c>
      <c r="F109" s="59" t="s">
        <v>1669</v>
      </c>
    </row>
    <row r="110" ht="15.75" customHeight="1">
      <c r="A110" s="30" t="s">
        <v>1696</v>
      </c>
      <c r="B110" s="30" t="s">
        <v>1688</v>
      </c>
      <c r="C110" s="30" t="s">
        <v>1697</v>
      </c>
      <c r="D110" s="37" t="s">
        <v>1508</v>
      </c>
      <c r="E110" s="30" t="s">
        <v>1698</v>
      </c>
      <c r="F110" s="59" t="s">
        <v>1669</v>
      </c>
    </row>
    <row r="111" ht="15.75" customHeight="1">
      <c r="A111" s="30" t="s">
        <v>1699</v>
      </c>
      <c r="B111" s="30" t="s">
        <v>1688</v>
      </c>
      <c r="C111" s="30" t="s">
        <v>69</v>
      </c>
      <c r="D111" s="37" t="s">
        <v>1508</v>
      </c>
      <c r="E111" s="30" t="s">
        <v>1700</v>
      </c>
      <c r="F111" s="59" t="s">
        <v>1669</v>
      </c>
    </row>
    <row r="112" ht="15.75" customHeight="1">
      <c r="A112" s="30" t="s">
        <v>1701</v>
      </c>
      <c r="B112" s="37" t="s">
        <v>1702</v>
      </c>
      <c r="C112" s="30" t="s">
        <v>1703</v>
      </c>
      <c r="D112" s="37" t="s">
        <v>1508</v>
      </c>
      <c r="E112" s="30" t="s">
        <v>1704</v>
      </c>
      <c r="F112" s="59" t="s">
        <v>1669</v>
      </c>
    </row>
    <row r="113" ht="15.75" customHeight="1">
      <c r="A113" s="30" t="s">
        <v>1705</v>
      </c>
      <c r="B113" s="37" t="s">
        <v>1702</v>
      </c>
      <c r="C113" s="30" t="s">
        <v>1697</v>
      </c>
      <c r="D113" s="37" t="s">
        <v>1508</v>
      </c>
      <c r="E113" s="30" t="s">
        <v>1706</v>
      </c>
      <c r="F113" s="59" t="s">
        <v>1669</v>
      </c>
    </row>
    <row r="114" ht="15.75" customHeight="1">
      <c r="A114" s="30" t="s">
        <v>1707</v>
      </c>
      <c r="B114" s="37" t="s">
        <v>1702</v>
      </c>
      <c r="C114" s="30" t="s">
        <v>69</v>
      </c>
      <c r="D114" s="37" t="s">
        <v>1508</v>
      </c>
      <c r="E114" s="30" t="s">
        <v>1708</v>
      </c>
      <c r="F114" s="59" t="s">
        <v>1669</v>
      </c>
    </row>
    <row r="115" ht="15.75" customHeight="1">
      <c r="A115" s="30" t="s">
        <v>1709</v>
      </c>
      <c r="B115" s="37" t="s">
        <v>1702</v>
      </c>
      <c r="C115" s="30" t="s">
        <v>69</v>
      </c>
      <c r="D115" s="37" t="s">
        <v>1508</v>
      </c>
      <c r="E115" s="30" t="s">
        <v>1710</v>
      </c>
      <c r="F115" s="59" t="s">
        <v>1669</v>
      </c>
    </row>
    <row r="116" ht="15.75" customHeight="1">
      <c r="A116" s="30" t="s">
        <v>1711</v>
      </c>
      <c r="B116" s="37" t="s">
        <v>1702</v>
      </c>
      <c r="C116" s="30" t="s">
        <v>69</v>
      </c>
      <c r="D116" s="37" t="s">
        <v>1508</v>
      </c>
      <c r="E116" s="30" t="s">
        <v>1712</v>
      </c>
      <c r="F116" s="59" t="s">
        <v>1669</v>
      </c>
    </row>
    <row r="117" ht="15.75" customHeight="1">
      <c r="A117" s="30" t="s">
        <v>1713</v>
      </c>
      <c r="B117" s="37" t="s">
        <v>1702</v>
      </c>
      <c r="C117" s="30" t="s">
        <v>69</v>
      </c>
      <c r="D117" s="37" t="s">
        <v>1508</v>
      </c>
      <c r="E117" s="30" t="s">
        <v>1714</v>
      </c>
      <c r="F117" s="59" t="s">
        <v>1669</v>
      </c>
    </row>
    <row r="118" ht="15.75" customHeight="1">
      <c r="A118" s="30" t="s">
        <v>1715</v>
      </c>
      <c r="B118" s="37" t="s">
        <v>1702</v>
      </c>
      <c r="C118" s="30" t="s">
        <v>69</v>
      </c>
      <c r="D118" s="37" t="s">
        <v>1508</v>
      </c>
      <c r="E118" s="30" t="s">
        <v>1716</v>
      </c>
      <c r="F118" s="59" t="s">
        <v>1669</v>
      </c>
    </row>
    <row r="119" ht="15.75" customHeight="1">
      <c r="A119" s="30" t="s">
        <v>1717</v>
      </c>
      <c r="B119" s="37" t="s">
        <v>1702</v>
      </c>
      <c r="C119" s="30" t="s">
        <v>829</v>
      </c>
      <c r="D119" s="37" t="s">
        <v>1508</v>
      </c>
      <c r="E119" s="30" t="s">
        <v>1718</v>
      </c>
      <c r="F119" s="59" t="s">
        <v>1669</v>
      </c>
    </row>
    <row r="120" ht="15.75" customHeight="1">
      <c r="A120" s="30" t="s">
        <v>1719</v>
      </c>
      <c r="B120" s="37" t="s">
        <v>1702</v>
      </c>
      <c r="C120" s="30" t="s">
        <v>829</v>
      </c>
      <c r="D120" s="37" t="s">
        <v>1508</v>
      </c>
      <c r="E120" s="30" t="s">
        <v>1718</v>
      </c>
      <c r="F120" s="59" t="s">
        <v>1669</v>
      </c>
    </row>
    <row r="121" ht="15.75" customHeight="1">
      <c r="A121" s="30" t="s">
        <v>1720</v>
      </c>
      <c r="B121" s="30" t="s">
        <v>1702</v>
      </c>
      <c r="C121" s="30" t="s">
        <v>829</v>
      </c>
      <c r="D121" s="37" t="s">
        <v>1508</v>
      </c>
      <c r="E121" s="30" t="s">
        <v>1718</v>
      </c>
      <c r="F121" s="59" t="s">
        <v>1669</v>
      </c>
    </row>
    <row r="122" ht="15.75" customHeight="1">
      <c r="A122" s="30" t="s">
        <v>1721</v>
      </c>
      <c r="B122" s="30" t="s">
        <v>1688</v>
      </c>
      <c r="C122" s="28"/>
      <c r="D122" s="37" t="s">
        <v>1508</v>
      </c>
      <c r="E122" s="30" t="s">
        <v>1722</v>
      </c>
      <c r="F122" s="59" t="s">
        <v>1669</v>
      </c>
    </row>
    <row r="123" ht="15.75" customHeight="1">
      <c r="A123" s="30" t="s">
        <v>1723</v>
      </c>
      <c r="B123" s="30" t="s">
        <v>1688</v>
      </c>
      <c r="C123" s="28"/>
      <c r="D123" s="37" t="s">
        <v>1508</v>
      </c>
      <c r="E123" s="30" t="s">
        <v>1724</v>
      </c>
      <c r="F123" s="59" t="s">
        <v>1669</v>
      </c>
    </row>
    <row r="124" ht="15.75" customHeight="1">
      <c r="A124" s="30" t="s">
        <v>1725</v>
      </c>
      <c r="B124" s="30" t="s">
        <v>1688</v>
      </c>
      <c r="C124" s="30" t="s">
        <v>869</v>
      </c>
      <c r="D124" s="37" t="s">
        <v>1508</v>
      </c>
      <c r="E124" s="30" t="s">
        <v>1726</v>
      </c>
      <c r="F124" s="59" t="s">
        <v>1669</v>
      </c>
    </row>
    <row r="125" ht="15.75" customHeight="1">
      <c r="A125" s="30" t="s">
        <v>1727</v>
      </c>
      <c r="B125" s="30" t="s">
        <v>1688</v>
      </c>
      <c r="C125" s="30" t="s">
        <v>1728</v>
      </c>
      <c r="D125" s="37" t="s">
        <v>1508</v>
      </c>
      <c r="E125" s="30" t="s">
        <v>1729</v>
      </c>
      <c r="F125" s="59" t="s">
        <v>1669</v>
      </c>
    </row>
    <row r="126" ht="15.75" customHeight="1">
      <c r="A126" s="30" t="s">
        <v>1730</v>
      </c>
      <c r="B126" s="30" t="s">
        <v>1688</v>
      </c>
      <c r="C126" s="30" t="s">
        <v>1728</v>
      </c>
      <c r="D126" s="37" t="s">
        <v>1508</v>
      </c>
      <c r="E126" s="30" t="s">
        <v>1731</v>
      </c>
      <c r="F126" s="59" t="s">
        <v>1669</v>
      </c>
    </row>
    <row r="127" ht="15.75" customHeight="1">
      <c r="A127" s="30" t="s">
        <v>1732</v>
      </c>
      <c r="B127" s="37" t="s">
        <v>1702</v>
      </c>
      <c r="C127" s="30" t="s">
        <v>1697</v>
      </c>
      <c r="D127" s="37" t="s">
        <v>1508</v>
      </c>
      <c r="E127" s="30" t="s">
        <v>1733</v>
      </c>
      <c r="F127" s="59" t="s">
        <v>1669</v>
      </c>
    </row>
    <row r="128" ht="15.75" customHeight="1">
      <c r="A128" s="30" t="s">
        <v>1734</v>
      </c>
      <c r="B128" s="37" t="s">
        <v>1702</v>
      </c>
      <c r="C128" s="30" t="s">
        <v>1697</v>
      </c>
      <c r="D128" s="37" t="s">
        <v>1508</v>
      </c>
      <c r="E128" s="30" t="s">
        <v>1735</v>
      </c>
      <c r="F128" s="59" t="s">
        <v>1669</v>
      </c>
    </row>
    <row r="129" ht="15.75" customHeight="1">
      <c r="A129" s="30" t="s">
        <v>1736</v>
      </c>
      <c r="B129" s="30" t="s">
        <v>1688</v>
      </c>
      <c r="C129" s="30" t="s">
        <v>1697</v>
      </c>
      <c r="D129" s="37" t="s">
        <v>1508</v>
      </c>
      <c r="E129" s="30" t="s">
        <v>1737</v>
      </c>
      <c r="F129" s="59" t="s">
        <v>1669</v>
      </c>
    </row>
    <row r="130" ht="15.75" customHeight="1">
      <c r="A130" s="30" t="s">
        <v>1738</v>
      </c>
      <c r="B130" s="30" t="s">
        <v>1688</v>
      </c>
      <c r="C130" s="30" t="s">
        <v>1629</v>
      </c>
      <c r="D130" s="37" t="s">
        <v>1508</v>
      </c>
      <c r="E130" s="30" t="s">
        <v>1536</v>
      </c>
      <c r="F130" s="59" t="s">
        <v>1669</v>
      </c>
    </row>
    <row r="131" ht="15.75" customHeight="1">
      <c r="A131" s="30" t="s">
        <v>1739</v>
      </c>
      <c r="B131" s="28"/>
      <c r="C131" s="30" t="s">
        <v>829</v>
      </c>
      <c r="D131" s="37" t="s">
        <v>1740</v>
      </c>
      <c r="E131" s="30" t="s">
        <v>1741</v>
      </c>
      <c r="F131" s="59" t="s">
        <v>1669</v>
      </c>
    </row>
    <row r="132" ht="15.75" customHeight="1">
      <c r="A132" s="30" t="s">
        <v>1742</v>
      </c>
      <c r="B132" s="28"/>
      <c r="C132" s="30" t="s">
        <v>829</v>
      </c>
      <c r="D132" s="37" t="s">
        <v>1740</v>
      </c>
      <c r="E132" s="30" t="s">
        <v>1743</v>
      </c>
      <c r="F132" s="59" t="s">
        <v>1669</v>
      </c>
    </row>
    <row r="133" ht="15.75" customHeight="1">
      <c r="A133" s="30" t="s">
        <v>1744</v>
      </c>
      <c r="B133" s="28"/>
      <c r="C133" s="30" t="s">
        <v>829</v>
      </c>
      <c r="D133" s="37" t="s">
        <v>1740</v>
      </c>
      <c r="E133" s="30" t="s">
        <v>1745</v>
      </c>
      <c r="F133" s="59" t="s">
        <v>1669</v>
      </c>
    </row>
    <row r="134" ht="15.75" customHeight="1">
      <c r="A134" s="30" t="s">
        <v>1746</v>
      </c>
      <c r="B134" s="28"/>
      <c r="C134" s="30" t="s">
        <v>69</v>
      </c>
      <c r="D134" s="37" t="s">
        <v>1740</v>
      </c>
      <c r="E134" s="30" t="s">
        <v>1747</v>
      </c>
      <c r="F134" s="59" t="s">
        <v>1669</v>
      </c>
    </row>
    <row r="135" ht="15.75" customHeight="1">
      <c r="A135" s="30" t="s">
        <v>1748</v>
      </c>
      <c r="B135" s="28"/>
      <c r="C135" s="30" t="s">
        <v>69</v>
      </c>
      <c r="D135" s="37" t="s">
        <v>1740</v>
      </c>
      <c r="E135" s="30" t="s">
        <v>1749</v>
      </c>
      <c r="F135" s="59" t="s">
        <v>1669</v>
      </c>
    </row>
    <row r="136" ht="15.75" customHeight="1">
      <c r="A136" s="30" t="s">
        <v>1750</v>
      </c>
      <c r="B136" s="28"/>
      <c r="C136" s="30" t="s">
        <v>69</v>
      </c>
      <c r="D136" s="37" t="s">
        <v>1740</v>
      </c>
      <c r="E136" s="30" t="s">
        <v>1751</v>
      </c>
      <c r="F136" s="59" t="s">
        <v>1669</v>
      </c>
    </row>
    <row r="137" ht="15.75" customHeight="1">
      <c r="A137" s="30" t="s">
        <v>1752</v>
      </c>
      <c r="B137" s="28"/>
      <c r="C137" s="30" t="s">
        <v>1674</v>
      </c>
      <c r="D137" s="37" t="s">
        <v>1740</v>
      </c>
      <c r="E137" s="30" t="s">
        <v>1753</v>
      </c>
      <c r="F137" s="59" t="s">
        <v>1669</v>
      </c>
    </row>
    <row r="138" ht="15.75" customHeight="1">
      <c r="A138" s="30" t="s">
        <v>1754</v>
      </c>
      <c r="B138" s="28"/>
      <c r="C138" s="30" t="s">
        <v>1678</v>
      </c>
      <c r="D138" s="37" t="s">
        <v>970</v>
      </c>
      <c r="E138" s="30" t="s">
        <v>1536</v>
      </c>
      <c r="F138" s="59" t="s">
        <v>1669</v>
      </c>
    </row>
    <row r="139" ht="15.75" customHeight="1">
      <c r="A139" s="30" t="s">
        <v>1755</v>
      </c>
      <c r="B139" s="28"/>
      <c r="C139" s="30" t="s">
        <v>1756</v>
      </c>
      <c r="D139" s="37" t="s">
        <v>970</v>
      </c>
      <c r="E139" s="30" t="s">
        <v>1536</v>
      </c>
      <c r="F139" s="59" t="s">
        <v>1669</v>
      </c>
    </row>
    <row r="140" ht="15.75" customHeight="1">
      <c r="A140" s="30" t="s">
        <v>1757</v>
      </c>
      <c r="B140" s="28"/>
      <c r="C140" s="30" t="s">
        <v>442</v>
      </c>
      <c r="D140" s="37" t="s">
        <v>978</v>
      </c>
      <c r="E140" s="30" t="s">
        <v>1536</v>
      </c>
      <c r="F140" s="59" t="s">
        <v>1669</v>
      </c>
    </row>
    <row r="141" ht="15.75" customHeight="1">
      <c r="A141" s="30" t="s">
        <v>1758</v>
      </c>
      <c r="B141" s="28"/>
      <c r="C141" s="30" t="s">
        <v>442</v>
      </c>
      <c r="D141" s="37" t="s">
        <v>978</v>
      </c>
      <c r="E141" s="30" t="s">
        <v>1536</v>
      </c>
      <c r="F141" s="59" t="s">
        <v>1669</v>
      </c>
    </row>
    <row r="142" ht="15.75" customHeight="1">
      <c r="A142" s="30" t="s">
        <v>1759</v>
      </c>
      <c r="B142" s="28"/>
      <c r="C142" s="30" t="s">
        <v>442</v>
      </c>
      <c r="D142" s="37" t="s">
        <v>978</v>
      </c>
      <c r="E142" s="30" t="s">
        <v>1536</v>
      </c>
      <c r="F142" s="59" t="s">
        <v>1669</v>
      </c>
    </row>
    <row r="143" ht="15.75" customHeight="1">
      <c r="A143" s="30" t="s">
        <v>1760</v>
      </c>
      <c r="B143" s="28"/>
      <c r="C143" s="30" t="s">
        <v>442</v>
      </c>
      <c r="D143" s="37" t="s">
        <v>1500</v>
      </c>
      <c r="E143" s="30" t="s">
        <v>1536</v>
      </c>
      <c r="F143" s="59" t="s">
        <v>1669</v>
      </c>
    </row>
    <row r="144" ht="15.75" customHeight="1">
      <c r="A144" s="30" t="s">
        <v>1761</v>
      </c>
      <c r="B144" s="28"/>
      <c r="C144" s="30" t="s">
        <v>442</v>
      </c>
      <c r="D144" s="37" t="s">
        <v>1500</v>
      </c>
      <c r="E144" s="30" t="s">
        <v>1536</v>
      </c>
      <c r="F144" s="59" t="s">
        <v>1669</v>
      </c>
    </row>
    <row r="145" ht="15.75" customHeight="1">
      <c r="A145" s="30" t="s">
        <v>1762</v>
      </c>
      <c r="B145" s="28"/>
      <c r="C145" s="30" t="s">
        <v>442</v>
      </c>
      <c r="D145" s="37" t="s">
        <v>1500</v>
      </c>
      <c r="E145" s="30" t="s">
        <v>1536</v>
      </c>
      <c r="F145" s="59" t="s">
        <v>1669</v>
      </c>
    </row>
    <row r="146" ht="15.75" customHeight="1">
      <c r="A146" s="30" t="s">
        <v>1763</v>
      </c>
      <c r="B146" s="28"/>
      <c r="C146" s="30" t="s">
        <v>442</v>
      </c>
      <c r="D146" s="37" t="s">
        <v>1500</v>
      </c>
      <c r="E146" s="30" t="s">
        <v>1536</v>
      </c>
      <c r="F146" s="59" t="s">
        <v>1669</v>
      </c>
    </row>
    <row r="147" ht="15.75" customHeight="1">
      <c r="A147" s="30" t="s">
        <v>1764</v>
      </c>
      <c r="B147" s="28"/>
      <c r="C147" s="30" t="s">
        <v>442</v>
      </c>
      <c r="D147" s="37" t="s">
        <v>1500</v>
      </c>
      <c r="E147" s="30" t="s">
        <v>1536</v>
      </c>
      <c r="F147" s="59" t="s">
        <v>1669</v>
      </c>
    </row>
    <row r="148" ht="15.75" customHeight="1">
      <c r="A148" s="30" t="s">
        <v>1765</v>
      </c>
      <c r="B148" s="28"/>
      <c r="C148" s="30" t="s">
        <v>442</v>
      </c>
      <c r="D148" s="37" t="s">
        <v>929</v>
      </c>
      <c r="E148" s="30" t="s">
        <v>1536</v>
      </c>
      <c r="F148" s="59" t="s">
        <v>1669</v>
      </c>
    </row>
    <row r="149" ht="15.75" customHeight="1">
      <c r="A149" s="30" t="s">
        <v>1766</v>
      </c>
      <c r="B149" s="28"/>
      <c r="C149" s="30" t="s">
        <v>442</v>
      </c>
      <c r="D149" s="37" t="s">
        <v>929</v>
      </c>
      <c r="E149" s="30" t="s">
        <v>1536</v>
      </c>
      <c r="F149" s="59" t="s">
        <v>1669</v>
      </c>
    </row>
    <row r="150" ht="15.75" customHeight="1">
      <c r="A150" s="30" t="s">
        <v>1767</v>
      </c>
      <c r="B150" s="28"/>
      <c r="C150" s="30" t="s">
        <v>442</v>
      </c>
      <c r="D150" s="37" t="s">
        <v>929</v>
      </c>
      <c r="E150" s="30" t="s">
        <v>1536</v>
      </c>
      <c r="F150" s="59" t="s">
        <v>1669</v>
      </c>
    </row>
    <row r="151" ht="15.75" customHeight="1">
      <c r="A151" s="30" t="s">
        <v>1768</v>
      </c>
      <c r="B151" s="28"/>
      <c r="C151" s="30" t="s">
        <v>442</v>
      </c>
      <c r="D151" s="37" t="s">
        <v>929</v>
      </c>
      <c r="E151" s="30" t="s">
        <v>1536</v>
      </c>
      <c r="F151" s="59" t="s">
        <v>1669</v>
      </c>
    </row>
    <row r="152" ht="15.75" customHeight="1">
      <c r="A152" s="30" t="s">
        <v>1769</v>
      </c>
      <c r="B152" s="28"/>
      <c r="C152" s="30" t="s">
        <v>442</v>
      </c>
      <c r="D152" s="37" t="s">
        <v>929</v>
      </c>
      <c r="E152" s="30" t="s">
        <v>1536</v>
      </c>
      <c r="F152" s="59" t="s">
        <v>1669</v>
      </c>
    </row>
    <row r="153" ht="15.75" customHeight="1">
      <c r="A153" s="30" t="s">
        <v>1770</v>
      </c>
      <c r="B153" s="28"/>
      <c r="C153" s="30" t="s">
        <v>442</v>
      </c>
      <c r="D153" s="37" t="s">
        <v>929</v>
      </c>
      <c r="E153" s="30" t="s">
        <v>1536</v>
      </c>
      <c r="F153" s="59" t="s">
        <v>1669</v>
      </c>
    </row>
    <row r="154" ht="15.75" customHeight="1">
      <c r="A154" s="30" t="s">
        <v>1771</v>
      </c>
      <c r="B154" s="28"/>
      <c r="C154" s="30" t="s">
        <v>442</v>
      </c>
      <c r="D154" s="37" t="s">
        <v>929</v>
      </c>
      <c r="E154" s="30" t="s">
        <v>1536</v>
      </c>
      <c r="F154" s="59" t="s">
        <v>1669</v>
      </c>
    </row>
    <row r="155" ht="15.75" customHeight="1">
      <c r="A155" s="30" t="s">
        <v>1772</v>
      </c>
      <c r="B155" s="28"/>
      <c r="C155" s="30" t="s">
        <v>442</v>
      </c>
      <c r="D155" s="37" t="s">
        <v>929</v>
      </c>
      <c r="E155" s="30" t="s">
        <v>1536</v>
      </c>
      <c r="F155" s="59" t="s">
        <v>1669</v>
      </c>
    </row>
    <row r="156" ht="15.75" customHeight="1">
      <c r="A156" s="30" t="s">
        <v>1773</v>
      </c>
      <c r="B156" s="28"/>
      <c r="C156" s="30" t="s">
        <v>442</v>
      </c>
      <c r="D156" s="37" t="s">
        <v>929</v>
      </c>
      <c r="E156" s="30" t="s">
        <v>1536</v>
      </c>
      <c r="F156" s="59" t="s">
        <v>1669</v>
      </c>
    </row>
    <row r="157" ht="15.75" customHeight="1">
      <c r="A157" s="30" t="s">
        <v>1774</v>
      </c>
      <c r="B157" s="28"/>
      <c r="C157" s="30" t="s">
        <v>442</v>
      </c>
      <c r="D157" s="37" t="s">
        <v>929</v>
      </c>
      <c r="E157" s="30" t="s">
        <v>1536</v>
      </c>
      <c r="F157" s="59" t="s">
        <v>1669</v>
      </c>
    </row>
    <row r="158" ht="15.75" customHeight="1">
      <c r="A158" s="30" t="s">
        <v>1775</v>
      </c>
      <c r="B158" s="28"/>
      <c r="C158" s="30" t="s">
        <v>442</v>
      </c>
      <c r="D158" s="37" t="s">
        <v>929</v>
      </c>
      <c r="E158" s="30" t="s">
        <v>1536</v>
      </c>
      <c r="F158" s="59" t="s">
        <v>1669</v>
      </c>
    </row>
    <row r="159" ht="15.75" customHeight="1">
      <c r="A159" s="30" t="s">
        <v>1776</v>
      </c>
      <c r="B159" s="28"/>
      <c r="C159" s="30" t="s">
        <v>442</v>
      </c>
      <c r="D159" s="37" t="s">
        <v>929</v>
      </c>
      <c r="E159" s="30" t="s">
        <v>1536</v>
      </c>
      <c r="F159" s="59" t="s">
        <v>1669</v>
      </c>
    </row>
    <row r="160" ht="15.75" customHeight="1">
      <c r="A160" s="30" t="s">
        <v>1777</v>
      </c>
      <c r="B160" s="28"/>
      <c r="C160" s="30" t="s">
        <v>442</v>
      </c>
      <c r="D160" s="37" t="s">
        <v>929</v>
      </c>
      <c r="E160" s="30" t="s">
        <v>1536</v>
      </c>
      <c r="F160" s="59" t="s">
        <v>1669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5.0"/>
    <col customWidth="1" min="3" max="6" width="12.63"/>
    <col customWidth="1" min="10" max="10" width="30.25"/>
  </cols>
  <sheetData>
    <row r="1" ht="15.75" customHeight="1">
      <c r="A1" s="60" t="s">
        <v>1778</v>
      </c>
      <c r="B1" s="60" t="s">
        <v>1779</v>
      </c>
      <c r="C1" s="60" t="s">
        <v>1780</v>
      </c>
      <c r="D1" s="60" t="s">
        <v>1781</v>
      </c>
      <c r="E1" s="60" t="s">
        <v>1782</v>
      </c>
      <c r="F1" s="60" t="s">
        <v>1783</v>
      </c>
      <c r="G1" s="60" t="s">
        <v>1784</v>
      </c>
      <c r="H1" s="60" t="s">
        <v>1785</v>
      </c>
      <c r="I1" s="60" t="s">
        <v>1786</v>
      </c>
      <c r="J1" s="61" t="s">
        <v>1787</v>
      </c>
      <c r="K1" s="61" t="s">
        <v>1788</v>
      </c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5.75" customHeight="1">
      <c r="A2" s="30" t="s">
        <v>564</v>
      </c>
      <c r="B2" s="30" t="s">
        <v>411</v>
      </c>
      <c r="C2" s="30" t="s">
        <v>42</v>
      </c>
      <c r="D2" s="30" t="s">
        <v>1474</v>
      </c>
      <c r="E2" s="30">
        <v>0.0140593448928056</v>
      </c>
      <c r="F2" s="30">
        <v>0.0419219652411102</v>
      </c>
      <c r="G2" s="30">
        <v>0.335369413431471</v>
      </c>
      <c r="H2" s="62">
        <v>0.737346437844373</v>
      </c>
      <c r="I2" s="30">
        <v>10718.0</v>
      </c>
      <c r="J2" s="31" t="s">
        <v>1789</v>
      </c>
      <c r="K2" s="31" t="s">
        <v>1790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75" customHeight="1">
      <c r="A3" s="30" t="s">
        <v>541</v>
      </c>
      <c r="B3" s="30" t="s">
        <v>411</v>
      </c>
      <c r="C3" s="30" t="s">
        <v>42</v>
      </c>
      <c r="D3" s="30" t="s">
        <v>1474</v>
      </c>
      <c r="E3" s="62">
        <v>-1.67317093045459E-4</v>
      </c>
      <c r="F3" s="30">
        <v>0.0534308404529466</v>
      </c>
      <c r="G3" s="30">
        <v>-0.00313147035732678</v>
      </c>
      <c r="H3" s="62">
        <v>0.997501452232782</v>
      </c>
      <c r="I3" s="30">
        <v>9155.0</v>
      </c>
      <c r="J3" s="31" t="s">
        <v>1789</v>
      </c>
      <c r="K3" s="31" t="s">
        <v>1790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>
      <c r="A4" s="30" t="s">
        <v>318</v>
      </c>
      <c r="B4" s="30" t="s">
        <v>55</v>
      </c>
      <c r="C4" s="30" t="s">
        <v>411</v>
      </c>
      <c r="D4" s="30" t="s">
        <v>1474</v>
      </c>
      <c r="E4" s="30">
        <v>0.382510329742841</v>
      </c>
      <c r="F4" s="30">
        <v>0.0396099935131372</v>
      </c>
      <c r="G4" s="30">
        <v>9.65691472824848</v>
      </c>
      <c r="H4" s="62">
        <v>4.59493954815409E-22</v>
      </c>
      <c r="I4" s="30">
        <v>12208.0</v>
      </c>
      <c r="J4" s="31" t="s">
        <v>1789</v>
      </c>
      <c r="K4" s="31" t="s">
        <v>1790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>
      <c r="A5" s="30" t="s">
        <v>217</v>
      </c>
      <c r="B5" s="30" t="s">
        <v>55</v>
      </c>
      <c r="C5" s="30" t="s">
        <v>411</v>
      </c>
      <c r="D5" s="30" t="s">
        <v>1474</v>
      </c>
      <c r="E5" s="30">
        <v>0.404652200836087</v>
      </c>
      <c r="F5" s="30">
        <v>0.0276199235235345</v>
      </c>
      <c r="G5" s="30">
        <v>14.6507357448433</v>
      </c>
      <c r="H5" s="62">
        <v>1.33264781636245E-48</v>
      </c>
      <c r="I5" s="30">
        <v>107591.0</v>
      </c>
      <c r="J5" s="31" t="s">
        <v>1789</v>
      </c>
      <c r="K5" s="31" t="s">
        <v>1790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75" customHeight="1">
      <c r="A6" s="30" t="s">
        <v>305</v>
      </c>
      <c r="B6" s="30" t="s">
        <v>55</v>
      </c>
      <c r="C6" s="30" t="s">
        <v>411</v>
      </c>
      <c r="D6" s="30" t="s">
        <v>1474</v>
      </c>
      <c r="E6" s="30">
        <v>0.344476842761156</v>
      </c>
      <c r="F6" s="30">
        <v>0.0393246276996863</v>
      </c>
      <c r="G6" s="30">
        <v>8.75982464199918</v>
      </c>
      <c r="H6" s="62">
        <v>1.95554352277176E-18</v>
      </c>
      <c r="I6" s="30">
        <v>18569.0</v>
      </c>
      <c r="J6" s="31" t="s">
        <v>1789</v>
      </c>
      <c r="K6" s="31" t="s">
        <v>1790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30" t="s">
        <v>206</v>
      </c>
      <c r="B7" s="30" t="s">
        <v>411</v>
      </c>
      <c r="C7" s="30" t="s">
        <v>55</v>
      </c>
      <c r="D7" s="30" t="s">
        <v>1474</v>
      </c>
      <c r="E7" s="30">
        <v>0.0464116355122635</v>
      </c>
      <c r="F7" s="30">
        <v>0.027198306527503</v>
      </c>
      <c r="G7" s="30">
        <v>1.70641637064174</v>
      </c>
      <c r="H7" s="62">
        <v>0.0879305847558585</v>
      </c>
      <c r="I7" s="30">
        <v>113607.0</v>
      </c>
      <c r="J7" s="31" t="s">
        <v>1789</v>
      </c>
      <c r="K7" s="31" t="s">
        <v>1790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30" t="s">
        <v>148</v>
      </c>
      <c r="B8" s="30" t="s">
        <v>411</v>
      </c>
      <c r="C8" s="30" t="s">
        <v>55</v>
      </c>
      <c r="D8" s="30" t="s">
        <v>1474</v>
      </c>
      <c r="E8" s="30">
        <v>0.0218035140287013</v>
      </c>
      <c r="F8" s="30">
        <v>0.0260777246716212</v>
      </c>
      <c r="G8" s="30">
        <v>0.836097255541192</v>
      </c>
      <c r="H8" s="62">
        <v>0.403100192211199</v>
      </c>
      <c r="I8" s="30">
        <v>123803.0</v>
      </c>
      <c r="J8" s="31" t="s">
        <v>1789</v>
      </c>
      <c r="K8" s="31" t="s">
        <v>1790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30" t="s">
        <v>460</v>
      </c>
      <c r="B9" s="30" t="s">
        <v>411</v>
      </c>
      <c r="C9" s="30" t="s">
        <v>55</v>
      </c>
      <c r="D9" s="30" t="s">
        <v>1474</v>
      </c>
      <c r="E9" s="30">
        <v>0.0281021913226977</v>
      </c>
      <c r="F9" s="30">
        <v>0.0258470066604746</v>
      </c>
      <c r="G9" s="30">
        <v>1.08725128955345</v>
      </c>
      <c r="H9" s="62">
        <v>0.276925769367548</v>
      </c>
      <c r="I9" s="30">
        <v>69999.0</v>
      </c>
      <c r="J9" s="31" t="s">
        <v>1789</v>
      </c>
      <c r="K9" s="31" t="s">
        <v>1790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30" t="s">
        <v>247</v>
      </c>
      <c r="B10" s="30" t="s">
        <v>411</v>
      </c>
      <c r="C10" s="30" t="s">
        <v>55</v>
      </c>
      <c r="D10" s="30" t="s">
        <v>1474</v>
      </c>
      <c r="E10" s="30">
        <v>0.0685643514043547</v>
      </c>
      <c r="F10" s="30">
        <v>0.0349507429907425</v>
      </c>
      <c r="G10" s="30">
        <v>1.96174231324683</v>
      </c>
      <c r="H10" s="62">
        <v>0.0497924928576777</v>
      </c>
      <c r="I10" s="30">
        <v>65740.0</v>
      </c>
      <c r="J10" s="31" t="s">
        <v>1789</v>
      </c>
      <c r="K10" s="31" t="s">
        <v>1790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30" t="s">
        <v>159</v>
      </c>
      <c r="B11" s="30" t="s">
        <v>411</v>
      </c>
      <c r="C11" s="30" t="s">
        <v>55</v>
      </c>
      <c r="D11" s="30" t="s">
        <v>1474</v>
      </c>
      <c r="E11" s="30">
        <v>0.0210780842342788</v>
      </c>
      <c r="F11" s="30">
        <v>0.0295502563396342</v>
      </c>
      <c r="G11" s="30">
        <v>0.713296155269146</v>
      </c>
      <c r="H11" s="62">
        <v>0.475662516098999</v>
      </c>
      <c r="I11" s="30">
        <v>122283.0</v>
      </c>
      <c r="J11" s="31" t="s">
        <v>1789</v>
      </c>
      <c r="K11" s="31" t="s">
        <v>1790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30" t="s">
        <v>323</v>
      </c>
      <c r="B12" s="30" t="s">
        <v>42</v>
      </c>
      <c r="C12" s="30" t="s">
        <v>411</v>
      </c>
      <c r="D12" s="30" t="s">
        <v>1474</v>
      </c>
      <c r="E12" s="30">
        <v>0.133278946380923</v>
      </c>
      <c r="F12" s="30">
        <v>0.0449279966906834</v>
      </c>
      <c r="G12" s="30">
        <v>2.9665009837521</v>
      </c>
      <c r="H12" s="62">
        <v>0.00301209397467723</v>
      </c>
      <c r="I12" s="30">
        <v>10115.0</v>
      </c>
      <c r="J12" s="31" t="s">
        <v>1789</v>
      </c>
      <c r="K12" s="31" t="s">
        <v>1790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30" t="s">
        <v>286</v>
      </c>
      <c r="B13" s="30" t="s">
        <v>411</v>
      </c>
      <c r="C13" s="30" t="s">
        <v>55</v>
      </c>
      <c r="D13" s="30" t="s">
        <v>1474</v>
      </c>
      <c r="E13" s="30">
        <v>0.0355975605672684</v>
      </c>
      <c r="F13" s="30">
        <v>0.0237794874633466</v>
      </c>
      <c r="G13" s="30">
        <v>1.4969860314331</v>
      </c>
      <c r="H13" s="62">
        <v>0.134396892746652</v>
      </c>
      <c r="I13" s="30">
        <v>37580.0</v>
      </c>
      <c r="J13" s="31" t="s">
        <v>1789</v>
      </c>
      <c r="K13" s="31" t="s">
        <v>1790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30" t="s">
        <v>350</v>
      </c>
      <c r="B14" s="30" t="s">
        <v>55</v>
      </c>
      <c r="C14" s="30" t="s">
        <v>411</v>
      </c>
      <c r="D14" s="30" t="s">
        <v>1474</v>
      </c>
      <c r="E14" s="30">
        <v>0.509520339458784</v>
      </c>
      <c r="F14" s="30">
        <v>0.0408215222188392</v>
      </c>
      <c r="G14" s="30">
        <v>12.4816594718665</v>
      </c>
      <c r="H14" s="62">
        <v>9.40067171332332E-36</v>
      </c>
      <c r="I14" s="30">
        <v>7593.0</v>
      </c>
      <c r="J14" s="31" t="s">
        <v>1789</v>
      </c>
      <c r="K14" s="31" t="s">
        <v>1790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30" t="s">
        <v>331</v>
      </c>
      <c r="B15" s="30" t="s">
        <v>42</v>
      </c>
      <c r="C15" s="30" t="s">
        <v>411</v>
      </c>
      <c r="D15" s="30" t="s">
        <v>1474</v>
      </c>
      <c r="E15" s="30">
        <v>0.0167441554922028</v>
      </c>
      <c r="F15" s="30">
        <v>0.0508154833660276</v>
      </c>
      <c r="G15" s="30">
        <v>0.329508928835595</v>
      </c>
      <c r="H15" s="62">
        <v>0.741771046206975</v>
      </c>
      <c r="I15" s="30">
        <v>8855.0</v>
      </c>
      <c r="J15" s="31" t="s">
        <v>1789</v>
      </c>
      <c r="K15" s="31" t="s">
        <v>1790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30" t="s">
        <v>137</v>
      </c>
      <c r="B16" s="30" t="s">
        <v>42</v>
      </c>
      <c r="C16" s="30" t="s">
        <v>411</v>
      </c>
      <c r="D16" s="30" t="s">
        <v>1474</v>
      </c>
      <c r="E16" s="30">
        <v>0.122155648454737</v>
      </c>
      <c r="F16" s="30">
        <v>0.0304137834300387</v>
      </c>
      <c r="G16" s="30">
        <v>4.016456838911</v>
      </c>
      <c r="H16" s="62">
        <v>5.90796780971286E-5</v>
      </c>
      <c r="I16" s="30">
        <v>114861.0</v>
      </c>
      <c r="J16" s="31" t="s">
        <v>1789</v>
      </c>
      <c r="K16" s="31" t="s">
        <v>1790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30" t="s">
        <v>545</v>
      </c>
      <c r="B17" s="30" t="s">
        <v>411</v>
      </c>
      <c r="C17" s="30" t="s">
        <v>42</v>
      </c>
      <c r="D17" s="30" t="s">
        <v>1474</v>
      </c>
      <c r="E17" s="30">
        <v>0.0359829425101659</v>
      </c>
      <c r="F17" s="30">
        <v>0.0387097455270599</v>
      </c>
      <c r="G17" s="30">
        <v>0.929557712669854</v>
      </c>
      <c r="H17" s="62">
        <v>0.352600130757982</v>
      </c>
      <c r="I17" s="30">
        <v>15656.0</v>
      </c>
      <c r="J17" s="31" t="s">
        <v>1789</v>
      </c>
      <c r="K17" s="31" t="s">
        <v>1790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30" t="s">
        <v>498</v>
      </c>
      <c r="B18" s="30" t="s">
        <v>411</v>
      </c>
      <c r="C18" s="30" t="s">
        <v>42</v>
      </c>
      <c r="D18" s="30" t="s">
        <v>1474</v>
      </c>
      <c r="E18" s="30">
        <v>0.0238588581874189</v>
      </c>
      <c r="F18" s="30">
        <v>0.0293914126687651</v>
      </c>
      <c r="G18" s="30">
        <v>0.811762893342457</v>
      </c>
      <c r="H18" s="62">
        <v>0.416927697889817</v>
      </c>
      <c r="I18" s="30">
        <v>46590.0</v>
      </c>
      <c r="J18" s="31" t="s">
        <v>1789</v>
      </c>
      <c r="K18" s="31" t="s">
        <v>1790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30" t="s">
        <v>448</v>
      </c>
      <c r="B19" s="30" t="s">
        <v>411</v>
      </c>
      <c r="C19" s="30" t="s">
        <v>42</v>
      </c>
      <c r="D19" s="30" t="s">
        <v>1474</v>
      </c>
      <c r="E19" s="30">
        <v>0.0162017606293229</v>
      </c>
      <c r="F19" s="30">
        <v>0.0320179542322144</v>
      </c>
      <c r="G19" s="30">
        <v>0.506021106527216</v>
      </c>
      <c r="H19" s="62">
        <v>0.612841832777334</v>
      </c>
      <c r="I19" s="30">
        <v>98600.0</v>
      </c>
      <c r="J19" s="31" t="s">
        <v>1789</v>
      </c>
      <c r="K19" s="31" t="s">
        <v>1790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30" t="s">
        <v>435</v>
      </c>
      <c r="B20" s="30" t="s">
        <v>411</v>
      </c>
      <c r="C20" s="30" t="s">
        <v>42</v>
      </c>
      <c r="D20" s="30" t="s">
        <v>1474</v>
      </c>
      <c r="E20" s="30">
        <v>-0.00698859252563368</v>
      </c>
      <c r="F20" s="30">
        <v>0.0320026777278148</v>
      </c>
      <c r="G20" s="30">
        <v>-0.218375243005356</v>
      </c>
      <c r="H20" s="62">
        <v>0.827136753287044</v>
      </c>
      <c r="I20" s="30">
        <v>102748.0</v>
      </c>
      <c r="J20" s="31" t="s">
        <v>1789</v>
      </c>
      <c r="K20" s="31" t="s">
        <v>1790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0" t="s">
        <v>578</v>
      </c>
      <c r="B21" s="30" t="s">
        <v>411</v>
      </c>
      <c r="C21" s="30" t="s">
        <v>42</v>
      </c>
      <c r="D21" s="30" t="s">
        <v>1474</v>
      </c>
      <c r="E21" s="30">
        <v>0.0135354685540322</v>
      </c>
      <c r="F21" s="30">
        <v>0.0534779521270234</v>
      </c>
      <c r="G21" s="30">
        <v>0.253103718741551</v>
      </c>
      <c r="H21" s="62">
        <v>0.80018806528318</v>
      </c>
      <c r="I21" s="30">
        <v>6156.0</v>
      </c>
      <c r="J21" s="31" t="s">
        <v>1789</v>
      </c>
      <c r="K21" s="31" t="s">
        <v>1790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0" t="s">
        <v>512</v>
      </c>
      <c r="B22" s="30" t="s">
        <v>411</v>
      </c>
      <c r="C22" s="30" t="s">
        <v>42</v>
      </c>
      <c r="D22" s="30" t="s">
        <v>1474</v>
      </c>
      <c r="E22" s="30">
        <v>0.0237296427222909</v>
      </c>
      <c r="F22" s="30">
        <v>0.0338915158607207</v>
      </c>
      <c r="G22" s="30">
        <v>0.700164690768314</v>
      </c>
      <c r="H22" s="62">
        <v>0.483824459694487</v>
      </c>
      <c r="I22" s="30">
        <v>24085.0</v>
      </c>
      <c r="J22" s="31" t="s">
        <v>1789</v>
      </c>
      <c r="K22" s="31" t="s">
        <v>1790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0" t="s">
        <v>554</v>
      </c>
      <c r="B23" s="30" t="s">
        <v>411</v>
      </c>
      <c r="C23" s="30" t="s">
        <v>42</v>
      </c>
      <c r="D23" s="30" t="s">
        <v>1474</v>
      </c>
      <c r="E23" s="62">
        <v>0.0882259683161224</v>
      </c>
      <c r="F23" s="30">
        <v>0.0457632407824497</v>
      </c>
      <c r="G23" s="30">
        <v>1.92787850702123</v>
      </c>
      <c r="H23" s="62">
        <v>0.0538702397036693</v>
      </c>
      <c r="I23" s="30">
        <v>13224.0</v>
      </c>
      <c r="J23" s="31" t="s">
        <v>1789</v>
      </c>
      <c r="K23" s="31" t="s">
        <v>1790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0" t="s">
        <v>527</v>
      </c>
      <c r="B24" s="30" t="s">
        <v>411</v>
      </c>
      <c r="C24" s="30" t="s">
        <v>42</v>
      </c>
      <c r="D24" s="30" t="s">
        <v>1474</v>
      </c>
      <c r="E24" s="30">
        <v>0.0346679910839905</v>
      </c>
      <c r="F24" s="30">
        <v>0.0356149123760514</v>
      </c>
      <c r="G24" s="30">
        <v>0.973412224574286</v>
      </c>
      <c r="H24" s="62">
        <v>0.330348465647399</v>
      </c>
      <c r="I24" s="30">
        <v>23612.0</v>
      </c>
      <c r="J24" s="31" t="s">
        <v>1789</v>
      </c>
      <c r="K24" s="31" t="s">
        <v>1790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0" t="s">
        <v>339</v>
      </c>
      <c r="B25" s="30" t="s">
        <v>55</v>
      </c>
      <c r="C25" s="30" t="s">
        <v>411</v>
      </c>
      <c r="D25" s="30" t="s">
        <v>1474</v>
      </c>
      <c r="E25" s="30">
        <v>0.437825479320605</v>
      </c>
      <c r="F25" s="30">
        <v>0.045534587643344</v>
      </c>
      <c r="G25" s="30">
        <v>9.61522881792482</v>
      </c>
      <c r="H25" s="62">
        <v>6.89558624225134E-22</v>
      </c>
      <c r="I25" s="30">
        <v>10998.0</v>
      </c>
      <c r="J25" s="31" t="s">
        <v>1789</v>
      </c>
      <c r="K25" s="31" t="s">
        <v>1790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0" t="s">
        <v>1791</v>
      </c>
      <c r="B26" s="30" t="s">
        <v>411</v>
      </c>
      <c r="C26" s="30" t="s">
        <v>55</v>
      </c>
      <c r="D26" s="30" t="s">
        <v>1474</v>
      </c>
      <c r="E26" s="30">
        <v>0.0267410819655923</v>
      </c>
      <c r="F26" s="30">
        <v>0.0382333318860447</v>
      </c>
      <c r="G26" s="30">
        <v>0.699418037781658</v>
      </c>
      <c r="H26" s="62">
        <v>0.484290818447092</v>
      </c>
      <c r="I26" s="30">
        <v>44327.0</v>
      </c>
      <c r="J26" s="31" t="s">
        <v>1789</v>
      </c>
      <c r="K26" s="31" t="s">
        <v>1790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0" t="s">
        <v>606</v>
      </c>
      <c r="B27" s="30" t="s">
        <v>411</v>
      </c>
      <c r="C27" s="30" t="s">
        <v>55</v>
      </c>
      <c r="D27" s="30" t="s">
        <v>1474</v>
      </c>
      <c r="E27" s="30">
        <v>-0.0835105497752282</v>
      </c>
      <c r="F27" s="30">
        <v>0.0830228314748371</v>
      </c>
      <c r="G27" s="30">
        <v>-1.00587450815308</v>
      </c>
      <c r="H27" s="62">
        <v>0.314475940199401</v>
      </c>
      <c r="I27" s="30">
        <v>4078.0</v>
      </c>
      <c r="J27" s="31" t="s">
        <v>1789</v>
      </c>
      <c r="K27" s="31" t="s">
        <v>1790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0" t="s">
        <v>538</v>
      </c>
      <c r="B28" s="30" t="s">
        <v>411</v>
      </c>
      <c r="C28" s="30" t="s">
        <v>55</v>
      </c>
      <c r="D28" s="30" t="s">
        <v>1474</v>
      </c>
      <c r="E28" s="30">
        <v>0.0523797503266825</v>
      </c>
      <c r="F28" s="30">
        <v>0.0605499669948784</v>
      </c>
      <c r="G28" s="30">
        <v>0.865066538039782</v>
      </c>
      <c r="H28" s="62">
        <v>0.387002269476297</v>
      </c>
      <c r="I28" s="30">
        <v>8601.0</v>
      </c>
      <c r="J28" s="31" t="s">
        <v>1789</v>
      </c>
      <c r="K28" s="31" t="s">
        <v>1790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0" t="s">
        <v>441</v>
      </c>
      <c r="B29" s="30" t="s">
        <v>411</v>
      </c>
      <c r="C29" s="30" t="s">
        <v>55</v>
      </c>
      <c r="D29" s="30" t="s">
        <v>1474</v>
      </c>
      <c r="E29" s="30">
        <v>0.01844702974177</v>
      </c>
      <c r="F29" s="30">
        <v>0.0222337230361985</v>
      </c>
      <c r="G29" s="30">
        <v>0.829686944995069</v>
      </c>
      <c r="H29" s="62">
        <v>0.406715804495359</v>
      </c>
      <c r="I29" s="30">
        <v>90809.0</v>
      </c>
      <c r="J29" s="31" t="s">
        <v>1789</v>
      </c>
      <c r="K29" s="31" t="s">
        <v>1790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0" t="s">
        <v>586</v>
      </c>
      <c r="B30" s="30" t="s">
        <v>411</v>
      </c>
      <c r="C30" s="30" t="s">
        <v>55</v>
      </c>
      <c r="D30" s="30" t="s">
        <v>1474</v>
      </c>
      <c r="E30" s="30">
        <v>-0.0140153009587489</v>
      </c>
      <c r="F30" s="30">
        <v>0.084529843822761</v>
      </c>
      <c r="G30" s="30">
        <v>-0.165802991285961</v>
      </c>
      <c r="H30" s="62">
        <v>0.868311992002637</v>
      </c>
      <c r="I30" s="30">
        <v>2781.0</v>
      </c>
      <c r="J30" s="31" t="s">
        <v>1789</v>
      </c>
      <c r="K30" s="31" t="s">
        <v>1790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0" t="s">
        <v>534</v>
      </c>
      <c r="B31" s="30" t="s">
        <v>411</v>
      </c>
      <c r="C31" s="30" t="s">
        <v>42</v>
      </c>
      <c r="D31" s="30" t="s">
        <v>1474</v>
      </c>
      <c r="E31" s="30">
        <v>0.107614421176593</v>
      </c>
      <c r="F31" s="30">
        <v>0.0376693182130859</v>
      </c>
      <c r="G31" s="30">
        <v>2.85681892536109</v>
      </c>
      <c r="H31" s="62">
        <v>0.00427909875731994</v>
      </c>
      <c r="I31" s="30">
        <v>10114.0</v>
      </c>
      <c r="J31" s="31" t="s">
        <v>1789</v>
      </c>
      <c r="K31" s="31" t="s">
        <v>1790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0" t="s">
        <v>190</v>
      </c>
      <c r="B32" s="30" t="s">
        <v>42</v>
      </c>
      <c r="C32" s="30" t="s">
        <v>411</v>
      </c>
      <c r="D32" s="30" t="s">
        <v>1474</v>
      </c>
      <c r="E32" s="30">
        <v>0.165397367023754</v>
      </c>
      <c r="F32" s="30">
        <v>0.0470109620273543</v>
      </c>
      <c r="G32" s="30">
        <v>3.51827233247246</v>
      </c>
      <c r="H32" s="62">
        <v>4.3436635032346E-4</v>
      </c>
      <c r="I32" s="30">
        <v>81635.0</v>
      </c>
      <c r="J32" s="31" t="s">
        <v>1789</v>
      </c>
      <c r="K32" s="31" t="s">
        <v>1790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0" t="s">
        <v>198</v>
      </c>
      <c r="B33" s="30" t="s">
        <v>42</v>
      </c>
      <c r="C33" s="30" t="s">
        <v>411</v>
      </c>
      <c r="D33" s="30" t="s">
        <v>1474</v>
      </c>
      <c r="E33" s="30">
        <v>0.0756996882729357</v>
      </c>
      <c r="F33" s="30">
        <v>0.031895572550995</v>
      </c>
      <c r="G33" s="30">
        <v>2.37336038260188</v>
      </c>
      <c r="H33" s="62">
        <v>0.0176270557773319</v>
      </c>
      <c r="I33" s="30">
        <v>72157.0</v>
      </c>
      <c r="J33" s="31" t="s">
        <v>1789</v>
      </c>
      <c r="K33" s="31" t="s">
        <v>1790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0" t="s">
        <v>108</v>
      </c>
      <c r="B34" s="30" t="s">
        <v>55</v>
      </c>
      <c r="C34" s="30" t="s">
        <v>411</v>
      </c>
      <c r="D34" s="30" t="s">
        <v>1474</v>
      </c>
      <c r="E34" s="30">
        <v>0.418824587314946</v>
      </c>
      <c r="F34" s="30">
        <v>0.0339520319427658</v>
      </c>
      <c r="G34" s="30">
        <v>12.3357738358921</v>
      </c>
      <c r="H34" s="62">
        <v>5.81277703270726E-35</v>
      </c>
      <c r="I34" s="30">
        <v>119457.0</v>
      </c>
      <c r="J34" s="31" t="s">
        <v>1789</v>
      </c>
      <c r="K34" s="31" t="s">
        <v>1790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0" t="s">
        <v>88</v>
      </c>
      <c r="B35" s="30" t="s">
        <v>55</v>
      </c>
      <c r="C35" s="30" t="s">
        <v>411</v>
      </c>
      <c r="D35" s="30" t="s">
        <v>1474</v>
      </c>
      <c r="E35" s="30">
        <v>0.469031290576247</v>
      </c>
      <c r="F35" s="30">
        <v>0.0306040878784091</v>
      </c>
      <c r="G35" s="30">
        <v>15.3257725712892</v>
      </c>
      <c r="H35" s="62">
        <v>5.14392864722863E-53</v>
      </c>
      <c r="I35" s="30">
        <v>133974.0</v>
      </c>
      <c r="J35" s="31" t="s">
        <v>1789</v>
      </c>
      <c r="K35" s="31" t="s">
        <v>1790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0" t="s">
        <v>78</v>
      </c>
      <c r="B36" s="30" t="s">
        <v>42</v>
      </c>
      <c r="C36" s="30" t="s">
        <v>411</v>
      </c>
      <c r="D36" s="30" t="s">
        <v>1474</v>
      </c>
      <c r="E36" s="30">
        <v>0.170372562073772</v>
      </c>
      <c r="F36" s="30">
        <v>0.036301661912785</v>
      </c>
      <c r="G36" s="30">
        <v>4.69324414080802</v>
      </c>
      <c r="H36" s="62">
        <v>2.68906252672291E-6</v>
      </c>
      <c r="I36" s="30">
        <v>134457.0</v>
      </c>
      <c r="J36" s="31" t="s">
        <v>1789</v>
      </c>
      <c r="K36" s="31" t="s">
        <v>1790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0" t="s">
        <v>234</v>
      </c>
      <c r="B37" s="30" t="s">
        <v>42</v>
      </c>
      <c r="C37" s="30" t="s">
        <v>411</v>
      </c>
      <c r="D37" s="30" t="s">
        <v>1474</v>
      </c>
      <c r="E37" s="30">
        <v>0.215568993821387</v>
      </c>
      <c r="F37" s="30">
        <v>0.0411737982008706</v>
      </c>
      <c r="G37" s="30">
        <v>5.23558678676452</v>
      </c>
      <c r="H37" s="62">
        <v>1.64461523052566E-7</v>
      </c>
      <c r="I37" s="30">
        <v>49891.0</v>
      </c>
      <c r="J37" s="31" t="s">
        <v>1789</v>
      </c>
      <c r="K37" s="31" t="s">
        <v>1790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0" t="s">
        <v>97</v>
      </c>
      <c r="B38" s="30" t="s">
        <v>42</v>
      </c>
      <c r="C38" s="30" t="s">
        <v>411</v>
      </c>
      <c r="D38" s="30" t="s">
        <v>1474</v>
      </c>
      <c r="E38" s="30">
        <v>0.052492635009618</v>
      </c>
      <c r="F38" s="30">
        <v>0.0295262945586685</v>
      </c>
      <c r="G38" s="30">
        <v>1.77782670647397</v>
      </c>
      <c r="H38" s="62">
        <v>0.0754323208068498</v>
      </c>
      <c r="I38" s="30">
        <v>140291.0</v>
      </c>
      <c r="J38" s="31" t="s">
        <v>1789</v>
      </c>
      <c r="K38" s="31" t="s">
        <v>1790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13" t="s">
        <v>166</v>
      </c>
      <c r="B39" s="13" t="s">
        <v>404</v>
      </c>
      <c r="C39" s="13" t="s">
        <v>411</v>
      </c>
      <c r="D39" s="13" t="s">
        <v>1474</v>
      </c>
      <c r="E39" s="13">
        <v>0.0015929468054042</v>
      </c>
      <c r="F39" s="13">
        <v>0.00558284017254696</v>
      </c>
      <c r="G39" s="13">
        <v>0.285329107796665</v>
      </c>
      <c r="H39" s="13">
        <v>0.775392014509111</v>
      </c>
      <c r="I39" s="13">
        <v>2096742.0</v>
      </c>
      <c r="J39" s="31" t="s">
        <v>1792</v>
      </c>
      <c r="K39" s="31" t="s">
        <v>1793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13" t="s">
        <v>1794</v>
      </c>
      <c r="B40" s="13" t="s">
        <v>404</v>
      </c>
      <c r="C40" s="13" t="s">
        <v>411</v>
      </c>
      <c r="D40" s="13" t="s">
        <v>1474</v>
      </c>
      <c r="E40" s="63">
        <v>-1.37205163083315E-4</v>
      </c>
      <c r="F40" s="13">
        <v>0.00532690908102792</v>
      </c>
      <c r="G40" s="13">
        <v>-0.0257569935954001</v>
      </c>
      <c r="H40" s="13">
        <v>0.979451164596693</v>
      </c>
      <c r="I40" s="13">
        <v>2353174.0</v>
      </c>
      <c r="J40" s="31" t="s">
        <v>1792</v>
      </c>
      <c r="K40" s="31" t="s">
        <v>1793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13" t="s">
        <v>56</v>
      </c>
      <c r="B41" s="13" t="s">
        <v>404</v>
      </c>
      <c r="C41" s="13" t="s">
        <v>411</v>
      </c>
      <c r="D41" s="13" t="s">
        <v>1474</v>
      </c>
      <c r="E41" s="13">
        <v>-0.0109285341864303</v>
      </c>
      <c r="F41" s="13">
        <v>0.00530508027353081</v>
      </c>
      <c r="G41" s="13">
        <v>-2.06001297302836</v>
      </c>
      <c r="H41" s="13">
        <v>0.0393973006248438</v>
      </c>
      <c r="I41" s="13">
        <v>2668210.0</v>
      </c>
      <c r="J41" s="31" t="s">
        <v>1792</v>
      </c>
      <c r="K41" s="31" t="s">
        <v>1793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13" t="s">
        <v>272</v>
      </c>
      <c r="B42" s="13" t="s">
        <v>404</v>
      </c>
      <c r="C42" s="13" t="s">
        <v>411</v>
      </c>
      <c r="D42" s="13" t="s">
        <v>1474</v>
      </c>
      <c r="E42" s="13">
        <v>0.00385056052567714</v>
      </c>
      <c r="F42" s="13">
        <v>0.00682976221812318</v>
      </c>
      <c r="G42" s="13">
        <v>0.563791300882986</v>
      </c>
      <c r="H42" s="13">
        <v>0.572896172762891</v>
      </c>
      <c r="I42" s="13">
        <v>946535.0</v>
      </c>
      <c r="J42" s="31" t="s">
        <v>1792</v>
      </c>
      <c r="K42" s="31" t="s">
        <v>1793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13" t="s">
        <v>130</v>
      </c>
      <c r="B43" s="13" t="s">
        <v>404</v>
      </c>
      <c r="C43" s="13" t="s">
        <v>411</v>
      </c>
      <c r="D43" s="13" t="s">
        <v>1474</v>
      </c>
      <c r="E43" s="13">
        <v>-0.00225258553667391</v>
      </c>
      <c r="F43" s="13">
        <v>0.00548742711913922</v>
      </c>
      <c r="G43" s="13">
        <v>-0.410499399402912</v>
      </c>
      <c r="H43" s="13">
        <v>0.681439643975726</v>
      </c>
      <c r="I43" s="13">
        <v>2429669.0</v>
      </c>
      <c r="J43" s="31" t="s">
        <v>1792</v>
      </c>
      <c r="K43" s="31" t="s">
        <v>1793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13" t="s">
        <v>237</v>
      </c>
      <c r="B44" s="13" t="s">
        <v>404</v>
      </c>
      <c r="C44" s="13" t="s">
        <v>411</v>
      </c>
      <c r="D44" s="13" t="s">
        <v>1474</v>
      </c>
      <c r="E44" s="13">
        <v>0.0086789491270991</v>
      </c>
      <c r="F44" s="13">
        <v>0.00612669265202928</v>
      </c>
      <c r="G44" s="13">
        <v>1.41657981231104</v>
      </c>
      <c r="H44" s="13">
        <v>0.156605814238577</v>
      </c>
      <c r="I44" s="13">
        <v>1496013.0</v>
      </c>
      <c r="J44" s="31" t="s">
        <v>1792</v>
      </c>
      <c r="K44" s="31" t="s">
        <v>1793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13" t="s">
        <v>28</v>
      </c>
      <c r="B45" s="13" t="s">
        <v>404</v>
      </c>
      <c r="C45" s="13" t="s">
        <v>411</v>
      </c>
      <c r="D45" s="13" t="s">
        <v>1474</v>
      </c>
      <c r="E45" s="13">
        <v>-0.00161214780460328</v>
      </c>
      <c r="F45" s="13">
        <v>0.00548084729177772</v>
      </c>
      <c r="G45" s="13">
        <v>-0.294142076722663</v>
      </c>
      <c r="H45" s="13">
        <v>0.768649339685401</v>
      </c>
      <c r="I45" s="13">
        <v>2667487.0</v>
      </c>
      <c r="J45" s="31" t="s">
        <v>1792</v>
      </c>
      <c r="K45" s="31" t="s">
        <v>1793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13" t="s">
        <v>323</v>
      </c>
      <c r="B46" s="13" t="s">
        <v>404</v>
      </c>
      <c r="C46" s="13" t="s">
        <v>411</v>
      </c>
      <c r="D46" s="13" t="s">
        <v>1474</v>
      </c>
      <c r="E46" s="13">
        <v>0.0337334043985598</v>
      </c>
      <c r="F46" s="13">
        <v>0.00941485197205677</v>
      </c>
      <c r="G46" s="13">
        <v>3.58299891476577</v>
      </c>
      <c r="H46" s="63">
        <v>3.39672019516132E-4</v>
      </c>
      <c r="I46" s="13">
        <v>348426.0</v>
      </c>
      <c r="J46" s="31" t="s">
        <v>1792</v>
      </c>
      <c r="K46" s="31" t="s">
        <v>1793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13" t="s">
        <v>331</v>
      </c>
      <c r="B47" s="13" t="s">
        <v>404</v>
      </c>
      <c r="C47" s="13" t="s">
        <v>411</v>
      </c>
      <c r="D47" s="13" t="s">
        <v>1474</v>
      </c>
      <c r="E47" s="13">
        <v>0.0396704269658354</v>
      </c>
      <c r="F47" s="13">
        <v>0.00985066111000513</v>
      </c>
      <c r="G47" s="13">
        <v>4.02718421868587</v>
      </c>
      <c r="H47" s="63">
        <v>5.64488048222316E-5</v>
      </c>
      <c r="I47" s="13">
        <v>309998.0</v>
      </c>
      <c r="J47" s="31" t="s">
        <v>1792</v>
      </c>
      <c r="K47" s="31" t="s">
        <v>1793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13" t="s">
        <v>137</v>
      </c>
      <c r="B48" s="13" t="s">
        <v>404</v>
      </c>
      <c r="C48" s="13" t="s">
        <v>411</v>
      </c>
      <c r="D48" s="13" t="s">
        <v>1474</v>
      </c>
      <c r="E48" s="13">
        <v>0.0254669530757982</v>
      </c>
      <c r="F48" s="13">
        <v>0.00536626221136267</v>
      </c>
      <c r="G48" s="13">
        <v>4.74575264359497</v>
      </c>
      <c r="H48" s="63">
        <v>2.07732446706854E-6</v>
      </c>
      <c r="I48" s="13">
        <v>2234598.0</v>
      </c>
      <c r="J48" s="31" t="s">
        <v>1792</v>
      </c>
      <c r="K48" s="31" t="s">
        <v>1793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13" t="s">
        <v>229</v>
      </c>
      <c r="B49" s="13" t="s">
        <v>404</v>
      </c>
      <c r="C49" s="13" t="s">
        <v>411</v>
      </c>
      <c r="D49" s="13" t="s">
        <v>1474</v>
      </c>
      <c r="E49" s="13">
        <v>-0.177387544483571</v>
      </c>
      <c r="F49" s="13">
        <v>0.00566754540557582</v>
      </c>
      <c r="G49" s="13">
        <v>-31.2988307617358</v>
      </c>
      <c r="H49" s="63">
        <v>4.84041837918967E-215</v>
      </c>
      <c r="I49" s="13">
        <v>1805296.0</v>
      </c>
      <c r="J49" s="31" t="s">
        <v>1792</v>
      </c>
      <c r="K49" s="31" t="s">
        <v>1793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13" t="s">
        <v>181</v>
      </c>
      <c r="B50" s="13" t="s">
        <v>404</v>
      </c>
      <c r="C50" s="13" t="s">
        <v>411</v>
      </c>
      <c r="D50" s="13" t="s">
        <v>1474</v>
      </c>
      <c r="E50" s="13">
        <v>-0.175877316149895</v>
      </c>
      <c r="F50" s="13">
        <v>0.00573903340142771</v>
      </c>
      <c r="G50" s="13">
        <v>-30.6458080739069</v>
      </c>
      <c r="H50" s="63">
        <v>3.00537908633829E-206</v>
      </c>
      <c r="I50" s="13">
        <v>1861261.0</v>
      </c>
      <c r="J50" s="31" t="s">
        <v>1792</v>
      </c>
      <c r="K50" s="31" t="s">
        <v>1793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13" t="s">
        <v>123</v>
      </c>
      <c r="B51" s="13" t="s">
        <v>404</v>
      </c>
      <c r="C51" s="13" t="s">
        <v>411</v>
      </c>
      <c r="D51" s="13" t="s">
        <v>1474</v>
      </c>
      <c r="E51" s="13">
        <v>0.00170737927608307</v>
      </c>
      <c r="F51" s="13">
        <v>0.00535052917102742</v>
      </c>
      <c r="G51" s="13">
        <v>0.319104750484934</v>
      </c>
      <c r="H51" s="13">
        <v>0.749647081471752</v>
      </c>
      <c r="I51" s="13">
        <v>2366360.0</v>
      </c>
      <c r="J51" s="31" t="s">
        <v>1792</v>
      </c>
      <c r="K51" s="31" t="s">
        <v>1793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13" t="s">
        <v>298</v>
      </c>
      <c r="B52" s="13" t="s">
        <v>404</v>
      </c>
      <c r="C52" s="13" t="s">
        <v>411</v>
      </c>
      <c r="D52" s="13" t="s">
        <v>1474</v>
      </c>
      <c r="E52" s="13">
        <v>0.0111793252628479</v>
      </c>
      <c r="F52" s="13">
        <v>0.00757833522782814</v>
      </c>
      <c r="G52" s="13">
        <v>1.47516900833269</v>
      </c>
      <c r="H52" s="13">
        <v>0.140167111294392</v>
      </c>
      <c r="I52" s="13">
        <v>733249.0</v>
      </c>
      <c r="J52" s="31" t="s">
        <v>1792</v>
      </c>
      <c r="K52" s="31" t="s">
        <v>1793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13" t="s">
        <v>289</v>
      </c>
      <c r="B53" s="13" t="s">
        <v>404</v>
      </c>
      <c r="C53" s="13" t="s">
        <v>411</v>
      </c>
      <c r="D53" s="13" t="s">
        <v>1474</v>
      </c>
      <c r="E53" s="13">
        <v>0.0189239768241817</v>
      </c>
      <c r="F53" s="13">
        <v>0.00711415805287888</v>
      </c>
      <c r="G53" s="13">
        <v>2.66004447518899</v>
      </c>
      <c r="H53" s="13">
        <v>0.00781303337433562</v>
      </c>
      <c r="I53" s="13">
        <v>780390.0</v>
      </c>
      <c r="J53" s="31" t="s">
        <v>1792</v>
      </c>
      <c r="K53" s="31" t="s">
        <v>1793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13" t="s">
        <v>173</v>
      </c>
      <c r="B54" s="13" t="s">
        <v>404</v>
      </c>
      <c r="C54" s="13" t="s">
        <v>411</v>
      </c>
      <c r="D54" s="13" t="s">
        <v>1474</v>
      </c>
      <c r="E54" s="13">
        <v>0.00711999651846256</v>
      </c>
      <c r="F54" s="13">
        <v>0.00561258792829325</v>
      </c>
      <c r="G54" s="13">
        <v>1.26857638747544</v>
      </c>
      <c r="H54" s="13">
        <v>0.204592190383344</v>
      </c>
      <c r="I54" s="13">
        <v>2244188.0</v>
      </c>
      <c r="J54" s="31" t="s">
        <v>1792</v>
      </c>
      <c r="K54" s="31" t="s">
        <v>1793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13" t="s">
        <v>198</v>
      </c>
      <c r="B55" s="13" t="s">
        <v>404</v>
      </c>
      <c r="C55" s="13" t="s">
        <v>411</v>
      </c>
      <c r="D55" s="13" t="s">
        <v>1474</v>
      </c>
      <c r="E55" s="13">
        <v>0.0316281667421608</v>
      </c>
      <c r="F55" s="13">
        <v>0.00578792422781633</v>
      </c>
      <c r="G55" s="13">
        <v>5.46450946786037</v>
      </c>
      <c r="H55" s="63">
        <v>4.64188607107175E-8</v>
      </c>
      <c r="I55" s="13">
        <v>1966637.0</v>
      </c>
      <c r="J55" s="31" t="s">
        <v>1792</v>
      </c>
      <c r="K55" s="31" t="s">
        <v>1793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13" t="s">
        <v>78</v>
      </c>
      <c r="B56" s="13" t="s">
        <v>404</v>
      </c>
      <c r="C56" s="13" t="s">
        <v>411</v>
      </c>
      <c r="D56" s="13" t="s">
        <v>1474</v>
      </c>
      <c r="E56" s="13">
        <v>0.0729331007007106</v>
      </c>
      <c r="F56" s="13">
        <v>0.00547021353157564</v>
      </c>
      <c r="G56" s="13">
        <v>13.3327703351468</v>
      </c>
      <c r="H56" s="63">
        <v>1.49250594695081E-40</v>
      </c>
      <c r="I56" s="13">
        <v>2643931.0</v>
      </c>
      <c r="J56" s="31" t="s">
        <v>1792</v>
      </c>
      <c r="K56" s="31" t="s">
        <v>1793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13" t="s">
        <v>234</v>
      </c>
      <c r="B57" s="13" t="s">
        <v>404</v>
      </c>
      <c r="C57" s="13" t="s">
        <v>411</v>
      </c>
      <c r="D57" s="13" t="s">
        <v>1474</v>
      </c>
      <c r="E57" s="13">
        <v>0.08110596778464</v>
      </c>
      <c r="F57" s="13">
        <v>0.00626877932749701</v>
      </c>
      <c r="G57" s="13">
        <v>12.9380798952168</v>
      </c>
      <c r="H57" s="63">
        <v>2.74402100489969E-38</v>
      </c>
      <c r="I57" s="13">
        <v>1503068.0</v>
      </c>
      <c r="J57" s="31" t="s">
        <v>1792</v>
      </c>
      <c r="K57" s="31" t="s">
        <v>1793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13" t="s">
        <v>97</v>
      </c>
      <c r="B58" s="13" t="s">
        <v>404</v>
      </c>
      <c r="C58" s="13" t="s">
        <v>411</v>
      </c>
      <c r="D58" s="13" t="s">
        <v>1474</v>
      </c>
      <c r="E58" s="13">
        <v>0.0190939369991308</v>
      </c>
      <c r="F58" s="13">
        <v>0.00529244642680637</v>
      </c>
      <c r="G58" s="13">
        <v>3.60777142729675</v>
      </c>
      <c r="H58" s="63">
        <v>3.08838380384598E-4</v>
      </c>
      <c r="I58" s="13">
        <v>2645032.0</v>
      </c>
      <c r="J58" s="31" t="s">
        <v>1792</v>
      </c>
      <c r="K58" s="31" t="s">
        <v>1793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13" t="s">
        <v>313</v>
      </c>
      <c r="B59" s="13" t="s">
        <v>404</v>
      </c>
      <c r="C59" s="13" t="s">
        <v>411</v>
      </c>
      <c r="D59" s="13" t="s">
        <v>1474</v>
      </c>
      <c r="E59" s="13">
        <v>-0.00242480140446305</v>
      </c>
      <c r="F59" s="13">
        <v>0.00914806937405989</v>
      </c>
      <c r="G59" s="13">
        <v>-0.265061545263176</v>
      </c>
      <c r="H59" s="13">
        <v>0.790962050501342</v>
      </c>
      <c r="I59" s="13">
        <v>430549.0</v>
      </c>
      <c r="J59" s="31" t="s">
        <v>1792</v>
      </c>
      <c r="K59" s="31" t="s">
        <v>1793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13" t="s">
        <v>347</v>
      </c>
      <c r="B60" s="13" t="s">
        <v>404</v>
      </c>
      <c r="C60" s="13" t="s">
        <v>411</v>
      </c>
      <c r="D60" s="13" t="s">
        <v>1474</v>
      </c>
      <c r="E60" s="13">
        <v>0.0187606098450389</v>
      </c>
      <c r="F60" s="13">
        <v>0.0147722414897085</v>
      </c>
      <c r="G60" s="13">
        <v>1.26999073621352</v>
      </c>
      <c r="H60" s="13">
        <v>0.20408793000092</v>
      </c>
      <c r="I60" s="13">
        <v>146485.0</v>
      </c>
      <c r="J60" s="31" t="s">
        <v>1792</v>
      </c>
      <c r="K60" s="31" t="s">
        <v>1793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13" t="s">
        <v>404</v>
      </c>
      <c r="B61" s="13" t="s">
        <v>189</v>
      </c>
      <c r="C61" s="13" t="s">
        <v>411</v>
      </c>
      <c r="D61" s="13" t="s">
        <v>1474</v>
      </c>
      <c r="E61" s="13">
        <v>0.175101468285005</v>
      </c>
      <c r="F61" s="13">
        <v>0.0050412656603976</v>
      </c>
      <c r="G61" s="13">
        <v>34.7336324011925</v>
      </c>
      <c r="H61" s="63">
        <v>2.44862752014888E-264</v>
      </c>
      <c r="I61" s="13">
        <v>2292943.0</v>
      </c>
      <c r="J61" s="31" t="s">
        <v>1795</v>
      </c>
      <c r="K61" s="31" t="s">
        <v>1793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13" t="s">
        <v>166</v>
      </c>
      <c r="B62" s="13" t="s">
        <v>189</v>
      </c>
      <c r="C62" s="13" t="s">
        <v>411</v>
      </c>
      <c r="D62" s="13" t="s">
        <v>1474</v>
      </c>
      <c r="E62" s="13">
        <v>0.178551472367759</v>
      </c>
      <c r="F62" s="13">
        <v>0.00528517187001634</v>
      </c>
      <c r="G62" s="13">
        <v>33.7834751185125</v>
      </c>
      <c r="H62" s="63">
        <v>3.44884815825676E-250</v>
      </c>
      <c r="I62" s="13">
        <v>1885329.0</v>
      </c>
      <c r="J62" s="31" t="s">
        <v>1795</v>
      </c>
      <c r="K62" s="31" t="s">
        <v>1793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13" t="s">
        <v>1794</v>
      </c>
      <c r="B63" s="13" t="s">
        <v>189</v>
      </c>
      <c r="C63" s="13" t="s">
        <v>411</v>
      </c>
      <c r="D63" s="13" t="s">
        <v>1474</v>
      </c>
      <c r="E63" s="13">
        <v>0.177138363485809</v>
      </c>
      <c r="F63" s="13">
        <v>0.0050798766264941</v>
      </c>
      <c r="G63" s="13">
        <v>34.8706034634668</v>
      </c>
      <c r="H63" s="63">
        <v>2.07484313207808E-266</v>
      </c>
      <c r="I63" s="13">
        <v>2098376.0</v>
      </c>
      <c r="J63" s="31" t="s">
        <v>1795</v>
      </c>
      <c r="K63" s="31" t="s">
        <v>1793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13" t="s">
        <v>56</v>
      </c>
      <c r="B64" s="13" t="s">
        <v>189</v>
      </c>
      <c r="C64" s="13" t="s">
        <v>411</v>
      </c>
      <c r="D64" s="13" t="s">
        <v>1474</v>
      </c>
      <c r="E64" s="13">
        <v>0.168913974980952</v>
      </c>
      <c r="F64" s="13">
        <v>0.00506888548009284</v>
      </c>
      <c r="G64" s="13">
        <v>33.3236913014375</v>
      </c>
      <c r="H64" s="63">
        <v>1.75245589225281E-243</v>
      </c>
      <c r="I64" s="13">
        <v>2298001.0</v>
      </c>
      <c r="J64" s="31" t="s">
        <v>1795</v>
      </c>
      <c r="K64" s="31" t="s">
        <v>1793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13" t="s">
        <v>272</v>
      </c>
      <c r="B65" s="13" t="s">
        <v>189</v>
      </c>
      <c r="C65" s="13" t="s">
        <v>411</v>
      </c>
      <c r="D65" s="13" t="s">
        <v>1474</v>
      </c>
      <c r="E65" s="13">
        <v>0.187964668998183</v>
      </c>
      <c r="F65" s="13">
        <v>0.00625253905219305</v>
      </c>
      <c r="G65" s="13">
        <v>30.0621343472066</v>
      </c>
      <c r="H65" s="63">
        <v>1.51547124332803E-198</v>
      </c>
      <c r="I65" s="13">
        <v>849876.0</v>
      </c>
      <c r="J65" s="31" t="s">
        <v>1795</v>
      </c>
      <c r="K65" s="31" t="s">
        <v>1793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13" t="s">
        <v>130</v>
      </c>
      <c r="B66" s="13" t="s">
        <v>189</v>
      </c>
      <c r="C66" s="13" t="s">
        <v>411</v>
      </c>
      <c r="D66" s="13" t="s">
        <v>1474</v>
      </c>
      <c r="E66" s="13">
        <v>0.177870144228803</v>
      </c>
      <c r="F66" s="13">
        <v>0.00506013699477465</v>
      </c>
      <c r="G66" s="13">
        <v>35.1512507294724</v>
      </c>
      <c r="H66" s="63">
        <v>1.11238009200541E-270</v>
      </c>
      <c r="I66" s="13">
        <v>2122363.0</v>
      </c>
      <c r="J66" s="31" t="s">
        <v>1795</v>
      </c>
      <c r="K66" s="31" t="s">
        <v>1793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13" t="s">
        <v>237</v>
      </c>
      <c r="B67" s="13" t="s">
        <v>189</v>
      </c>
      <c r="C67" s="13" t="s">
        <v>411</v>
      </c>
      <c r="D67" s="13" t="s">
        <v>1474</v>
      </c>
      <c r="E67" s="13">
        <v>0.186061778469781</v>
      </c>
      <c r="F67" s="13">
        <v>0.00570033647728649</v>
      </c>
      <c r="G67" s="13">
        <v>32.6404904712487</v>
      </c>
      <c r="H67" s="63">
        <v>1.0933389114245E-233</v>
      </c>
      <c r="I67" s="13">
        <v>1339910.0</v>
      </c>
      <c r="J67" s="31" t="s">
        <v>1795</v>
      </c>
      <c r="K67" s="31" t="s">
        <v>1793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13" t="s">
        <v>28</v>
      </c>
      <c r="B68" s="13" t="s">
        <v>189</v>
      </c>
      <c r="C68" s="13" t="s">
        <v>411</v>
      </c>
      <c r="D68" s="13" t="s">
        <v>1474</v>
      </c>
      <c r="E68" s="13">
        <v>0.174876725372828</v>
      </c>
      <c r="F68" s="13">
        <v>0.00494876601133034</v>
      </c>
      <c r="G68" s="13">
        <v>35.3374406816653</v>
      </c>
      <c r="H68" s="63">
        <v>1.5633638464224E-273</v>
      </c>
      <c r="I68" s="13">
        <v>2297727.0</v>
      </c>
      <c r="J68" s="31" t="s">
        <v>1795</v>
      </c>
      <c r="K68" s="31" t="s">
        <v>1793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13" t="s">
        <v>323</v>
      </c>
      <c r="B69" s="13" t="s">
        <v>189</v>
      </c>
      <c r="C69" s="13" t="s">
        <v>411</v>
      </c>
      <c r="D69" s="13" t="s">
        <v>1474</v>
      </c>
      <c r="E69" s="13">
        <v>0.202899253954685</v>
      </c>
      <c r="F69" s="13">
        <v>0.00820518682736647</v>
      </c>
      <c r="G69" s="13">
        <v>24.7281699032083</v>
      </c>
      <c r="H69" s="63">
        <v>5.32509742700778E-135</v>
      </c>
      <c r="I69" s="13">
        <v>325525.0</v>
      </c>
      <c r="J69" s="31" t="s">
        <v>1795</v>
      </c>
      <c r="K69" s="31" t="s">
        <v>1793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13" t="s">
        <v>331</v>
      </c>
      <c r="B70" s="13" t="s">
        <v>189</v>
      </c>
      <c r="C70" s="13" t="s">
        <v>411</v>
      </c>
      <c r="D70" s="13" t="s">
        <v>1474</v>
      </c>
      <c r="E70" s="13">
        <v>0.209081619596454</v>
      </c>
      <c r="F70" s="13">
        <v>0.00899309061337878</v>
      </c>
      <c r="G70" s="13">
        <v>23.2491396545486</v>
      </c>
      <c r="H70" s="63">
        <v>1.45132606490149E-119</v>
      </c>
      <c r="I70" s="13">
        <v>290932.0</v>
      </c>
      <c r="J70" s="31" t="s">
        <v>1795</v>
      </c>
      <c r="K70" s="31" t="s">
        <v>1793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13" t="s">
        <v>137</v>
      </c>
      <c r="B71" s="13" t="s">
        <v>189</v>
      </c>
      <c r="C71" s="13" t="s">
        <v>411</v>
      </c>
      <c r="D71" s="13" t="s">
        <v>1474</v>
      </c>
      <c r="E71" s="13">
        <v>0.189117196996639</v>
      </c>
      <c r="F71" s="13">
        <v>0.0049875768061922</v>
      </c>
      <c r="G71" s="13">
        <v>37.917651064911</v>
      </c>
      <c r="H71" s="13">
        <v>0.0</v>
      </c>
      <c r="I71" s="13">
        <v>1997510.0</v>
      </c>
      <c r="J71" s="31" t="s">
        <v>1795</v>
      </c>
      <c r="K71" s="31" t="s">
        <v>1793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13" t="s">
        <v>123</v>
      </c>
      <c r="B72" s="13" t="s">
        <v>189</v>
      </c>
      <c r="C72" s="13" t="s">
        <v>411</v>
      </c>
      <c r="D72" s="13" t="s">
        <v>1474</v>
      </c>
      <c r="E72" s="13">
        <v>0.179969755969157</v>
      </c>
      <c r="F72" s="13">
        <v>0.00504318847767946</v>
      </c>
      <c r="G72" s="13">
        <v>35.6857089053248</v>
      </c>
      <c r="H72" s="63">
        <v>6.58639090763323E-279</v>
      </c>
      <c r="I72" s="13">
        <v>2110103.0</v>
      </c>
      <c r="J72" s="31" t="s">
        <v>1795</v>
      </c>
      <c r="K72" s="31" t="s">
        <v>1793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13" t="s">
        <v>298</v>
      </c>
      <c r="B73" s="13" t="s">
        <v>189</v>
      </c>
      <c r="C73" s="13" t="s">
        <v>411</v>
      </c>
      <c r="D73" s="13" t="s">
        <v>1474</v>
      </c>
      <c r="E73" s="13">
        <v>0.185401582436083</v>
      </c>
      <c r="F73" s="13">
        <v>0.00669619298667901</v>
      </c>
      <c r="G73" s="13">
        <v>27.6876103787494</v>
      </c>
      <c r="H73" s="63">
        <v>9.8445682686972E-169</v>
      </c>
      <c r="I73" s="13">
        <v>679588.0</v>
      </c>
      <c r="J73" s="31" t="s">
        <v>1795</v>
      </c>
      <c r="K73" s="31" t="s">
        <v>1793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13" t="s">
        <v>289</v>
      </c>
      <c r="B74" s="13" t="s">
        <v>189</v>
      </c>
      <c r="C74" s="13" t="s">
        <v>411</v>
      </c>
      <c r="D74" s="13" t="s">
        <v>1474</v>
      </c>
      <c r="E74" s="13">
        <v>0.195222251924164</v>
      </c>
      <c r="F74" s="13">
        <v>0.00661177852000912</v>
      </c>
      <c r="G74" s="13">
        <v>29.5264354868158</v>
      </c>
      <c r="H74" s="63">
        <v>1.31828992162955E-191</v>
      </c>
      <c r="I74" s="13">
        <v>718128.0</v>
      </c>
      <c r="J74" s="31" t="s">
        <v>1795</v>
      </c>
      <c r="K74" s="31" t="s">
        <v>1793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13" t="s">
        <v>173</v>
      </c>
      <c r="B75" s="13" t="s">
        <v>189</v>
      </c>
      <c r="C75" s="13" t="s">
        <v>411</v>
      </c>
      <c r="D75" s="13" t="s">
        <v>1474</v>
      </c>
      <c r="E75" s="13">
        <v>0.185508935682486</v>
      </c>
      <c r="F75" s="13">
        <v>0.00517196396987698</v>
      </c>
      <c r="G75" s="13">
        <v>35.868180204453</v>
      </c>
      <c r="H75" s="63">
        <v>9.57736922191064E-282</v>
      </c>
      <c r="I75" s="13">
        <v>2002088.0</v>
      </c>
      <c r="J75" s="31" t="s">
        <v>1795</v>
      </c>
      <c r="K75" s="31" t="s">
        <v>1793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13" t="s">
        <v>198</v>
      </c>
      <c r="B76" s="13" t="s">
        <v>189</v>
      </c>
      <c r="C76" s="13" t="s">
        <v>411</v>
      </c>
      <c r="D76" s="13" t="s">
        <v>1474</v>
      </c>
      <c r="E76" s="13">
        <v>0.19743304357667</v>
      </c>
      <c r="F76" s="13">
        <v>0.00528605360093462</v>
      </c>
      <c r="G76" s="13">
        <v>37.3497997715653</v>
      </c>
      <c r="H76" s="63">
        <v>2.55447675460857E-305</v>
      </c>
      <c r="I76" s="13">
        <v>1779578.0</v>
      </c>
      <c r="J76" s="31" t="s">
        <v>1795</v>
      </c>
      <c r="K76" s="31" t="s">
        <v>1793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13" t="s">
        <v>78</v>
      </c>
      <c r="B77" s="13" t="s">
        <v>189</v>
      </c>
      <c r="C77" s="13" t="s">
        <v>411</v>
      </c>
      <c r="D77" s="13" t="s">
        <v>1474</v>
      </c>
      <c r="E77" s="13">
        <v>0.227394676432202</v>
      </c>
      <c r="F77" s="13">
        <v>0.00510263507263243</v>
      </c>
      <c r="G77" s="13">
        <v>44.5641660035253</v>
      </c>
      <c r="H77" s="13">
        <v>0.0</v>
      </c>
      <c r="I77" s="13">
        <v>2292207.0</v>
      </c>
      <c r="J77" s="31" t="s">
        <v>1795</v>
      </c>
      <c r="K77" s="31" t="s">
        <v>1793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13" t="s">
        <v>234</v>
      </c>
      <c r="B78" s="13" t="s">
        <v>189</v>
      </c>
      <c r="C78" s="13" t="s">
        <v>411</v>
      </c>
      <c r="D78" s="13" t="s">
        <v>1474</v>
      </c>
      <c r="E78" s="13">
        <v>0.23231033707339</v>
      </c>
      <c r="F78" s="13">
        <v>0.00569979713890237</v>
      </c>
      <c r="G78" s="13">
        <v>40.7576500377216</v>
      </c>
      <c r="H78" s="13">
        <v>0.0</v>
      </c>
      <c r="I78" s="13">
        <v>1363665.0</v>
      </c>
      <c r="J78" s="31" t="s">
        <v>1795</v>
      </c>
      <c r="K78" s="31" t="s">
        <v>1793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13" t="s">
        <v>97</v>
      </c>
      <c r="B79" s="13" t="s">
        <v>189</v>
      </c>
      <c r="C79" s="13" t="s">
        <v>411</v>
      </c>
      <c r="D79" s="13" t="s">
        <v>1474</v>
      </c>
      <c r="E79" s="13">
        <v>0.192278813426252</v>
      </c>
      <c r="F79" s="13">
        <v>0.00504566310490741</v>
      </c>
      <c r="G79" s="13">
        <v>38.1077391471582</v>
      </c>
      <c r="H79" s="13">
        <v>0.0</v>
      </c>
      <c r="I79" s="13">
        <v>2288446.0</v>
      </c>
      <c r="J79" s="31" t="s">
        <v>1795</v>
      </c>
      <c r="K79" s="31" t="s">
        <v>1793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13" t="s">
        <v>313</v>
      </c>
      <c r="B80" s="13" t="s">
        <v>189</v>
      </c>
      <c r="C80" s="13" t="s">
        <v>411</v>
      </c>
      <c r="D80" s="13" t="s">
        <v>1474</v>
      </c>
      <c r="E80" s="13">
        <v>0.178701170152753</v>
      </c>
      <c r="F80" s="13">
        <v>0.00795154017390954</v>
      </c>
      <c r="G80" s="13">
        <v>22.4737807071772</v>
      </c>
      <c r="H80" s="63">
        <v>7.4933044602676E-112</v>
      </c>
      <c r="I80" s="13">
        <v>399419.0</v>
      </c>
      <c r="J80" s="31" t="s">
        <v>1795</v>
      </c>
      <c r="K80" s="31" t="s">
        <v>1793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13" t="s">
        <v>347</v>
      </c>
      <c r="B81" s="13" t="s">
        <v>189</v>
      </c>
      <c r="C81" s="13" t="s">
        <v>411</v>
      </c>
      <c r="D81" s="13" t="s">
        <v>1474</v>
      </c>
      <c r="E81" s="13">
        <v>0.198386290770534</v>
      </c>
      <c r="F81" s="13">
        <v>0.0127523819497808</v>
      </c>
      <c r="G81" s="13">
        <v>15.5568027645175</v>
      </c>
      <c r="H81" s="63">
        <v>1.43069361170594E-54</v>
      </c>
      <c r="I81" s="13">
        <v>135600.0</v>
      </c>
      <c r="J81" s="31" t="s">
        <v>1795</v>
      </c>
      <c r="K81" s="31" t="s">
        <v>1793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13" t="s">
        <v>548</v>
      </c>
      <c r="B82" s="13" t="s">
        <v>411</v>
      </c>
      <c r="C82" s="13" t="s">
        <v>570</v>
      </c>
      <c r="D82" s="13" t="s">
        <v>1474</v>
      </c>
      <c r="E82" s="13">
        <v>0.0330389646146029</v>
      </c>
      <c r="F82" s="13">
        <v>0.0383823244780985</v>
      </c>
      <c r="G82" s="13">
        <v>0.860785923308407</v>
      </c>
      <c r="H82" s="13">
        <v>0.389355959314549</v>
      </c>
      <c r="I82" s="13">
        <v>18393.0</v>
      </c>
      <c r="J82" s="31" t="s">
        <v>1796</v>
      </c>
      <c r="K82" s="31" t="s">
        <v>1793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13" t="s">
        <v>548</v>
      </c>
      <c r="B83" s="13" t="s">
        <v>411</v>
      </c>
      <c r="C83" s="13" t="s">
        <v>42</v>
      </c>
      <c r="D83" s="13" t="s">
        <v>1474</v>
      </c>
      <c r="E83" s="13">
        <v>0.0201620458327516</v>
      </c>
      <c r="F83" s="13">
        <v>0.00835570241953108</v>
      </c>
      <c r="G83" s="13">
        <v>2.41296839217536</v>
      </c>
      <c r="H83" s="13">
        <v>0.0158231917043243</v>
      </c>
      <c r="I83" s="13">
        <v>276433.0</v>
      </c>
      <c r="J83" s="31" t="s">
        <v>1796</v>
      </c>
      <c r="K83" s="31" t="s">
        <v>1793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13" t="s">
        <v>548</v>
      </c>
      <c r="B84" s="13" t="s">
        <v>411</v>
      </c>
      <c r="C84" s="13" t="s">
        <v>55</v>
      </c>
      <c r="D84" s="13" t="s">
        <v>1474</v>
      </c>
      <c r="E84" s="13">
        <v>0.0157879271858538</v>
      </c>
      <c r="F84" s="13">
        <v>0.009854620750911</v>
      </c>
      <c r="G84" s="13">
        <v>1.60208369098266</v>
      </c>
      <c r="H84" s="13">
        <v>0.109137103939224</v>
      </c>
      <c r="I84" s="13">
        <v>276327.0</v>
      </c>
      <c r="J84" s="31" t="s">
        <v>1796</v>
      </c>
      <c r="K84" s="31" t="s">
        <v>1793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13" t="s">
        <v>548</v>
      </c>
      <c r="B85" s="13" t="s">
        <v>411</v>
      </c>
      <c r="C85" s="13" t="s">
        <v>1797</v>
      </c>
      <c r="D85" s="13" t="s">
        <v>1474</v>
      </c>
      <c r="E85" s="13">
        <v>0.012435333147114</v>
      </c>
      <c r="F85" s="13">
        <v>0.010294893723042</v>
      </c>
      <c r="G85" s="13">
        <v>1.20791272660554</v>
      </c>
      <c r="H85" s="13">
        <v>0.227080833763783</v>
      </c>
      <c r="I85" s="13">
        <v>276422.0</v>
      </c>
      <c r="J85" s="31" t="s">
        <v>1796</v>
      </c>
      <c r="K85" s="31" t="s">
        <v>1793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13" t="s">
        <v>729</v>
      </c>
      <c r="B86" s="13" t="s">
        <v>411</v>
      </c>
      <c r="C86" s="13" t="s">
        <v>570</v>
      </c>
      <c r="D86" s="13" t="s">
        <v>1474</v>
      </c>
      <c r="E86" s="13">
        <v>-0.763586646592863</v>
      </c>
      <c r="F86" s="13">
        <v>0.00477134414900741</v>
      </c>
      <c r="G86" s="13">
        <v>-160.035961093209</v>
      </c>
      <c r="H86" s="13">
        <v>0.0</v>
      </c>
      <c r="I86" s="13">
        <v>168807.0</v>
      </c>
      <c r="J86" s="31" t="s">
        <v>1796</v>
      </c>
      <c r="K86" s="31" t="s">
        <v>1793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13" t="s">
        <v>729</v>
      </c>
      <c r="B87" s="13" t="s">
        <v>411</v>
      </c>
      <c r="C87" s="13" t="s">
        <v>42</v>
      </c>
      <c r="D87" s="13" t="s">
        <v>1474</v>
      </c>
      <c r="E87" s="13">
        <v>-0.772268239538459</v>
      </c>
      <c r="F87" s="13">
        <v>0.00224519077164785</v>
      </c>
      <c r="G87" s="13">
        <v>-343.965532591092</v>
      </c>
      <c r="H87" s="13">
        <v>0.0</v>
      </c>
      <c r="I87" s="13">
        <v>2815102.0</v>
      </c>
      <c r="J87" s="31" t="s">
        <v>1796</v>
      </c>
      <c r="K87" s="31" t="s">
        <v>1793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13" t="s">
        <v>729</v>
      </c>
      <c r="B88" s="13" t="s">
        <v>411</v>
      </c>
      <c r="C88" s="13" t="s">
        <v>55</v>
      </c>
      <c r="D88" s="13" t="s">
        <v>1474</v>
      </c>
      <c r="E88" s="13">
        <v>-0.680773928870293</v>
      </c>
      <c r="F88" s="13">
        <v>0.00295068858376262</v>
      </c>
      <c r="G88" s="13">
        <v>-230.716969800382</v>
      </c>
      <c r="H88" s="13">
        <v>0.0</v>
      </c>
      <c r="I88" s="13">
        <v>2809487.0</v>
      </c>
      <c r="J88" s="31" t="s">
        <v>1796</v>
      </c>
      <c r="K88" s="31" t="s">
        <v>1793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13" t="s">
        <v>729</v>
      </c>
      <c r="B89" s="13" t="s">
        <v>411</v>
      </c>
      <c r="C89" s="13" t="s">
        <v>1797</v>
      </c>
      <c r="D89" s="13" t="s">
        <v>1474</v>
      </c>
      <c r="E89" s="13">
        <v>0.284696170397377</v>
      </c>
      <c r="F89" s="13">
        <v>0.00599568338886328</v>
      </c>
      <c r="G89" s="13">
        <v>47.4835230502978</v>
      </c>
      <c r="H89" s="13">
        <v>0.0</v>
      </c>
      <c r="I89" s="13">
        <v>2815800.0</v>
      </c>
      <c r="J89" s="31" t="s">
        <v>1796</v>
      </c>
      <c r="K89" s="31" t="s">
        <v>1793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13" t="s">
        <v>738</v>
      </c>
      <c r="B90" s="13" t="s">
        <v>411</v>
      </c>
      <c r="C90" s="13" t="s">
        <v>570</v>
      </c>
      <c r="D90" s="13" t="s">
        <v>1474</v>
      </c>
      <c r="E90" s="13">
        <v>-0.0238409148174282</v>
      </c>
      <c r="F90" s="13">
        <v>0.0126235121457151</v>
      </c>
      <c r="G90" s="13">
        <v>-1.88861186508388</v>
      </c>
      <c r="H90" s="13">
        <v>0.05894385596201</v>
      </c>
      <c r="I90" s="13">
        <v>168876.0</v>
      </c>
      <c r="J90" s="31" t="s">
        <v>1796</v>
      </c>
      <c r="K90" s="31" t="s">
        <v>1793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13" t="s">
        <v>738</v>
      </c>
      <c r="B91" s="13" t="s">
        <v>411</v>
      </c>
      <c r="C91" s="13" t="s">
        <v>42</v>
      </c>
      <c r="D91" s="13" t="s">
        <v>1474</v>
      </c>
      <c r="E91" s="13">
        <v>0.0191911941109713</v>
      </c>
      <c r="F91" s="13">
        <v>0.0047650945465482</v>
      </c>
      <c r="G91" s="13">
        <v>4.02745295471068</v>
      </c>
      <c r="H91" s="63">
        <v>5.63843447465718E-5</v>
      </c>
      <c r="I91" s="13">
        <v>2819313.0</v>
      </c>
      <c r="J91" s="31" t="s">
        <v>1796</v>
      </c>
      <c r="K91" s="31" t="s">
        <v>1793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13" t="s">
        <v>738</v>
      </c>
      <c r="B92" s="13" t="s">
        <v>411</v>
      </c>
      <c r="C92" s="13" t="s">
        <v>55</v>
      </c>
      <c r="D92" s="13" t="s">
        <v>1474</v>
      </c>
      <c r="E92" s="13">
        <v>-0.0433296584524721</v>
      </c>
      <c r="F92" s="13">
        <v>0.00531469336553391</v>
      </c>
      <c r="G92" s="13">
        <v>-8.15280496396414</v>
      </c>
      <c r="H92" s="63">
        <v>3.5557882690357E-16</v>
      </c>
      <c r="I92" s="13">
        <v>2813280.0</v>
      </c>
      <c r="J92" s="31" t="s">
        <v>1796</v>
      </c>
      <c r="K92" s="31" t="s">
        <v>1793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13" t="s">
        <v>738</v>
      </c>
      <c r="B93" s="13" t="s">
        <v>411</v>
      </c>
      <c r="C93" s="13" t="s">
        <v>1797</v>
      </c>
      <c r="D93" s="13" t="s">
        <v>1474</v>
      </c>
      <c r="E93" s="13">
        <v>-0.0263781001371554</v>
      </c>
      <c r="F93" s="13">
        <v>0.00476901390520219</v>
      </c>
      <c r="G93" s="13">
        <v>-5.53114347357666</v>
      </c>
      <c r="H93" s="63">
        <v>3.18149962305149E-8</v>
      </c>
      <c r="I93" s="13">
        <v>2820117.0</v>
      </c>
      <c r="J93" s="31" t="s">
        <v>1796</v>
      </c>
      <c r="K93" s="31" t="s">
        <v>1793</v>
      </c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13" t="s">
        <v>752</v>
      </c>
      <c r="B94" s="13" t="s">
        <v>411</v>
      </c>
      <c r="C94" s="13" t="s">
        <v>570</v>
      </c>
      <c r="D94" s="13" t="s">
        <v>1474</v>
      </c>
      <c r="E94" s="13">
        <v>-0.0606278811634245</v>
      </c>
      <c r="F94" s="13">
        <v>0.0127768133171009</v>
      </c>
      <c r="G94" s="13">
        <v>-4.74514886135793</v>
      </c>
      <c r="H94" s="63">
        <v>2.08353052828065E-6</v>
      </c>
      <c r="I94" s="13">
        <v>168831.0</v>
      </c>
      <c r="J94" s="31" t="s">
        <v>1796</v>
      </c>
      <c r="K94" s="31" t="s">
        <v>1793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13" t="s">
        <v>752</v>
      </c>
      <c r="B95" s="13" t="s">
        <v>411</v>
      </c>
      <c r="C95" s="13" t="s">
        <v>42</v>
      </c>
      <c r="D95" s="13" t="s">
        <v>1474</v>
      </c>
      <c r="E95" s="13">
        <v>0.0305806115941863</v>
      </c>
      <c r="F95" s="13">
        <v>0.00496443188843821</v>
      </c>
      <c r="G95" s="13">
        <v>6.15994181839946</v>
      </c>
      <c r="H95" s="63">
        <v>7.27716756661741E-10</v>
      </c>
      <c r="I95" s="13">
        <v>2818767.0</v>
      </c>
      <c r="J95" s="31" t="s">
        <v>1796</v>
      </c>
      <c r="K95" s="31" t="s">
        <v>1793</v>
      </c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13" t="s">
        <v>752</v>
      </c>
      <c r="B96" s="13" t="s">
        <v>411</v>
      </c>
      <c r="C96" s="13" t="s">
        <v>55</v>
      </c>
      <c r="D96" s="13" t="s">
        <v>1474</v>
      </c>
      <c r="E96" s="13">
        <v>-0.0428794951619782</v>
      </c>
      <c r="F96" s="13">
        <v>0.00563211718673332</v>
      </c>
      <c r="G96" s="13">
        <v>-7.61338831212223</v>
      </c>
      <c r="H96" s="63">
        <v>2.67002059767034E-14</v>
      </c>
      <c r="I96" s="13">
        <v>2812745.0</v>
      </c>
      <c r="J96" s="31" t="s">
        <v>1796</v>
      </c>
      <c r="K96" s="31" t="s">
        <v>1793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13" t="s">
        <v>752</v>
      </c>
      <c r="B97" s="13" t="s">
        <v>411</v>
      </c>
      <c r="C97" s="13" t="s">
        <v>1797</v>
      </c>
      <c r="D97" s="13" t="s">
        <v>1474</v>
      </c>
      <c r="E97" s="13">
        <v>-0.0329596908120637</v>
      </c>
      <c r="F97" s="13">
        <v>0.00520620522232245</v>
      </c>
      <c r="G97" s="13">
        <v>-6.33084740316107</v>
      </c>
      <c r="H97" s="63">
        <v>2.4381838853496E-10</v>
      </c>
      <c r="I97" s="13">
        <v>2819568.0</v>
      </c>
      <c r="J97" s="31" t="s">
        <v>1796</v>
      </c>
      <c r="K97" s="31" t="s">
        <v>1793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13" t="s">
        <v>757</v>
      </c>
      <c r="B98" s="13" t="s">
        <v>411</v>
      </c>
      <c r="C98" s="13" t="s">
        <v>570</v>
      </c>
      <c r="D98" s="13" t="s">
        <v>1474</v>
      </c>
      <c r="E98" s="13">
        <v>-0.0590674715145468</v>
      </c>
      <c r="F98" s="13">
        <v>0.0122860744179406</v>
      </c>
      <c r="G98" s="13">
        <v>-4.80767652101259</v>
      </c>
      <c r="H98" s="63">
        <v>1.52694574650883E-6</v>
      </c>
      <c r="I98" s="13">
        <v>168900.0</v>
      </c>
      <c r="J98" s="31" t="s">
        <v>1796</v>
      </c>
      <c r="K98" s="31" t="s">
        <v>1793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13" t="s">
        <v>757</v>
      </c>
      <c r="B99" s="13" t="s">
        <v>411</v>
      </c>
      <c r="C99" s="13" t="s">
        <v>42</v>
      </c>
      <c r="D99" s="13" t="s">
        <v>1474</v>
      </c>
      <c r="E99" s="13">
        <v>0.0382012266318994</v>
      </c>
      <c r="F99" s="13">
        <v>0.0045069965536904</v>
      </c>
      <c r="G99" s="13">
        <v>8.47598310245425</v>
      </c>
      <c r="H99" s="63">
        <v>2.33102592315229E-17</v>
      </c>
      <c r="I99" s="13">
        <v>2820031.0</v>
      </c>
      <c r="J99" s="31" t="s">
        <v>1796</v>
      </c>
      <c r="K99" s="31" t="s">
        <v>1793</v>
      </c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13" t="s">
        <v>757</v>
      </c>
      <c r="B100" s="13" t="s">
        <v>411</v>
      </c>
      <c r="C100" s="13" t="s">
        <v>55</v>
      </c>
      <c r="D100" s="13" t="s">
        <v>1474</v>
      </c>
      <c r="E100" s="13">
        <v>-0.0453140950753919</v>
      </c>
      <c r="F100" s="13">
        <v>0.00495283714798664</v>
      </c>
      <c r="G100" s="13">
        <v>-9.14911872154174</v>
      </c>
      <c r="H100" s="63">
        <v>5.73998804348484E-20</v>
      </c>
      <c r="I100" s="13">
        <v>2813992.0</v>
      </c>
      <c r="J100" s="31" t="s">
        <v>1796</v>
      </c>
      <c r="K100" s="31" t="s">
        <v>1793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13" t="s">
        <v>757</v>
      </c>
      <c r="B101" s="13" t="s">
        <v>411</v>
      </c>
      <c r="C101" s="13" t="s">
        <v>1797</v>
      </c>
      <c r="D101" s="13" t="s">
        <v>1474</v>
      </c>
      <c r="E101" s="13">
        <v>-0.0290078324225645</v>
      </c>
      <c r="F101" s="13">
        <v>0.00462344169598973</v>
      </c>
      <c r="G101" s="13">
        <v>-6.27407769578349</v>
      </c>
      <c r="H101" s="63">
        <v>3.51712856365325E-10</v>
      </c>
      <c r="I101" s="13">
        <v>2820834.0</v>
      </c>
      <c r="J101" s="31" t="s">
        <v>1796</v>
      </c>
      <c r="K101" s="31" t="s">
        <v>1793</v>
      </c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13" t="s">
        <v>759</v>
      </c>
      <c r="B102" s="13" t="s">
        <v>411</v>
      </c>
      <c r="C102" s="13" t="s">
        <v>570</v>
      </c>
      <c r="D102" s="13" t="s">
        <v>1474</v>
      </c>
      <c r="E102" s="13">
        <v>-0.0409409708543836</v>
      </c>
      <c r="F102" s="13">
        <v>0.0127163569051192</v>
      </c>
      <c r="G102" s="13">
        <v>-3.21955188580008</v>
      </c>
      <c r="H102" s="13">
        <v>0.0012839112364376</v>
      </c>
      <c r="I102" s="13">
        <v>168862.0</v>
      </c>
      <c r="J102" s="31" t="s">
        <v>1796</v>
      </c>
      <c r="K102" s="31" t="s">
        <v>1793</v>
      </c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13" t="s">
        <v>759</v>
      </c>
      <c r="B103" s="13" t="s">
        <v>411</v>
      </c>
      <c r="C103" s="13" t="s">
        <v>42</v>
      </c>
      <c r="D103" s="13" t="s">
        <v>1474</v>
      </c>
      <c r="E103" s="13">
        <v>0.0373766918619708</v>
      </c>
      <c r="F103" s="13">
        <v>0.00432155408992384</v>
      </c>
      <c r="G103" s="13">
        <v>8.64890062330089</v>
      </c>
      <c r="H103" s="63">
        <v>5.19979175886463E-18</v>
      </c>
      <c r="I103" s="13">
        <v>2819417.0</v>
      </c>
      <c r="J103" s="31" t="s">
        <v>1796</v>
      </c>
      <c r="K103" s="31" t="s">
        <v>1793</v>
      </c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13" t="s">
        <v>759</v>
      </c>
      <c r="B104" s="13" t="s">
        <v>411</v>
      </c>
      <c r="C104" s="13" t="s">
        <v>55</v>
      </c>
      <c r="D104" s="13" t="s">
        <v>1474</v>
      </c>
      <c r="E104" s="13">
        <v>-0.0419609031080441</v>
      </c>
      <c r="F104" s="13">
        <v>0.00511680412550636</v>
      </c>
      <c r="G104" s="13">
        <v>-8.20060766033165</v>
      </c>
      <c r="H104" s="63">
        <v>2.39174929645894E-16</v>
      </c>
      <c r="I104" s="13">
        <v>2813376.0</v>
      </c>
      <c r="J104" s="31" t="s">
        <v>1796</v>
      </c>
      <c r="K104" s="31" t="s">
        <v>1793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13" t="s">
        <v>759</v>
      </c>
      <c r="B105" s="13" t="s">
        <v>411</v>
      </c>
      <c r="C105" s="13" t="s">
        <v>1797</v>
      </c>
      <c r="D105" s="13" t="s">
        <v>1474</v>
      </c>
      <c r="E105" s="13">
        <v>-0.0326171472004383</v>
      </c>
      <c r="F105" s="13">
        <v>0.00458742557452808</v>
      </c>
      <c r="G105" s="13">
        <v>-7.11012019062428</v>
      </c>
      <c r="H105" s="63">
        <v>1.1594194192875E-12</v>
      </c>
      <c r="I105" s="13">
        <v>2820221.0</v>
      </c>
      <c r="J105" s="31" t="s">
        <v>1796</v>
      </c>
      <c r="K105" s="31" t="s">
        <v>1793</v>
      </c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13" t="s">
        <v>761</v>
      </c>
      <c r="B106" s="13" t="s">
        <v>411</v>
      </c>
      <c r="C106" s="13" t="s">
        <v>570</v>
      </c>
      <c r="D106" s="13" t="s">
        <v>1474</v>
      </c>
      <c r="E106" s="13">
        <v>-0.051671629841234</v>
      </c>
      <c r="F106" s="13">
        <v>0.012967924628249</v>
      </c>
      <c r="G106" s="13">
        <v>-3.98457203619718</v>
      </c>
      <c r="H106" s="63">
        <v>6.76018480415075E-5</v>
      </c>
      <c r="I106" s="13">
        <v>168868.0</v>
      </c>
      <c r="J106" s="31" t="s">
        <v>1796</v>
      </c>
      <c r="K106" s="31" t="s">
        <v>1793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13" t="s">
        <v>761</v>
      </c>
      <c r="B107" s="13" t="s">
        <v>411</v>
      </c>
      <c r="C107" s="13" t="s">
        <v>42</v>
      </c>
      <c r="D107" s="13" t="s">
        <v>1474</v>
      </c>
      <c r="E107" s="13">
        <v>0.0348826322877697</v>
      </c>
      <c r="F107" s="13">
        <v>0.00496008089515011</v>
      </c>
      <c r="G107" s="13">
        <v>7.03267406825509</v>
      </c>
      <c r="H107" s="63">
        <v>2.02612290681868E-12</v>
      </c>
      <c r="I107" s="13">
        <v>2819311.0</v>
      </c>
      <c r="J107" s="31" t="s">
        <v>1796</v>
      </c>
      <c r="K107" s="31" t="s">
        <v>1793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13" t="s">
        <v>761</v>
      </c>
      <c r="B108" s="13" t="s">
        <v>411</v>
      </c>
      <c r="C108" s="13" t="s">
        <v>55</v>
      </c>
      <c r="D108" s="13" t="s">
        <v>1474</v>
      </c>
      <c r="E108" s="13">
        <v>-0.0436842075760381</v>
      </c>
      <c r="F108" s="13">
        <v>0.00529852031677422</v>
      </c>
      <c r="G108" s="13">
        <v>-8.24460509054599</v>
      </c>
      <c r="H108" s="63">
        <v>1.65706567669472E-16</v>
      </c>
      <c r="I108" s="13">
        <v>2813283.0</v>
      </c>
      <c r="J108" s="31" t="s">
        <v>1796</v>
      </c>
      <c r="K108" s="31" t="s">
        <v>1793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13" t="s">
        <v>761</v>
      </c>
      <c r="B109" s="13" t="s">
        <v>411</v>
      </c>
      <c r="C109" s="13" t="s">
        <v>1797</v>
      </c>
      <c r="D109" s="13" t="s">
        <v>1474</v>
      </c>
      <c r="E109" s="13">
        <v>-0.0290887414694599</v>
      </c>
      <c r="F109" s="13">
        <v>0.00502860213148768</v>
      </c>
      <c r="G109" s="13">
        <v>-5.78465758651186</v>
      </c>
      <c r="H109" s="63">
        <v>7.26601804951321E-9</v>
      </c>
      <c r="I109" s="13">
        <v>2820114.0</v>
      </c>
      <c r="J109" s="31" t="s">
        <v>1796</v>
      </c>
      <c r="K109" s="31" t="s">
        <v>1793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13" t="s">
        <v>763</v>
      </c>
      <c r="B110" s="13" t="s">
        <v>411</v>
      </c>
      <c r="C110" s="13" t="s">
        <v>570</v>
      </c>
      <c r="D110" s="13" t="s">
        <v>1474</v>
      </c>
      <c r="E110" s="13">
        <v>-0.0654885710694137</v>
      </c>
      <c r="F110" s="13">
        <v>0.0127085625244541</v>
      </c>
      <c r="G110" s="13">
        <v>-5.15310610019023</v>
      </c>
      <c r="H110" s="63">
        <v>2.56206908317597E-7</v>
      </c>
      <c r="I110" s="13">
        <v>168885.0</v>
      </c>
      <c r="J110" s="31" t="s">
        <v>1796</v>
      </c>
      <c r="K110" s="31" t="s">
        <v>1793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13" t="s">
        <v>763</v>
      </c>
      <c r="B111" s="13" t="s">
        <v>411</v>
      </c>
      <c r="C111" s="13" t="s">
        <v>42</v>
      </c>
      <c r="D111" s="13" t="s">
        <v>1474</v>
      </c>
      <c r="E111" s="13">
        <v>0.0356333376080749</v>
      </c>
      <c r="F111" s="13">
        <v>0.00498888711804164</v>
      </c>
      <c r="G111" s="13">
        <v>7.14254236765785</v>
      </c>
      <c r="H111" s="63">
        <v>9.16202632392404E-13</v>
      </c>
      <c r="I111" s="13">
        <v>2819666.0</v>
      </c>
      <c r="J111" s="31" t="s">
        <v>1796</v>
      </c>
      <c r="K111" s="31" t="s">
        <v>1793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13" t="s">
        <v>763</v>
      </c>
      <c r="B112" s="13" t="s">
        <v>411</v>
      </c>
      <c r="C112" s="13" t="s">
        <v>55</v>
      </c>
      <c r="D112" s="13" t="s">
        <v>1474</v>
      </c>
      <c r="E112" s="13">
        <v>-0.0480363930429362</v>
      </c>
      <c r="F112" s="13">
        <v>0.00522531534159087</v>
      </c>
      <c r="G112" s="13">
        <v>-9.19301322555422</v>
      </c>
      <c r="H112" s="63">
        <v>3.81988039893636E-20</v>
      </c>
      <c r="I112" s="13">
        <v>2813631.0</v>
      </c>
      <c r="J112" s="31" t="s">
        <v>1796</v>
      </c>
      <c r="K112" s="31" t="s">
        <v>1793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13" t="s">
        <v>763</v>
      </c>
      <c r="B113" s="13" t="s">
        <v>411</v>
      </c>
      <c r="C113" s="13" t="s">
        <v>1797</v>
      </c>
      <c r="D113" s="13" t="s">
        <v>1474</v>
      </c>
      <c r="E113" s="13">
        <v>-0.0318891759747001</v>
      </c>
      <c r="F113" s="13">
        <v>0.00446359451383374</v>
      </c>
      <c r="G113" s="13">
        <v>-7.14428155959685</v>
      </c>
      <c r="H113" s="63">
        <v>9.04677968444511E-13</v>
      </c>
      <c r="I113" s="13">
        <v>2820469.0</v>
      </c>
      <c r="J113" s="31" t="s">
        <v>1796</v>
      </c>
      <c r="K113" s="31" t="s">
        <v>1793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13" t="s">
        <v>765</v>
      </c>
      <c r="B114" s="13" t="s">
        <v>411</v>
      </c>
      <c r="C114" s="13" t="s">
        <v>570</v>
      </c>
      <c r="D114" s="13" t="s">
        <v>1474</v>
      </c>
      <c r="E114" s="13">
        <v>-0.554816033500317</v>
      </c>
      <c r="F114" s="13">
        <v>0.00983308471987533</v>
      </c>
      <c r="G114" s="13">
        <v>-56.4233960456868</v>
      </c>
      <c r="H114" s="13">
        <v>0.0</v>
      </c>
      <c r="I114" s="13">
        <v>160798.0</v>
      </c>
      <c r="J114" s="31" t="s">
        <v>1796</v>
      </c>
      <c r="K114" s="31" t="s">
        <v>1793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13" t="s">
        <v>765</v>
      </c>
      <c r="B115" s="13" t="s">
        <v>411</v>
      </c>
      <c r="C115" s="13" t="s">
        <v>42</v>
      </c>
      <c r="D115" s="13" t="s">
        <v>1474</v>
      </c>
      <c r="E115" s="13">
        <v>-0.598993906274396</v>
      </c>
      <c r="F115" s="13">
        <v>0.00585489732860009</v>
      </c>
      <c r="G115" s="13">
        <v>-102.306474846009</v>
      </c>
      <c r="H115" s="13">
        <v>0.0</v>
      </c>
      <c r="I115" s="13">
        <v>2703941.0</v>
      </c>
      <c r="J115" s="31" t="s">
        <v>1796</v>
      </c>
      <c r="K115" s="31" t="s">
        <v>1793</v>
      </c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13" t="s">
        <v>765</v>
      </c>
      <c r="B116" s="13" t="s">
        <v>411</v>
      </c>
      <c r="C116" s="13" t="s">
        <v>55</v>
      </c>
      <c r="D116" s="13" t="s">
        <v>1474</v>
      </c>
      <c r="E116" s="13">
        <v>-0.523387543919611</v>
      </c>
      <c r="F116" s="13">
        <v>0.00596027976734079</v>
      </c>
      <c r="G116" s="13">
        <v>-87.8125800046334</v>
      </c>
      <c r="H116" s="13">
        <v>0.0</v>
      </c>
      <c r="I116" s="13">
        <v>2698067.0</v>
      </c>
      <c r="J116" s="31" t="s">
        <v>1796</v>
      </c>
      <c r="K116" s="31" t="s">
        <v>1793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13" t="s">
        <v>765</v>
      </c>
      <c r="B117" s="13" t="s">
        <v>411</v>
      </c>
      <c r="C117" s="13" t="s">
        <v>1797</v>
      </c>
      <c r="D117" s="13" t="s">
        <v>1474</v>
      </c>
      <c r="E117" s="13">
        <v>0.249232840918485</v>
      </c>
      <c r="F117" s="13">
        <v>0.00684665339689377</v>
      </c>
      <c r="G117" s="13">
        <v>36.4021407935676</v>
      </c>
      <c r="H117" s="63">
        <v>3.9376244886674E-290</v>
      </c>
      <c r="I117" s="13">
        <v>2704765.0</v>
      </c>
      <c r="J117" s="31" t="s">
        <v>1796</v>
      </c>
      <c r="K117" s="31" t="s">
        <v>1793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13" t="s">
        <v>770</v>
      </c>
      <c r="B118" s="13" t="s">
        <v>411</v>
      </c>
      <c r="C118" s="13" t="s">
        <v>570</v>
      </c>
      <c r="D118" s="13" t="s">
        <v>1474</v>
      </c>
      <c r="E118" s="13">
        <v>-0.549370041529094</v>
      </c>
      <c r="F118" s="13">
        <v>0.00986750827546824</v>
      </c>
      <c r="G118" s="13">
        <v>-55.6746471543268</v>
      </c>
      <c r="H118" s="13">
        <v>0.0</v>
      </c>
      <c r="I118" s="13">
        <v>168573.0</v>
      </c>
      <c r="J118" s="31" t="s">
        <v>1796</v>
      </c>
      <c r="K118" s="31" t="s">
        <v>1793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13" t="s">
        <v>770</v>
      </c>
      <c r="B119" s="13" t="s">
        <v>411</v>
      </c>
      <c r="C119" s="13" t="s">
        <v>42</v>
      </c>
      <c r="D119" s="13" t="s">
        <v>1474</v>
      </c>
      <c r="E119" s="13">
        <v>-0.589029335525119</v>
      </c>
      <c r="F119" s="13">
        <v>0.0060757012427587</v>
      </c>
      <c r="G119" s="13">
        <v>-96.9483705649863</v>
      </c>
      <c r="H119" s="13">
        <v>0.0</v>
      </c>
      <c r="I119" s="13">
        <v>2813588.0</v>
      </c>
      <c r="J119" s="31" t="s">
        <v>1796</v>
      </c>
      <c r="K119" s="31" t="s">
        <v>1793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13" t="s">
        <v>770</v>
      </c>
      <c r="B120" s="13" t="s">
        <v>411</v>
      </c>
      <c r="C120" s="13" t="s">
        <v>55</v>
      </c>
      <c r="D120" s="13" t="s">
        <v>1474</v>
      </c>
      <c r="E120" s="13">
        <v>-0.515636912800175</v>
      </c>
      <c r="F120" s="13">
        <v>0.00629298235514064</v>
      </c>
      <c r="G120" s="13">
        <v>-81.9384011745971</v>
      </c>
      <c r="H120" s="13">
        <v>0.0</v>
      </c>
      <c r="I120" s="13">
        <v>2807590.0</v>
      </c>
      <c r="J120" s="31" t="s">
        <v>1796</v>
      </c>
      <c r="K120" s="31" t="s">
        <v>1793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13" t="s">
        <v>770</v>
      </c>
      <c r="B121" s="13" t="s">
        <v>411</v>
      </c>
      <c r="C121" s="13" t="s">
        <v>1797</v>
      </c>
      <c r="D121" s="13" t="s">
        <v>1474</v>
      </c>
      <c r="E121" s="13">
        <v>0.248216794299482</v>
      </c>
      <c r="F121" s="13">
        <v>0.00736705747625061</v>
      </c>
      <c r="G121" s="13">
        <v>33.6928000222159</v>
      </c>
      <c r="H121" s="63">
        <v>7.36947893032172E-249</v>
      </c>
      <c r="I121" s="13">
        <v>2814425.0</v>
      </c>
      <c r="J121" s="31" t="s">
        <v>1796</v>
      </c>
      <c r="K121" s="31" t="s">
        <v>1793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13" t="s">
        <v>772</v>
      </c>
      <c r="B122" s="13" t="s">
        <v>411</v>
      </c>
      <c r="C122" s="13" t="s">
        <v>570</v>
      </c>
      <c r="D122" s="13" t="s">
        <v>1474</v>
      </c>
      <c r="E122" s="13">
        <v>-0.5753961635626</v>
      </c>
      <c r="F122" s="13">
        <v>0.00905315623894388</v>
      </c>
      <c r="G122" s="13">
        <v>-63.5575205349294</v>
      </c>
      <c r="H122" s="13">
        <v>0.0</v>
      </c>
      <c r="I122" s="13">
        <v>168440.0</v>
      </c>
      <c r="J122" s="31" t="s">
        <v>1796</v>
      </c>
      <c r="K122" s="31" t="s">
        <v>1793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13" t="s">
        <v>772</v>
      </c>
      <c r="B123" s="13" t="s">
        <v>411</v>
      </c>
      <c r="C123" s="13" t="s">
        <v>42</v>
      </c>
      <c r="D123" s="13" t="s">
        <v>1474</v>
      </c>
      <c r="E123" s="13">
        <v>-0.606572772841436</v>
      </c>
      <c r="F123" s="13">
        <v>0.00569925993637242</v>
      </c>
      <c r="G123" s="13">
        <v>-106.430094365465</v>
      </c>
      <c r="H123" s="13">
        <v>0.0</v>
      </c>
      <c r="I123" s="13">
        <v>2811978.0</v>
      </c>
      <c r="J123" s="31" t="s">
        <v>1796</v>
      </c>
      <c r="K123" s="31" t="s">
        <v>1793</v>
      </c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13" t="s">
        <v>772</v>
      </c>
      <c r="B124" s="13" t="s">
        <v>411</v>
      </c>
      <c r="C124" s="13" t="s">
        <v>55</v>
      </c>
      <c r="D124" s="13" t="s">
        <v>1474</v>
      </c>
      <c r="E124" s="13">
        <v>-0.534376821326626</v>
      </c>
      <c r="F124" s="13">
        <v>0.00591688383638208</v>
      </c>
      <c r="G124" s="13">
        <v>-90.3138942902374</v>
      </c>
      <c r="H124" s="13">
        <v>0.0</v>
      </c>
      <c r="I124" s="13">
        <v>2805986.0</v>
      </c>
      <c r="J124" s="31" t="s">
        <v>1796</v>
      </c>
      <c r="K124" s="31" t="s">
        <v>1793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13" t="s">
        <v>772</v>
      </c>
      <c r="B125" s="13" t="s">
        <v>411</v>
      </c>
      <c r="C125" s="13" t="s">
        <v>1797</v>
      </c>
      <c r="D125" s="13" t="s">
        <v>1474</v>
      </c>
      <c r="E125" s="13">
        <v>0.248087441131855</v>
      </c>
      <c r="F125" s="13">
        <v>0.00683929575523165</v>
      </c>
      <c r="G125" s="13">
        <v>36.2738284774545</v>
      </c>
      <c r="H125" s="63">
        <v>4.18515675808112E-288</v>
      </c>
      <c r="I125" s="13">
        <v>2812812.0</v>
      </c>
      <c r="J125" s="31" t="s">
        <v>1796</v>
      </c>
      <c r="K125" s="31" t="s">
        <v>1793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13" t="s">
        <v>784</v>
      </c>
      <c r="B126" s="13" t="s">
        <v>411</v>
      </c>
      <c r="C126" s="13" t="s">
        <v>570</v>
      </c>
      <c r="D126" s="13" t="s">
        <v>1474</v>
      </c>
      <c r="E126" s="13">
        <v>-0.485787210439498</v>
      </c>
      <c r="F126" s="13">
        <v>0.01041504111341</v>
      </c>
      <c r="G126" s="13">
        <v>-46.6428509642669</v>
      </c>
      <c r="H126" s="13">
        <v>0.0</v>
      </c>
      <c r="I126" s="13">
        <v>168847.0</v>
      </c>
      <c r="J126" s="31" t="s">
        <v>1796</v>
      </c>
      <c r="K126" s="31" t="s">
        <v>1793</v>
      </c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13" t="s">
        <v>784</v>
      </c>
      <c r="B127" s="13" t="s">
        <v>411</v>
      </c>
      <c r="C127" s="13" t="s">
        <v>42</v>
      </c>
      <c r="D127" s="13" t="s">
        <v>1474</v>
      </c>
      <c r="E127" s="13">
        <v>-0.540871144994408</v>
      </c>
      <c r="F127" s="13">
        <v>0.00661328035532064</v>
      </c>
      <c r="G127" s="13">
        <v>-81.785606527214</v>
      </c>
      <c r="H127" s="13">
        <v>0.0</v>
      </c>
      <c r="I127" s="13">
        <v>2819039.0</v>
      </c>
      <c r="J127" s="31" t="s">
        <v>1796</v>
      </c>
      <c r="K127" s="31" t="s">
        <v>1793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13" t="s">
        <v>784</v>
      </c>
      <c r="B128" s="13" t="s">
        <v>411</v>
      </c>
      <c r="C128" s="13" t="s">
        <v>55</v>
      </c>
      <c r="D128" s="13" t="s">
        <v>1474</v>
      </c>
      <c r="E128" s="13">
        <v>-0.466036530121861</v>
      </c>
      <c r="F128" s="13">
        <v>0.00664874385974324</v>
      </c>
      <c r="G128" s="13">
        <v>-70.0939214914887</v>
      </c>
      <c r="H128" s="13">
        <v>0.0</v>
      </c>
      <c r="I128" s="13">
        <v>2813016.0</v>
      </c>
      <c r="J128" s="31" t="s">
        <v>1796</v>
      </c>
      <c r="K128" s="31" t="s">
        <v>1793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13" t="s">
        <v>784</v>
      </c>
      <c r="B129" s="13" t="s">
        <v>411</v>
      </c>
      <c r="C129" s="13" t="s">
        <v>1797</v>
      </c>
      <c r="D129" s="13" t="s">
        <v>1474</v>
      </c>
      <c r="E129" s="13">
        <v>0.229977866657137</v>
      </c>
      <c r="F129" s="13">
        <v>0.00731157448271054</v>
      </c>
      <c r="G129" s="13">
        <v>31.453945685838</v>
      </c>
      <c r="H129" s="63">
        <v>3.7072544658076E-217</v>
      </c>
      <c r="I129" s="13">
        <v>2819852.0</v>
      </c>
      <c r="J129" s="31" t="s">
        <v>1796</v>
      </c>
      <c r="K129" s="31" t="s">
        <v>1793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13" t="s">
        <v>788</v>
      </c>
      <c r="B130" s="13" t="s">
        <v>411</v>
      </c>
      <c r="C130" s="13" t="s">
        <v>570</v>
      </c>
      <c r="D130" s="13" t="s">
        <v>1474</v>
      </c>
      <c r="E130" s="13">
        <v>0.0195158890113567</v>
      </c>
      <c r="F130" s="13">
        <v>0.0134139811072553</v>
      </c>
      <c r="G130" s="13">
        <v>1.45489164292925</v>
      </c>
      <c r="H130" s="13">
        <v>0.145699261785737</v>
      </c>
      <c r="I130" s="13">
        <v>168878.0</v>
      </c>
      <c r="J130" s="31" t="s">
        <v>1796</v>
      </c>
      <c r="K130" s="31" t="s">
        <v>1793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13" t="s">
        <v>788</v>
      </c>
      <c r="B131" s="13" t="s">
        <v>411</v>
      </c>
      <c r="C131" s="13" t="s">
        <v>42</v>
      </c>
      <c r="D131" s="13" t="s">
        <v>1474</v>
      </c>
      <c r="E131" s="13">
        <v>-0.123308231075559</v>
      </c>
      <c r="F131" s="13">
        <v>0.00650295978285151</v>
      </c>
      <c r="G131" s="13">
        <v>-18.9618627814256</v>
      </c>
      <c r="H131" s="63">
        <v>3.52437852973693E-80</v>
      </c>
      <c r="I131" s="13">
        <v>2819556.0</v>
      </c>
      <c r="J131" s="31" t="s">
        <v>1796</v>
      </c>
      <c r="K131" s="31" t="s">
        <v>1793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13" t="s">
        <v>788</v>
      </c>
      <c r="B132" s="13" t="s">
        <v>411</v>
      </c>
      <c r="C132" s="13" t="s">
        <v>55</v>
      </c>
      <c r="D132" s="13" t="s">
        <v>1474</v>
      </c>
      <c r="E132" s="13">
        <v>-0.0589523475596768</v>
      </c>
      <c r="F132" s="13">
        <v>0.00695508355374138</v>
      </c>
      <c r="G132" s="13">
        <v>-8.47615231422551</v>
      </c>
      <c r="H132" s="63">
        <v>2.32763978816074E-17</v>
      </c>
      <c r="I132" s="13">
        <v>2813530.0</v>
      </c>
      <c r="J132" s="31" t="s">
        <v>1796</v>
      </c>
      <c r="K132" s="31" t="s">
        <v>1793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13" t="s">
        <v>788</v>
      </c>
      <c r="B133" s="13" t="s">
        <v>411</v>
      </c>
      <c r="C133" s="13" t="s">
        <v>1797</v>
      </c>
      <c r="D133" s="13" t="s">
        <v>1474</v>
      </c>
      <c r="E133" s="13">
        <v>-0.0011203549889773</v>
      </c>
      <c r="F133" s="13">
        <v>0.00713521174430622</v>
      </c>
      <c r="G133" s="13">
        <v>-0.157017763330054</v>
      </c>
      <c r="H133" s="13">
        <v>0.875230848638598</v>
      </c>
      <c r="I133" s="13">
        <v>2820360.0</v>
      </c>
      <c r="J133" s="31" t="s">
        <v>1796</v>
      </c>
      <c r="K133" s="31" t="s">
        <v>1793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13" t="s">
        <v>790</v>
      </c>
      <c r="B134" s="13" t="s">
        <v>411</v>
      </c>
      <c r="C134" s="13" t="s">
        <v>570</v>
      </c>
      <c r="D134" s="13" t="s">
        <v>1474</v>
      </c>
      <c r="E134" s="13">
        <v>-0.102983676355401</v>
      </c>
      <c r="F134" s="13">
        <v>0.014890041759037</v>
      </c>
      <c r="G134" s="13">
        <v>-6.91627854521619</v>
      </c>
      <c r="H134" s="63">
        <v>4.63662310701291E-12</v>
      </c>
      <c r="I134" s="13">
        <v>168873.0</v>
      </c>
      <c r="J134" s="31" t="s">
        <v>1796</v>
      </c>
      <c r="K134" s="31" t="s">
        <v>1793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13" t="s">
        <v>790</v>
      </c>
      <c r="B135" s="13" t="s">
        <v>411</v>
      </c>
      <c r="C135" s="13" t="s">
        <v>42</v>
      </c>
      <c r="D135" s="13" t="s">
        <v>1474</v>
      </c>
      <c r="E135" s="13">
        <v>-0.219126997476678</v>
      </c>
      <c r="F135" s="13">
        <v>0.00863732922659697</v>
      </c>
      <c r="G135" s="13">
        <v>-25.369763236756</v>
      </c>
      <c r="H135" s="63">
        <v>5.43980250515987E-142</v>
      </c>
      <c r="I135" s="13">
        <v>2819545.0</v>
      </c>
      <c r="J135" s="31" t="s">
        <v>1796</v>
      </c>
      <c r="K135" s="31" t="s">
        <v>1793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13" t="s">
        <v>790</v>
      </c>
      <c r="B136" s="13" t="s">
        <v>411</v>
      </c>
      <c r="C136" s="13" t="s">
        <v>55</v>
      </c>
      <c r="D136" s="13" t="s">
        <v>1474</v>
      </c>
      <c r="E136" s="13">
        <v>-0.154883356632394</v>
      </c>
      <c r="F136" s="13">
        <v>0.00906100757492929</v>
      </c>
      <c r="G136" s="13">
        <v>-17.0933922471202</v>
      </c>
      <c r="H136" s="63">
        <v>1.66217130936367E-65</v>
      </c>
      <c r="I136" s="13">
        <v>2813514.0</v>
      </c>
      <c r="J136" s="31" t="s">
        <v>1796</v>
      </c>
      <c r="K136" s="31" t="s">
        <v>1793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13" t="s">
        <v>790</v>
      </c>
      <c r="B137" s="13" t="s">
        <v>411</v>
      </c>
      <c r="C137" s="13" t="s">
        <v>1797</v>
      </c>
      <c r="D137" s="13" t="s">
        <v>1474</v>
      </c>
      <c r="E137" s="13">
        <v>0.0605731806298037</v>
      </c>
      <c r="F137" s="13">
        <v>0.00808382132073557</v>
      </c>
      <c r="G137" s="13">
        <v>7.49313699876434</v>
      </c>
      <c r="H137" s="63">
        <v>6.72466435899658E-14</v>
      </c>
      <c r="I137" s="13">
        <v>2820349.0</v>
      </c>
      <c r="J137" s="31" t="s">
        <v>1796</v>
      </c>
      <c r="K137" s="31" t="s">
        <v>1793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13" t="s">
        <v>792</v>
      </c>
      <c r="B138" s="13" t="s">
        <v>411</v>
      </c>
      <c r="C138" s="13" t="s">
        <v>570</v>
      </c>
      <c r="D138" s="13" t="s">
        <v>1474</v>
      </c>
      <c r="E138" s="13">
        <v>-0.093464167832285</v>
      </c>
      <c r="F138" s="13">
        <v>0.0145771295602144</v>
      </c>
      <c r="G138" s="13">
        <v>-6.41169905544218</v>
      </c>
      <c r="H138" s="63">
        <v>1.4390670072981E-10</v>
      </c>
      <c r="I138" s="13">
        <v>168871.0</v>
      </c>
      <c r="J138" s="31" t="s">
        <v>1796</v>
      </c>
      <c r="K138" s="31" t="s">
        <v>1793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13" t="s">
        <v>792</v>
      </c>
      <c r="B139" s="13" t="s">
        <v>411</v>
      </c>
      <c r="C139" s="13" t="s">
        <v>42</v>
      </c>
      <c r="D139" s="13" t="s">
        <v>1474</v>
      </c>
      <c r="E139" s="13">
        <v>-0.2050968667793</v>
      </c>
      <c r="F139" s="13">
        <v>0.008436835082277</v>
      </c>
      <c r="G139" s="13">
        <v>-24.3096925303353</v>
      </c>
      <c r="H139" s="63">
        <v>1.54826519845158E-130</v>
      </c>
      <c r="I139" s="13">
        <v>2819606.0</v>
      </c>
      <c r="J139" s="31" t="s">
        <v>1796</v>
      </c>
      <c r="K139" s="31" t="s">
        <v>1793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13" t="s">
        <v>792</v>
      </c>
      <c r="B140" s="13" t="s">
        <v>411</v>
      </c>
      <c r="C140" s="13" t="s">
        <v>55</v>
      </c>
      <c r="D140" s="13" t="s">
        <v>1474</v>
      </c>
      <c r="E140" s="13">
        <v>-0.1430238141451</v>
      </c>
      <c r="F140" s="13">
        <v>0.00893586371584629</v>
      </c>
      <c r="G140" s="13">
        <v>-16.0055948359497</v>
      </c>
      <c r="H140" s="63">
        <v>1.16791656016905E-57</v>
      </c>
      <c r="I140" s="13">
        <v>2813579.0</v>
      </c>
      <c r="J140" s="31" t="s">
        <v>1796</v>
      </c>
      <c r="K140" s="31" t="s">
        <v>1793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13" t="s">
        <v>792</v>
      </c>
      <c r="B141" s="13" t="s">
        <v>411</v>
      </c>
      <c r="C141" s="13" t="s">
        <v>1797</v>
      </c>
      <c r="D141" s="13" t="s">
        <v>1474</v>
      </c>
      <c r="E141" s="13">
        <v>0.0445304537734964</v>
      </c>
      <c r="F141" s="13">
        <v>0.00745995019698267</v>
      </c>
      <c r="G141" s="13">
        <v>5.9692695792403</v>
      </c>
      <c r="H141" s="63">
        <v>2.38318066665846E-9</v>
      </c>
      <c r="I141" s="13">
        <v>2820410.0</v>
      </c>
      <c r="J141" s="31" t="s">
        <v>1796</v>
      </c>
      <c r="K141" s="31" t="s">
        <v>1793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13" t="s">
        <v>794</v>
      </c>
      <c r="B142" s="13" t="s">
        <v>411</v>
      </c>
      <c r="C142" s="13" t="s">
        <v>570</v>
      </c>
      <c r="D142" s="13" t="s">
        <v>1474</v>
      </c>
      <c r="E142" s="13">
        <v>0.0180254190362769</v>
      </c>
      <c r="F142" s="13">
        <v>0.0128936757998849</v>
      </c>
      <c r="G142" s="13">
        <v>1.39800467423244</v>
      </c>
      <c r="H142" s="13">
        <v>0.162111663547629</v>
      </c>
      <c r="I142" s="13">
        <v>168873.0</v>
      </c>
      <c r="J142" s="31" t="s">
        <v>1796</v>
      </c>
      <c r="K142" s="31" t="s">
        <v>1793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13" t="s">
        <v>794</v>
      </c>
      <c r="B143" s="13" t="s">
        <v>411</v>
      </c>
      <c r="C143" s="13" t="s">
        <v>42</v>
      </c>
      <c r="D143" s="13" t="s">
        <v>1474</v>
      </c>
      <c r="E143" s="13">
        <v>-0.112421468758024</v>
      </c>
      <c r="F143" s="13">
        <v>0.00538876404536871</v>
      </c>
      <c r="G143" s="13">
        <v>-20.8621991632094</v>
      </c>
      <c r="H143" s="63">
        <v>1.18113656447265E-96</v>
      </c>
      <c r="I143" s="13">
        <v>2819373.0</v>
      </c>
      <c r="J143" s="31" t="s">
        <v>1796</v>
      </c>
      <c r="K143" s="31" t="s">
        <v>1793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13" t="s">
        <v>794</v>
      </c>
      <c r="B144" s="13" t="s">
        <v>411</v>
      </c>
      <c r="C144" s="13" t="s">
        <v>55</v>
      </c>
      <c r="D144" s="13" t="s">
        <v>1474</v>
      </c>
      <c r="E144" s="13">
        <v>-0.0444056012334491</v>
      </c>
      <c r="F144" s="13">
        <v>0.00605704065439366</v>
      </c>
      <c r="G144" s="13">
        <v>-7.33123711184571</v>
      </c>
      <c r="H144" s="63">
        <v>2.28037787690615E-13</v>
      </c>
      <c r="I144" s="13">
        <v>2813346.0</v>
      </c>
      <c r="J144" s="31" t="s">
        <v>1796</v>
      </c>
      <c r="K144" s="31" t="s">
        <v>1793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13" t="s">
        <v>794</v>
      </c>
      <c r="B145" s="13" t="s">
        <v>411</v>
      </c>
      <c r="C145" s="13" t="s">
        <v>1797</v>
      </c>
      <c r="D145" s="13" t="s">
        <v>1474</v>
      </c>
      <c r="E145" s="13">
        <v>-0.0173703288981724</v>
      </c>
      <c r="F145" s="13">
        <v>0.00535830607616101</v>
      </c>
      <c r="G145" s="13">
        <v>-3.24175749785042</v>
      </c>
      <c r="H145" s="13">
        <v>0.00118795060805581</v>
      </c>
      <c r="I145" s="13">
        <v>2820177.0</v>
      </c>
      <c r="J145" s="31" t="s">
        <v>1796</v>
      </c>
      <c r="K145" s="31" t="s">
        <v>1793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13" t="s">
        <v>796</v>
      </c>
      <c r="B146" s="13" t="s">
        <v>411</v>
      </c>
      <c r="C146" s="13" t="s">
        <v>570</v>
      </c>
      <c r="D146" s="13" t="s">
        <v>1474</v>
      </c>
      <c r="E146" s="13">
        <v>-0.0121271145619814</v>
      </c>
      <c r="F146" s="13">
        <v>0.0138995185236482</v>
      </c>
      <c r="G146" s="13">
        <v>-0.87248450666465</v>
      </c>
      <c r="H146" s="13">
        <v>0.382944116734185</v>
      </c>
      <c r="I146" s="13">
        <v>168892.0</v>
      </c>
      <c r="J146" s="31" t="s">
        <v>1796</v>
      </c>
      <c r="K146" s="31" t="s">
        <v>1793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13" t="s">
        <v>796</v>
      </c>
      <c r="B147" s="13" t="s">
        <v>411</v>
      </c>
      <c r="C147" s="13" t="s">
        <v>42</v>
      </c>
      <c r="D147" s="13" t="s">
        <v>1474</v>
      </c>
      <c r="E147" s="13">
        <v>-0.142409035058581</v>
      </c>
      <c r="F147" s="13">
        <v>0.00674049077655622</v>
      </c>
      <c r="G147" s="13">
        <v>-21.1273985499524</v>
      </c>
      <c r="H147" s="63">
        <v>4.4542090528079E-99</v>
      </c>
      <c r="I147" s="13">
        <v>2819706.0</v>
      </c>
      <c r="J147" s="31" t="s">
        <v>1796</v>
      </c>
      <c r="K147" s="31" t="s">
        <v>1793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13" t="s">
        <v>796</v>
      </c>
      <c r="B148" s="13" t="s">
        <v>411</v>
      </c>
      <c r="C148" s="13" t="s">
        <v>55</v>
      </c>
      <c r="D148" s="13" t="s">
        <v>1474</v>
      </c>
      <c r="E148" s="13">
        <v>-0.0773129161323673</v>
      </c>
      <c r="F148" s="13">
        <v>0.00714707361848407</v>
      </c>
      <c r="G148" s="13">
        <v>-10.8174226626709</v>
      </c>
      <c r="H148" s="63">
        <v>2.84670192584463E-27</v>
      </c>
      <c r="I148" s="13">
        <v>2813671.0</v>
      </c>
      <c r="J148" s="31" t="s">
        <v>1796</v>
      </c>
      <c r="K148" s="31" t="s">
        <v>1793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13" t="s">
        <v>796</v>
      </c>
      <c r="B149" s="13" t="s">
        <v>411</v>
      </c>
      <c r="C149" s="13" t="s">
        <v>1797</v>
      </c>
      <c r="D149" s="13" t="s">
        <v>1474</v>
      </c>
      <c r="E149" s="13">
        <v>0.0116468024747847</v>
      </c>
      <c r="F149" s="13">
        <v>0.00634931635215836</v>
      </c>
      <c r="G149" s="13">
        <v>1.834339608992</v>
      </c>
      <c r="H149" s="13">
        <v>0.0666035980323846</v>
      </c>
      <c r="I149" s="13">
        <v>2820507.0</v>
      </c>
      <c r="J149" s="31" t="s">
        <v>1796</v>
      </c>
      <c r="K149" s="31" t="s">
        <v>1793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13" t="s">
        <v>798</v>
      </c>
      <c r="B150" s="13" t="s">
        <v>411</v>
      </c>
      <c r="C150" s="13" t="s">
        <v>570</v>
      </c>
      <c r="D150" s="13" t="s">
        <v>1474</v>
      </c>
      <c r="E150" s="13">
        <v>0.0182083991520606</v>
      </c>
      <c r="F150" s="13">
        <v>0.0132588566920581</v>
      </c>
      <c r="G150" s="13">
        <v>1.37330084900662</v>
      </c>
      <c r="H150" s="13">
        <v>0.169658838782822</v>
      </c>
      <c r="I150" s="13">
        <v>168837.0</v>
      </c>
      <c r="J150" s="31" t="s">
        <v>1796</v>
      </c>
      <c r="K150" s="31" t="s">
        <v>1793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13" t="s">
        <v>798</v>
      </c>
      <c r="B151" s="13" t="s">
        <v>411</v>
      </c>
      <c r="C151" s="13" t="s">
        <v>42</v>
      </c>
      <c r="D151" s="13" t="s">
        <v>1474</v>
      </c>
      <c r="E151" s="13">
        <v>-0.120747902594649</v>
      </c>
      <c r="F151" s="13">
        <v>0.00606218684903009</v>
      </c>
      <c r="G151" s="13">
        <v>-19.9182086599603</v>
      </c>
      <c r="H151" s="63">
        <v>2.82932880972974E-88</v>
      </c>
      <c r="I151" s="13">
        <v>2818817.0</v>
      </c>
      <c r="J151" s="31" t="s">
        <v>1796</v>
      </c>
      <c r="K151" s="31" t="s">
        <v>1793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13" t="s">
        <v>798</v>
      </c>
      <c r="B152" s="13" t="s">
        <v>411</v>
      </c>
      <c r="C152" s="13" t="s">
        <v>55</v>
      </c>
      <c r="D152" s="13" t="s">
        <v>1474</v>
      </c>
      <c r="E152" s="13">
        <v>-0.0527050375926028</v>
      </c>
      <c r="F152" s="13">
        <v>0.00686379794989013</v>
      </c>
      <c r="G152" s="13">
        <v>-7.67869887449796</v>
      </c>
      <c r="H152" s="63">
        <v>1.60712512255409E-14</v>
      </c>
      <c r="I152" s="13">
        <v>2812803.0</v>
      </c>
      <c r="J152" s="31" t="s">
        <v>1796</v>
      </c>
      <c r="K152" s="31" t="s">
        <v>1793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13" t="s">
        <v>798</v>
      </c>
      <c r="B153" s="13" t="s">
        <v>411</v>
      </c>
      <c r="C153" s="13" t="s">
        <v>1797</v>
      </c>
      <c r="D153" s="13" t="s">
        <v>1474</v>
      </c>
      <c r="E153" s="13">
        <v>-0.020817081040785</v>
      </c>
      <c r="F153" s="13">
        <v>0.00524042783548839</v>
      </c>
      <c r="G153" s="13">
        <v>-3.97240105088575</v>
      </c>
      <c r="H153" s="63">
        <v>7.11517952234763E-5</v>
      </c>
      <c r="I153" s="13">
        <v>2819624.0</v>
      </c>
      <c r="J153" s="31" t="s">
        <v>1796</v>
      </c>
      <c r="K153" s="31" t="s">
        <v>1793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13" t="s">
        <v>800</v>
      </c>
      <c r="B154" s="13" t="s">
        <v>411</v>
      </c>
      <c r="C154" s="13" t="s">
        <v>570</v>
      </c>
      <c r="D154" s="13" t="s">
        <v>1474</v>
      </c>
      <c r="E154" s="13">
        <v>-0.657415597413465</v>
      </c>
      <c r="F154" s="13">
        <v>0.00784180410029755</v>
      </c>
      <c r="G154" s="13">
        <v>-83.8347386653691</v>
      </c>
      <c r="H154" s="13">
        <v>0.0</v>
      </c>
      <c r="I154" s="13">
        <v>167933.0</v>
      </c>
      <c r="J154" s="31" t="s">
        <v>1796</v>
      </c>
      <c r="K154" s="31" t="s">
        <v>1793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13" t="s">
        <v>800</v>
      </c>
      <c r="B155" s="13" t="s">
        <v>411</v>
      </c>
      <c r="C155" s="13" t="s">
        <v>42</v>
      </c>
      <c r="D155" s="13" t="s">
        <v>1474</v>
      </c>
      <c r="E155" s="13">
        <v>-0.650446348193499</v>
      </c>
      <c r="F155" s="13">
        <v>0.00548900185056792</v>
      </c>
      <c r="G155" s="13">
        <v>-118.499932392298</v>
      </c>
      <c r="H155" s="13">
        <v>0.0</v>
      </c>
      <c r="I155" s="13">
        <v>2804057.0</v>
      </c>
      <c r="J155" s="31" t="s">
        <v>1796</v>
      </c>
      <c r="K155" s="31" t="s">
        <v>1793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13" t="s">
        <v>800</v>
      </c>
      <c r="B156" s="13" t="s">
        <v>411</v>
      </c>
      <c r="C156" s="13" t="s">
        <v>55</v>
      </c>
      <c r="D156" s="13" t="s">
        <v>1474</v>
      </c>
      <c r="E156" s="13">
        <v>-0.58055122702532</v>
      </c>
      <c r="F156" s="13">
        <v>0.00619129073213476</v>
      </c>
      <c r="G156" s="13">
        <v>-93.7690139492359</v>
      </c>
      <c r="H156" s="13">
        <v>0.0</v>
      </c>
      <c r="I156" s="13">
        <v>2798055.0</v>
      </c>
      <c r="J156" s="31" t="s">
        <v>1796</v>
      </c>
      <c r="K156" s="31" t="s">
        <v>1793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13" t="s">
        <v>800</v>
      </c>
      <c r="B157" s="13" t="s">
        <v>411</v>
      </c>
      <c r="C157" s="13" t="s">
        <v>1797</v>
      </c>
      <c r="D157" s="13" t="s">
        <v>1474</v>
      </c>
      <c r="E157" s="13">
        <v>0.0634739608002322</v>
      </c>
      <c r="F157" s="13">
        <v>0.0105640783478256</v>
      </c>
      <c r="G157" s="13">
        <v>6.00847122771452</v>
      </c>
      <c r="H157" s="63">
        <v>1.8728084294196E-9</v>
      </c>
      <c r="I157" s="13">
        <v>2804882.0</v>
      </c>
      <c r="J157" s="31" t="s">
        <v>1796</v>
      </c>
      <c r="K157" s="31" t="s">
        <v>1793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13" t="s">
        <v>805</v>
      </c>
      <c r="B158" s="13" t="s">
        <v>411</v>
      </c>
      <c r="C158" s="13" t="s">
        <v>570</v>
      </c>
      <c r="D158" s="13" t="s">
        <v>1474</v>
      </c>
      <c r="E158" s="13">
        <v>-0.678271678247349</v>
      </c>
      <c r="F158" s="13">
        <v>0.00727952258361569</v>
      </c>
      <c r="G158" s="13">
        <v>-93.1752969314171</v>
      </c>
      <c r="H158" s="13">
        <v>0.0</v>
      </c>
      <c r="I158" s="13">
        <v>167792.0</v>
      </c>
      <c r="J158" s="31" t="s">
        <v>1796</v>
      </c>
      <c r="K158" s="31" t="s">
        <v>1793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13" t="s">
        <v>805</v>
      </c>
      <c r="B159" s="13" t="s">
        <v>411</v>
      </c>
      <c r="C159" s="13" t="s">
        <v>42</v>
      </c>
      <c r="D159" s="13" t="s">
        <v>1474</v>
      </c>
      <c r="E159" s="13">
        <v>-0.682724877517308</v>
      </c>
      <c r="F159" s="13">
        <v>0.00501806458550197</v>
      </c>
      <c r="G159" s="13">
        <v>-136.053425754984</v>
      </c>
      <c r="H159" s="13">
        <v>0.0</v>
      </c>
      <c r="I159" s="13">
        <v>2801422.0</v>
      </c>
      <c r="J159" s="31" t="s">
        <v>1796</v>
      </c>
      <c r="K159" s="31" t="s">
        <v>1793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13" t="s">
        <v>805</v>
      </c>
      <c r="B160" s="13" t="s">
        <v>411</v>
      </c>
      <c r="C160" s="13" t="s">
        <v>55</v>
      </c>
      <c r="D160" s="13" t="s">
        <v>1474</v>
      </c>
      <c r="E160" s="13">
        <v>-0.611560280646046</v>
      </c>
      <c r="F160" s="13">
        <v>0.0055116759792528</v>
      </c>
      <c r="G160" s="13">
        <v>-110.957226612757</v>
      </c>
      <c r="H160" s="13">
        <v>0.0</v>
      </c>
      <c r="I160" s="13">
        <v>2795432.0</v>
      </c>
      <c r="J160" s="31" t="s">
        <v>1796</v>
      </c>
      <c r="K160" s="31" t="s">
        <v>1793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13" t="s">
        <v>805</v>
      </c>
      <c r="B161" s="13" t="s">
        <v>411</v>
      </c>
      <c r="C161" s="13" t="s">
        <v>1797</v>
      </c>
      <c r="D161" s="13" t="s">
        <v>1474</v>
      </c>
      <c r="E161" s="13">
        <v>0.0824640143969783</v>
      </c>
      <c r="F161" s="13">
        <v>0.00956359807875641</v>
      </c>
      <c r="G161" s="13">
        <v>8.62269762048609</v>
      </c>
      <c r="H161" s="63">
        <v>6.5394972013839E-18</v>
      </c>
      <c r="I161" s="13">
        <v>2802250.0</v>
      </c>
      <c r="J161" s="31" t="s">
        <v>1796</v>
      </c>
      <c r="K161" s="31" t="s">
        <v>1793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13" t="s">
        <v>807</v>
      </c>
      <c r="B162" s="13" t="s">
        <v>411</v>
      </c>
      <c r="C162" s="13" t="s">
        <v>570</v>
      </c>
      <c r="D162" s="13" t="s">
        <v>1474</v>
      </c>
      <c r="E162" s="13">
        <v>-0.661883478172963</v>
      </c>
      <c r="F162" s="13">
        <v>0.0078560408763549</v>
      </c>
      <c r="G162" s="13">
        <v>-84.251531858127</v>
      </c>
      <c r="H162" s="13">
        <v>0.0</v>
      </c>
      <c r="I162" s="13">
        <v>167452.0</v>
      </c>
      <c r="J162" s="31" t="s">
        <v>1796</v>
      </c>
      <c r="K162" s="31" t="s">
        <v>1793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13" t="s">
        <v>807</v>
      </c>
      <c r="B163" s="13" t="s">
        <v>411</v>
      </c>
      <c r="C163" s="13" t="s">
        <v>42</v>
      </c>
      <c r="D163" s="13" t="s">
        <v>1474</v>
      </c>
      <c r="E163" s="13">
        <v>-0.664217709055581</v>
      </c>
      <c r="F163" s="13">
        <v>0.00546674537681948</v>
      </c>
      <c r="G163" s="13">
        <v>-121.501490058792</v>
      </c>
      <c r="H163" s="13">
        <v>0.0</v>
      </c>
      <c r="I163" s="13">
        <v>2796779.0</v>
      </c>
      <c r="J163" s="31" t="s">
        <v>1796</v>
      </c>
      <c r="K163" s="31" t="s">
        <v>1793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13" t="s">
        <v>807</v>
      </c>
      <c r="B164" s="13" t="s">
        <v>411</v>
      </c>
      <c r="C164" s="13" t="s">
        <v>55</v>
      </c>
      <c r="D164" s="13" t="s">
        <v>1474</v>
      </c>
      <c r="E164" s="13">
        <v>-0.595678242933351</v>
      </c>
      <c r="F164" s="13">
        <v>0.00600831799791723</v>
      </c>
      <c r="G164" s="13">
        <v>-99.1422629660816</v>
      </c>
      <c r="H164" s="13">
        <v>0.0</v>
      </c>
      <c r="I164" s="13">
        <v>2790795.0</v>
      </c>
      <c r="J164" s="31" t="s">
        <v>1796</v>
      </c>
      <c r="K164" s="31" t="s">
        <v>1793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13" t="s">
        <v>807</v>
      </c>
      <c r="B165" s="13" t="s">
        <v>411</v>
      </c>
      <c r="C165" s="13" t="s">
        <v>1797</v>
      </c>
      <c r="D165" s="13" t="s">
        <v>1474</v>
      </c>
      <c r="E165" s="13">
        <v>0.0424709944748154</v>
      </c>
      <c r="F165" s="13">
        <v>0.0101933773345748</v>
      </c>
      <c r="G165" s="13">
        <v>4.16652823502945</v>
      </c>
      <c r="H165" s="63">
        <v>3.09273602650595E-5</v>
      </c>
      <c r="I165" s="13">
        <v>2797596.0</v>
      </c>
      <c r="J165" s="31" t="s">
        <v>1796</v>
      </c>
      <c r="K165" s="31" t="s">
        <v>1793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13" t="s">
        <v>809</v>
      </c>
      <c r="B166" s="13" t="s">
        <v>411</v>
      </c>
      <c r="C166" s="13" t="s">
        <v>570</v>
      </c>
      <c r="D166" s="13" t="s">
        <v>1474</v>
      </c>
      <c r="E166" s="13">
        <v>-0.707432194130387</v>
      </c>
      <c r="F166" s="13">
        <v>0.0068646431747296</v>
      </c>
      <c r="G166" s="13">
        <v>-103.054474373062</v>
      </c>
      <c r="H166" s="13">
        <v>0.0</v>
      </c>
      <c r="I166" s="13">
        <v>167774.0</v>
      </c>
      <c r="J166" s="31" t="s">
        <v>1796</v>
      </c>
      <c r="K166" s="31" t="s">
        <v>1793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13" t="s">
        <v>809</v>
      </c>
      <c r="B167" s="13" t="s">
        <v>411</v>
      </c>
      <c r="C167" s="13" t="s">
        <v>42</v>
      </c>
      <c r="D167" s="13" t="s">
        <v>1474</v>
      </c>
      <c r="E167" s="13">
        <v>-0.704620413680815</v>
      </c>
      <c r="F167" s="13">
        <v>0.00461992446805668</v>
      </c>
      <c r="G167" s="13">
        <v>-152.517734554479</v>
      </c>
      <c r="H167" s="13">
        <v>0.0</v>
      </c>
      <c r="I167" s="13">
        <v>2802007.0</v>
      </c>
      <c r="J167" s="31" t="s">
        <v>1796</v>
      </c>
      <c r="K167" s="31" t="s">
        <v>1793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13" t="s">
        <v>809</v>
      </c>
      <c r="B168" s="13" t="s">
        <v>411</v>
      </c>
      <c r="C168" s="13" t="s">
        <v>55</v>
      </c>
      <c r="D168" s="13" t="s">
        <v>1474</v>
      </c>
      <c r="E168" s="13">
        <v>-0.62843973486565</v>
      </c>
      <c r="F168" s="13">
        <v>0.00533219722182245</v>
      </c>
      <c r="G168" s="13">
        <v>-117.857556411024</v>
      </c>
      <c r="H168" s="13">
        <v>0.0</v>
      </c>
      <c r="I168" s="13">
        <v>2796017.0</v>
      </c>
      <c r="J168" s="31" t="s">
        <v>1796</v>
      </c>
      <c r="K168" s="31" t="s">
        <v>1793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13" t="s">
        <v>809</v>
      </c>
      <c r="B169" s="13" t="s">
        <v>411</v>
      </c>
      <c r="C169" s="13" t="s">
        <v>1797</v>
      </c>
      <c r="D169" s="13" t="s">
        <v>1474</v>
      </c>
      <c r="E169" s="13">
        <v>0.066818029028631</v>
      </c>
      <c r="F169" s="13">
        <v>0.00997825327880527</v>
      </c>
      <c r="G169" s="13">
        <v>6.69636530178669</v>
      </c>
      <c r="H169" s="63">
        <v>2.13667210953488E-11</v>
      </c>
      <c r="I169" s="13">
        <v>2802845.0</v>
      </c>
      <c r="J169" s="31" t="s">
        <v>1796</v>
      </c>
      <c r="K169" s="31" t="s">
        <v>1793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13" t="s">
        <v>811</v>
      </c>
      <c r="B170" s="13" t="s">
        <v>411</v>
      </c>
      <c r="C170" s="13" t="s">
        <v>570</v>
      </c>
      <c r="D170" s="13" t="s">
        <v>1474</v>
      </c>
      <c r="E170" s="13">
        <v>-0.697782823668076</v>
      </c>
      <c r="F170" s="13">
        <v>0.00699819264652495</v>
      </c>
      <c r="G170" s="13">
        <v>-99.709004726323</v>
      </c>
      <c r="H170" s="13">
        <v>0.0</v>
      </c>
      <c r="I170" s="13">
        <v>168100.0</v>
      </c>
      <c r="J170" s="31" t="s">
        <v>1796</v>
      </c>
      <c r="K170" s="31" t="s">
        <v>1793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13" t="s">
        <v>811</v>
      </c>
      <c r="B171" s="13" t="s">
        <v>411</v>
      </c>
      <c r="C171" s="13" t="s">
        <v>42</v>
      </c>
      <c r="D171" s="13" t="s">
        <v>1474</v>
      </c>
      <c r="E171" s="13">
        <v>-0.701341705053457</v>
      </c>
      <c r="F171" s="13">
        <v>0.00472128071863847</v>
      </c>
      <c r="G171" s="13">
        <v>-148.549037189152</v>
      </c>
      <c r="H171" s="13">
        <v>0.0</v>
      </c>
      <c r="I171" s="13">
        <v>2807559.0</v>
      </c>
      <c r="J171" s="31" t="s">
        <v>1796</v>
      </c>
      <c r="K171" s="31" t="s">
        <v>1793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13" t="s">
        <v>811</v>
      </c>
      <c r="B172" s="13" t="s">
        <v>411</v>
      </c>
      <c r="C172" s="13" t="s">
        <v>55</v>
      </c>
      <c r="D172" s="13" t="s">
        <v>1474</v>
      </c>
      <c r="E172" s="13">
        <v>-0.628796230044932</v>
      </c>
      <c r="F172" s="13">
        <v>0.00539207940169893</v>
      </c>
      <c r="G172" s="13">
        <v>-116.614794256703</v>
      </c>
      <c r="H172" s="13">
        <v>0.0</v>
      </c>
      <c r="I172" s="13">
        <v>2801552.0</v>
      </c>
      <c r="J172" s="31" t="s">
        <v>1796</v>
      </c>
      <c r="K172" s="31" t="s">
        <v>1793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13" t="s">
        <v>811</v>
      </c>
      <c r="B173" s="13" t="s">
        <v>411</v>
      </c>
      <c r="C173" s="13" t="s">
        <v>1797</v>
      </c>
      <c r="D173" s="13" t="s">
        <v>1474</v>
      </c>
      <c r="E173" s="13">
        <v>0.0536937671436585</v>
      </c>
      <c r="F173" s="13">
        <v>0.0100521215589481</v>
      </c>
      <c r="G173" s="13">
        <v>5.34153579707379</v>
      </c>
      <c r="H173" s="63">
        <v>9.21624115105946E-8</v>
      </c>
      <c r="I173" s="13">
        <v>2808389.0</v>
      </c>
      <c r="J173" s="31" t="s">
        <v>1796</v>
      </c>
      <c r="K173" s="31" t="s">
        <v>1793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13" t="s">
        <v>564</v>
      </c>
      <c r="B174" s="13" t="s">
        <v>411</v>
      </c>
      <c r="C174" s="13" t="s">
        <v>570</v>
      </c>
      <c r="D174" s="13" t="s">
        <v>1474</v>
      </c>
      <c r="E174" s="13">
        <v>-0.0617018091747253</v>
      </c>
      <c r="F174" s="13">
        <v>0.0418336652355532</v>
      </c>
      <c r="G174" s="13">
        <v>-1.47493194362244</v>
      </c>
      <c r="H174" s="13">
        <v>0.140230841258088</v>
      </c>
      <c r="I174" s="13">
        <v>16034.0</v>
      </c>
      <c r="J174" s="31" t="s">
        <v>1796</v>
      </c>
      <c r="K174" s="31" t="s">
        <v>1793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13" t="s">
        <v>564</v>
      </c>
      <c r="B175" s="13" t="s">
        <v>411</v>
      </c>
      <c r="C175" s="13" t="s">
        <v>42</v>
      </c>
      <c r="D175" s="13" t="s">
        <v>1474</v>
      </c>
      <c r="E175" s="13">
        <v>0.041263590425343</v>
      </c>
      <c r="F175" s="13">
        <v>0.0095363376703755</v>
      </c>
      <c r="G175" s="13">
        <v>4.32698503887166</v>
      </c>
      <c r="H175" s="63">
        <v>1.51164224861371E-5</v>
      </c>
      <c r="I175" s="13">
        <v>219141.0</v>
      </c>
      <c r="J175" s="31" t="s">
        <v>1796</v>
      </c>
      <c r="K175" s="31" t="s">
        <v>1793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13" t="s">
        <v>564</v>
      </c>
      <c r="B176" s="13" t="s">
        <v>411</v>
      </c>
      <c r="C176" s="13" t="s">
        <v>55</v>
      </c>
      <c r="D176" s="13" t="s">
        <v>1474</v>
      </c>
      <c r="E176" s="13">
        <v>-0.0022809554979151</v>
      </c>
      <c r="F176" s="13">
        <v>0.0104191180231312</v>
      </c>
      <c r="G176" s="13">
        <v>-0.218920209258711</v>
      </c>
      <c r="H176" s="13">
        <v>0.826712203580259</v>
      </c>
      <c r="I176" s="13">
        <v>219077.0</v>
      </c>
      <c r="J176" s="31" t="s">
        <v>1796</v>
      </c>
      <c r="K176" s="31" t="s">
        <v>1793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13" t="s">
        <v>564</v>
      </c>
      <c r="B177" s="13" t="s">
        <v>411</v>
      </c>
      <c r="C177" s="13" t="s">
        <v>1797</v>
      </c>
      <c r="D177" s="13" t="s">
        <v>1474</v>
      </c>
      <c r="E177" s="13">
        <v>-0.0259148543574589</v>
      </c>
      <c r="F177" s="13">
        <v>0.0112260432843564</v>
      </c>
      <c r="G177" s="13">
        <v>-2.3084584390986</v>
      </c>
      <c r="H177" s="13">
        <v>0.0209736518719151</v>
      </c>
      <c r="I177" s="13">
        <v>219130.0</v>
      </c>
      <c r="J177" s="31" t="s">
        <v>1796</v>
      </c>
      <c r="K177" s="31" t="s">
        <v>1793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13" t="s">
        <v>541</v>
      </c>
      <c r="B178" s="13" t="s">
        <v>411</v>
      </c>
      <c r="C178" s="13" t="s">
        <v>570</v>
      </c>
      <c r="D178" s="13" t="s">
        <v>1474</v>
      </c>
      <c r="E178" s="13">
        <v>-0.0416627637818808</v>
      </c>
      <c r="F178" s="13">
        <v>0.0314408047823258</v>
      </c>
      <c r="G178" s="13">
        <v>-1.32511760021171</v>
      </c>
      <c r="H178" s="13">
        <v>0.185132149463948</v>
      </c>
      <c r="I178" s="13">
        <v>23725.0</v>
      </c>
      <c r="J178" s="31" t="s">
        <v>1796</v>
      </c>
      <c r="K178" s="31" t="s">
        <v>1793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13" t="s">
        <v>541</v>
      </c>
      <c r="B179" s="13" t="s">
        <v>411</v>
      </c>
      <c r="C179" s="13" t="s">
        <v>42</v>
      </c>
      <c r="D179" s="13" t="s">
        <v>1474</v>
      </c>
      <c r="E179" s="13">
        <v>0.0477262788811117</v>
      </c>
      <c r="F179" s="13">
        <v>0.00780049838641141</v>
      </c>
      <c r="G179" s="13">
        <v>6.11836276567297</v>
      </c>
      <c r="H179" s="63">
        <v>9.45416501687873E-10</v>
      </c>
      <c r="I179" s="13">
        <v>333848.0</v>
      </c>
      <c r="J179" s="31" t="s">
        <v>1796</v>
      </c>
      <c r="K179" s="31" t="s">
        <v>1793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13" t="s">
        <v>541</v>
      </c>
      <c r="B180" s="13" t="s">
        <v>411</v>
      </c>
      <c r="C180" s="13" t="s">
        <v>55</v>
      </c>
      <c r="D180" s="13" t="s">
        <v>1474</v>
      </c>
      <c r="E180" s="13">
        <v>0.00841577778868548</v>
      </c>
      <c r="F180" s="13">
        <v>0.00855438527388659</v>
      </c>
      <c r="G180" s="13">
        <v>0.983796908747584</v>
      </c>
      <c r="H180" s="13">
        <v>0.325215379568055</v>
      </c>
      <c r="I180" s="13">
        <v>333736.0</v>
      </c>
      <c r="J180" s="31" t="s">
        <v>1796</v>
      </c>
      <c r="K180" s="31" t="s">
        <v>1793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13" t="s">
        <v>541</v>
      </c>
      <c r="B181" s="13" t="s">
        <v>411</v>
      </c>
      <c r="C181" s="13" t="s">
        <v>1797</v>
      </c>
      <c r="D181" s="13" t="s">
        <v>1474</v>
      </c>
      <c r="E181" s="13">
        <v>-0.00583334827366081</v>
      </c>
      <c r="F181" s="13">
        <v>0.00888394754577537</v>
      </c>
      <c r="G181" s="13">
        <v>-0.656616694729897</v>
      </c>
      <c r="H181" s="13">
        <v>0.511427411475973</v>
      </c>
      <c r="I181" s="13">
        <v>333832.0</v>
      </c>
      <c r="J181" s="31" t="s">
        <v>1796</v>
      </c>
      <c r="K181" s="31" t="s">
        <v>1793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13" t="s">
        <v>813</v>
      </c>
      <c r="B182" s="13" t="s">
        <v>411</v>
      </c>
      <c r="C182" s="13" t="s">
        <v>570</v>
      </c>
      <c r="D182" s="13" t="s">
        <v>1474</v>
      </c>
      <c r="E182" s="13">
        <v>-0.0574897047272834</v>
      </c>
      <c r="F182" s="13">
        <v>0.0130702241388592</v>
      </c>
      <c r="G182" s="13">
        <v>-4.39852477788504</v>
      </c>
      <c r="H182" s="63">
        <v>1.08989185166481E-5</v>
      </c>
      <c r="I182" s="13">
        <v>168706.0</v>
      </c>
      <c r="J182" s="31" t="s">
        <v>1796</v>
      </c>
      <c r="K182" s="31" t="s">
        <v>1793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13" t="s">
        <v>813</v>
      </c>
      <c r="B183" s="13" t="s">
        <v>411</v>
      </c>
      <c r="C183" s="13" t="s">
        <v>42</v>
      </c>
      <c r="D183" s="13" t="s">
        <v>1474</v>
      </c>
      <c r="E183" s="13">
        <v>0.00968752120714215</v>
      </c>
      <c r="F183" s="13">
        <v>0.00562108318915922</v>
      </c>
      <c r="G183" s="13">
        <v>1.72342605173063</v>
      </c>
      <c r="H183" s="13">
        <v>0.084811507136558</v>
      </c>
      <c r="I183" s="13">
        <v>2816839.0</v>
      </c>
      <c r="J183" s="31" t="s">
        <v>1796</v>
      </c>
      <c r="K183" s="31" t="s">
        <v>1793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13" t="s">
        <v>813</v>
      </c>
      <c r="B184" s="13" t="s">
        <v>411</v>
      </c>
      <c r="C184" s="13" t="s">
        <v>55</v>
      </c>
      <c r="D184" s="13" t="s">
        <v>1474</v>
      </c>
      <c r="E184" s="13">
        <v>-0.0453222427046789</v>
      </c>
      <c r="F184" s="13">
        <v>0.00614197014169869</v>
      </c>
      <c r="G184" s="13">
        <v>-7.37910501989905</v>
      </c>
      <c r="H184" s="63">
        <v>1.593570972088E-13</v>
      </c>
      <c r="I184" s="13">
        <v>2810812.0</v>
      </c>
      <c r="J184" s="31" t="s">
        <v>1796</v>
      </c>
      <c r="K184" s="31" t="s">
        <v>1793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13" t="s">
        <v>813</v>
      </c>
      <c r="B185" s="13" t="s">
        <v>411</v>
      </c>
      <c r="C185" s="13" t="s">
        <v>1797</v>
      </c>
      <c r="D185" s="13" t="s">
        <v>1474</v>
      </c>
      <c r="E185" s="13">
        <v>-0.0229998647627608</v>
      </c>
      <c r="F185" s="13">
        <v>0.00477400349028769</v>
      </c>
      <c r="G185" s="13">
        <v>-4.81773103215196</v>
      </c>
      <c r="H185" s="63">
        <v>1.45199920064994E-6</v>
      </c>
      <c r="I185" s="13">
        <v>2817642.0</v>
      </c>
      <c r="J185" s="31" t="s">
        <v>1796</v>
      </c>
      <c r="K185" s="31" t="s">
        <v>1793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13" t="s">
        <v>817</v>
      </c>
      <c r="B186" s="13" t="s">
        <v>411</v>
      </c>
      <c r="C186" s="13" t="s">
        <v>570</v>
      </c>
      <c r="D186" s="13" t="s">
        <v>1474</v>
      </c>
      <c r="E186" s="13">
        <v>-0.0423802058484805</v>
      </c>
      <c r="F186" s="13">
        <v>0.0127875046766341</v>
      </c>
      <c r="G186" s="13">
        <v>-3.31418888361538</v>
      </c>
      <c r="H186" s="63">
        <v>9.19093977365812E-4</v>
      </c>
      <c r="I186" s="13">
        <v>168836.0</v>
      </c>
      <c r="J186" s="31" t="s">
        <v>1796</v>
      </c>
      <c r="K186" s="31" t="s">
        <v>1793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13" t="s">
        <v>817</v>
      </c>
      <c r="B187" s="13" t="s">
        <v>411</v>
      </c>
      <c r="C187" s="13" t="s">
        <v>42</v>
      </c>
      <c r="D187" s="13" t="s">
        <v>1474</v>
      </c>
      <c r="E187" s="13">
        <v>0.0424260270482578</v>
      </c>
      <c r="F187" s="13">
        <v>0.00461670465669121</v>
      </c>
      <c r="G187" s="13">
        <v>9.18967753043671</v>
      </c>
      <c r="H187" s="63">
        <v>3.94020767971012E-20</v>
      </c>
      <c r="I187" s="13">
        <v>2818651.0</v>
      </c>
      <c r="J187" s="31" t="s">
        <v>1796</v>
      </c>
      <c r="K187" s="31" t="s">
        <v>1793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13" t="s">
        <v>817</v>
      </c>
      <c r="B188" s="13" t="s">
        <v>411</v>
      </c>
      <c r="C188" s="13" t="s">
        <v>55</v>
      </c>
      <c r="D188" s="13" t="s">
        <v>1474</v>
      </c>
      <c r="E188" s="13">
        <v>-0.0384708873924808</v>
      </c>
      <c r="F188" s="13">
        <v>0.00526543123071938</v>
      </c>
      <c r="G188" s="13">
        <v>-7.30631276086854</v>
      </c>
      <c r="H188" s="63">
        <v>2.74572658300121E-13</v>
      </c>
      <c r="I188" s="13">
        <v>2812624.0</v>
      </c>
      <c r="J188" s="31" t="s">
        <v>1796</v>
      </c>
      <c r="K188" s="31" t="s">
        <v>1793</v>
      </c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13" t="s">
        <v>817</v>
      </c>
      <c r="B189" s="13" t="s">
        <v>411</v>
      </c>
      <c r="C189" s="13" t="s">
        <v>1797</v>
      </c>
      <c r="D189" s="13" t="s">
        <v>1474</v>
      </c>
      <c r="E189" s="13">
        <v>-0.033684798549197</v>
      </c>
      <c r="F189" s="13">
        <v>0.00433014747175317</v>
      </c>
      <c r="G189" s="13">
        <v>-7.77913426019156</v>
      </c>
      <c r="H189" s="63">
        <v>7.30225331114501E-15</v>
      </c>
      <c r="I189" s="13">
        <v>2819453.0</v>
      </c>
      <c r="J189" s="31" t="s">
        <v>1796</v>
      </c>
      <c r="K189" s="31" t="s">
        <v>1793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13" t="s">
        <v>820</v>
      </c>
      <c r="B190" s="13" t="s">
        <v>411</v>
      </c>
      <c r="C190" s="13" t="s">
        <v>570</v>
      </c>
      <c r="D190" s="13" t="s">
        <v>1474</v>
      </c>
      <c r="E190" s="13">
        <v>-0.048207711179975</v>
      </c>
      <c r="F190" s="13">
        <v>0.0127918435121323</v>
      </c>
      <c r="G190" s="13">
        <v>-3.76862890280454</v>
      </c>
      <c r="H190" s="63">
        <v>1.64146711740088E-4</v>
      </c>
      <c r="I190" s="13">
        <v>168833.0</v>
      </c>
      <c r="J190" s="31" t="s">
        <v>1796</v>
      </c>
      <c r="K190" s="31" t="s">
        <v>1793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13" t="s">
        <v>820</v>
      </c>
      <c r="B191" s="13" t="s">
        <v>411</v>
      </c>
      <c r="C191" s="13" t="s">
        <v>42</v>
      </c>
      <c r="D191" s="13" t="s">
        <v>1474</v>
      </c>
      <c r="E191" s="13">
        <v>0.0406961787752747</v>
      </c>
      <c r="F191" s="13">
        <v>0.0044383612994656</v>
      </c>
      <c r="G191" s="13">
        <v>9.1691901648869</v>
      </c>
      <c r="H191" s="63">
        <v>4.76585830168979E-20</v>
      </c>
      <c r="I191" s="13">
        <v>2818960.0</v>
      </c>
      <c r="J191" s="31" t="s">
        <v>1796</v>
      </c>
      <c r="K191" s="31" t="s">
        <v>1793</v>
      </c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13" t="s">
        <v>820</v>
      </c>
      <c r="B192" s="13" t="s">
        <v>411</v>
      </c>
      <c r="C192" s="13" t="s">
        <v>55</v>
      </c>
      <c r="D192" s="13" t="s">
        <v>1474</v>
      </c>
      <c r="E192" s="13">
        <v>-0.0383557518678637</v>
      </c>
      <c r="F192" s="13">
        <v>0.00487335320831983</v>
      </c>
      <c r="G192" s="13">
        <v>-7.87050522059071</v>
      </c>
      <c r="H192" s="63">
        <v>3.53211926632117E-15</v>
      </c>
      <c r="I192" s="13">
        <v>2812934.0</v>
      </c>
      <c r="J192" s="31" t="s">
        <v>1796</v>
      </c>
      <c r="K192" s="31" t="s">
        <v>1793</v>
      </c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13" t="s">
        <v>820</v>
      </c>
      <c r="B193" s="13" t="s">
        <v>411</v>
      </c>
      <c r="C193" s="13" t="s">
        <v>1797</v>
      </c>
      <c r="D193" s="13" t="s">
        <v>1474</v>
      </c>
      <c r="E193" s="13">
        <v>-0.0324431087964274</v>
      </c>
      <c r="F193" s="13">
        <v>0.00430636294653848</v>
      </c>
      <c r="G193" s="13">
        <v>-7.53376090199401</v>
      </c>
      <c r="H193" s="63">
        <v>4.92993624197885E-14</v>
      </c>
      <c r="I193" s="13">
        <v>2819762.0</v>
      </c>
      <c r="J193" s="31" t="s">
        <v>1796</v>
      </c>
      <c r="K193" s="31" t="s">
        <v>1793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13" t="s">
        <v>452</v>
      </c>
      <c r="B194" s="13" t="s">
        <v>411</v>
      </c>
      <c r="C194" s="13" t="s">
        <v>570</v>
      </c>
      <c r="D194" s="13" t="s">
        <v>1474</v>
      </c>
      <c r="E194" s="13">
        <v>-0.490718684541931</v>
      </c>
      <c r="F194" s="13">
        <v>0.0109533063238676</v>
      </c>
      <c r="G194" s="13">
        <v>-44.8009642049943</v>
      </c>
      <c r="H194" s="13">
        <v>0.0</v>
      </c>
      <c r="I194" s="13">
        <v>146534.0</v>
      </c>
      <c r="J194" s="31" t="s">
        <v>1796</v>
      </c>
      <c r="K194" s="31" t="s">
        <v>1793</v>
      </c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13" t="s">
        <v>452</v>
      </c>
      <c r="B195" s="13" t="s">
        <v>411</v>
      </c>
      <c r="C195" s="13" t="s">
        <v>42</v>
      </c>
      <c r="D195" s="13" t="s">
        <v>1474</v>
      </c>
      <c r="E195" s="13">
        <v>-0.492941452331267</v>
      </c>
      <c r="F195" s="13">
        <v>0.00732749594295781</v>
      </c>
      <c r="G195" s="13">
        <v>-67.2728386571152</v>
      </c>
      <c r="H195" s="13">
        <v>0.0</v>
      </c>
      <c r="I195" s="13">
        <v>2299776.0</v>
      </c>
      <c r="J195" s="31" t="s">
        <v>1796</v>
      </c>
      <c r="K195" s="31" t="s">
        <v>1793</v>
      </c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13" t="s">
        <v>452</v>
      </c>
      <c r="B196" s="13" t="s">
        <v>411</v>
      </c>
      <c r="C196" s="13" t="s">
        <v>55</v>
      </c>
      <c r="D196" s="13" t="s">
        <v>1474</v>
      </c>
      <c r="E196" s="13">
        <v>-0.440322052921874</v>
      </c>
      <c r="F196" s="13">
        <v>0.00720455431429106</v>
      </c>
      <c r="G196" s="13">
        <v>-61.1171813985003</v>
      </c>
      <c r="H196" s="13">
        <v>0.0</v>
      </c>
      <c r="I196" s="13">
        <v>2298573.0</v>
      </c>
      <c r="J196" s="31" t="s">
        <v>1796</v>
      </c>
      <c r="K196" s="31" t="s">
        <v>1793</v>
      </c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13" t="s">
        <v>452</v>
      </c>
      <c r="B197" s="13" t="s">
        <v>411</v>
      </c>
      <c r="C197" s="13" t="s">
        <v>1797</v>
      </c>
      <c r="D197" s="13" t="s">
        <v>1474</v>
      </c>
      <c r="E197" s="13">
        <v>0.220634056713628</v>
      </c>
      <c r="F197" s="13">
        <v>0.00722298428440726</v>
      </c>
      <c r="G197" s="13">
        <v>30.5461078172252</v>
      </c>
      <c r="H197" s="63">
        <v>6.3693356207875E-205</v>
      </c>
      <c r="I197" s="13">
        <v>2299726.0</v>
      </c>
      <c r="J197" s="31" t="s">
        <v>1796</v>
      </c>
      <c r="K197" s="31" t="s">
        <v>1793</v>
      </c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13" t="s">
        <v>413</v>
      </c>
      <c r="B198" s="13" t="s">
        <v>411</v>
      </c>
      <c r="C198" s="13" t="s">
        <v>570</v>
      </c>
      <c r="D198" s="13" t="s">
        <v>1474</v>
      </c>
      <c r="E198" s="13">
        <v>-0.703857030366199</v>
      </c>
      <c r="F198" s="13">
        <v>0.00642461276134827</v>
      </c>
      <c r="G198" s="13">
        <v>-109.556335379579</v>
      </c>
      <c r="H198" s="13">
        <v>0.0</v>
      </c>
      <c r="I198" s="13">
        <v>168432.0</v>
      </c>
      <c r="J198" s="31" t="s">
        <v>1796</v>
      </c>
      <c r="K198" s="31" t="s">
        <v>1793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13" t="s">
        <v>413</v>
      </c>
      <c r="B199" s="13" t="s">
        <v>411</v>
      </c>
      <c r="C199" s="13" t="s">
        <v>42</v>
      </c>
      <c r="D199" s="13" t="s">
        <v>1474</v>
      </c>
      <c r="E199" s="13">
        <v>-0.698219609188507</v>
      </c>
      <c r="F199" s="13">
        <v>0.00395155505381979</v>
      </c>
      <c r="G199" s="13">
        <v>-176.694895978627</v>
      </c>
      <c r="H199" s="13">
        <v>0.0</v>
      </c>
      <c r="I199" s="13">
        <v>2795558.0</v>
      </c>
      <c r="J199" s="31" t="s">
        <v>1796</v>
      </c>
      <c r="K199" s="31" t="s">
        <v>1793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13" t="s">
        <v>413</v>
      </c>
      <c r="B200" s="13" t="s">
        <v>411</v>
      </c>
      <c r="C200" s="13" t="s">
        <v>55</v>
      </c>
      <c r="D200" s="13" t="s">
        <v>1474</v>
      </c>
      <c r="E200" s="13">
        <v>-0.614150902967345</v>
      </c>
      <c r="F200" s="13">
        <v>0.00426720020881383</v>
      </c>
      <c r="G200" s="13">
        <v>-143.923620386694</v>
      </c>
      <c r="H200" s="13">
        <v>0.0</v>
      </c>
      <c r="I200" s="13">
        <v>2791850.0</v>
      </c>
      <c r="J200" s="31" t="s">
        <v>1796</v>
      </c>
      <c r="K200" s="31" t="s">
        <v>1793</v>
      </c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13" t="s">
        <v>413</v>
      </c>
      <c r="B201" s="13" t="s">
        <v>411</v>
      </c>
      <c r="C201" s="13" t="s">
        <v>1797</v>
      </c>
      <c r="D201" s="13" t="s">
        <v>1474</v>
      </c>
      <c r="E201" s="13">
        <v>0.274533383319081</v>
      </c>
      <c r="F201" s="13">
        <v>0.00657748738421556</v>
      </c>
      <c r="G201" s="13">
        <v>41.7383367359848</v>
      </c>
      <c r="H201" s="13">
        <v>0.0</v>
      </c>
      <c r="I201" s="13">
        <v>2795768.0</v>
      </c>
      <c r="J201" s="31" t="s">
        <v>1796</v>
      </c>
      <c r="K201" s="31" t="s">
        <v>1793</v>
      </c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13" t="s">
        <v>822</v>
      </c>
      <c r="B202" s="13" t="s">
        <v>411</v>
      </c>
      <c r="C202" s="13" t="s">
        <v>570</v>
      </c>
      <c r="D202" s="13" t="s">
        <v>1474</v>
      </c>
      <c r="E202" s="13">
        <v>-0.779578808788215</v>
      </c>
      <c r="F202" s="13">
        <v>0.00482551385226086</v>
      </c>
      <c r="G202" s="13">
        <v>-161.553532464312</v>
      </c>
      <c r="H202" s="13">
        <v>0.0</v>
      </c>
      <c r="I202" s="13">
        <v>168612.0</v>
      </c>
      <c r="J202" s="31" t="s">
        <v>1796</v>
      </c>
      <c r="K202" s="31" t="s">
        <v>1793</v>
      </c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13" t="s">
        <v>822</v>
      </c>
      <c r="B203" s="13" t="s">
        <v>411</v>
      </c>
      <c r="C203" s="13" t="s">
        <v>42</v>
      </c>
      <c r="D203" s="13" t="s">
        <v>1474</v>
      </c>
      <c r="E203" s="13">
        <v>-0.792603555901549</v>
      </c>
      <c r="F203" s="13">
        <v>0.00238137272088866</v>
      </c>
      <c r="G203" s="13">
        <v>-332.834733911695</v>
      </c>
      <c r="H203" s="13">
        <v>0.0</v>
      </c>
      <c r="I203" s="13">
        <v>2810936.0</v>
      </c>
      <c r="J203" s="31" t="s">
        <v>1796</v>
      </c>
      <c r="K203" s="31" t="s">
        <v>1793</v>
      </c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13" t="s">
        <v>822</v>
      </c>
      <c r="B204" s="13" t="s">
        <v>411</v>
      </c>
      <c r="C204" s="13" t="s">
        <v>55</v>
      </c>
      <c r="D204" s="13" t="s">
        <v>1474</v>
      </c>
      <c r="E204" s="13">
        <v>-0.699142082106376</v>
      </c>
      <c r="F204" s="13">
        <v>0.00315729756275186</v>
      </c>
      <c r="G204" s="13">
        <v>-221.436867514321</v>
      </c>
      <c r="H204" s="13">
        <v>0.0</v>
      </c>
      <c r="I204" s="13">
        <v>2805387.0</v>
      </c>
      <c r="J204" s="31" t="s">
        <v>1796</v>
      </c>
      <c r="K204" s="31" t="s">
        <v>1793</v>
      </c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13" t="s">
        <v>822</v>
      </c>
      <c r="B205" s="13" t="s">
        <v>411</v>
      </c>
      <c r="C205" s="13" t="s">
        <v>1797</v>
      </c>
      <c r="D205" s="13" t="s">
        <v>1474</v>
      </c>
      <c r="E205" s="13">
        <v>0.278757636565925</v>
      </c>
      <c r="F205" s="13">
        <v>0.00627121225616061</v>
      </c>
      <c r="G205" s="13">
        <v>44.4503590660775</v>
      </c>
      <c r="H205" s="13">
        <v>0.0</v>
      </c>
      <c r="I205" s="13">
        <v>2811688.0</v>
      </c>
      <c r="J205" s="31" t="s">
        <v>1796</v>
      </c>
      <c r="K205" s="31" t="s">
        <v>1793</v>
      </c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13" t="s">
        <v>634</v>
      </c>
      <c r="B206" s="13" t="s">
        <v>411</v>
      </c>
      <c r="C206" s="13" t="s">
        <v>570</v>
      </c>
      <c r="D206" s="13" t="s">
        <v>1474</v>
      </c>
      <c r="E206" s="13">
        <v>-0.176961091412361</v>
      </c>
      <c r="F206" s="13">
        <v>0.0901834844067977</v>
      </c>
      <c r="G206" s="13">
        <v>-1.96223391207784</v>
      </c>
      <c r="H206" s="13">
        <v>0.0497352574341758</v>
      </c>
      <c r="I206" s="13">
        <v>3311.0</v>
      </c>
      <c r="J206" s="31" t="s">
        <v>1796</v>
      </c>
      <c r="K206" s="31" t="s">
        <v>1793</v>
      </c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13" t="s">
        <v>634</v>
      </c>
      <c r="B207" s="13" t="s">
        <v>411</v>
      </c>
      <c r="C207" s="13" t="s">
        <v>42</v>
      </c>
      <c r="D207" s="13" t="s">
        <v>1474</v>
      </c>
      <c r="E207" s="13">
        <v>0.0411750062200243</v>
      </c>
      <c r="F207" s="13">
        <v>0.0195447984542526</v>
      </c>
      <c r="G207" s="13">
        <v>2.10669894173634</v>
      </c>
      <c r="H207" s="13">
        <v>0.0351436840043463</v>
      </c>
      <c r="I207" s="13">
        <v>48197.0</v>
      </c>
      <c r="J207" s="31" t="s">
        <v>1796</v>
      </c>
      <c r="K207" s="31" t="s">
        <v>1793</v>
      </c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13" t="s">
        <v>634</v>
      </c>
      <c r="B208" s="13" t="s">
        <v>411</v>
      </c>
      <c r="C208" s="13" t="s">
        <v>55</v>
      </c>
      <c r="D208" s="13" t="s">
        <v>1474</v>
      </c>
      <c r="E208" s="13">
        <v>0.0286511940953735</v>
      </c>
      <c r="F208" s="13">
        <v>0.0233286035051416</v>
      </c>
      <c r="G208" s="13">
        <v>1.22815727435458</v>
      </c>
      <c r="H208" s="13">
        <v>0.219387934078849</v>
      </c>
      <c r="I208" s="13">
        <v>48185.0</v>
      </c>
      <c r="J208" s="31" t="s">
        <v>1796</v>
      </c>
      <c r="K208" s="31" t="s">
        <v>1793</v>
      </c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13" t="s">
        <v>634</v>
      </c>
      <c r="B209" s="13" t="s">
        <v>411</v>
      </c>
      <c r="C209" s="13" t="s">
        <v>1797</v>
      </c>
      <c r="D209" s="13" t="s">
        <v>1474</v>
      </c>
      <c r="E209" s="13">
        <v>0.0339401419101787</v>
      </c>
      <c r="F209" s="13">
        <v>0.0233624700350108</v>
      </c>
      <c r="G209" s="13">
        <v>1.45276342181782</v>
      </c>
      <c r="H209" s="13">
        <v>0.14628945110255</v>
      </c>
      <c r="I209" s="13">
        <v>48195.0</v>
      </c>
      <c r="J209" s="31" t="s">
        <v>1796</v>
      </c>
      <c r="K209" s="31" t="s">
        <v>1793</v>
      </c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13" t="s">
        <v>826</v>
      </c>
      <c r="B210" s="13" t="s">
        <v>411</v>
      </c>
      <c r="C210" s="13" t="s">
        <v>570</v>
      </c>
      <c r="D210" s="13" t="s">
        <v>1474</v>
      </c>
      <c r="E210" s="13">
        <v>-0.0362339965504878</v>
      </c>
      <c r="F210" s="13">
        <v>0.0125571091190251</v>
      </c>
      <c r="G210" s="13">
        <v>-2.88553648829808</v>
      </c>
      <c r="H210" s="13">
        <v>0.00390747163755548</v>
      </c>
      <c r="I210" s="13">
        <v>168473.0</v>
      </c>
      <c r="J210" s="31" t="s">
        <v>1796</v>
      </c>
      <c r="K210" s="31" t="s">
        <v>1793</v>
      </c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13" t="s">
        <v>826</v>
      </c>
      <c r="B211" s="13" t="s">
        <v>411</v>
      </c>
      <c r="C211" s="13" t="s">
        <v>42</v>
      </c>
      <c r="D211" s="13" t="s">
        <v>1474</v>
      </c>
      <c r="E211" s="13">
        <v>0.027887917075761</v>
      </c>
      <c r="F211" s="13">
        <v>0.00459276563839122</v>
      </c>
      <c r="G211" s="13">
        <v>6.07214024653123</v>
      </c>
      <c r="H211" s="63">
        <v>1.26216625299552E-9</v>
      </c>
      <c r="I211" s="13">
        <v>2811808.0</v>
      </c>
      <c r="J211" s="31" t="s">
        <v>1796</v>
      </c>
      <c r="K211" s="31" t="s">
        <v>1793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13" t="s">
        <v>826</v>
      </c>
      <c r="B212" s="13" t="s">
        <v>411</v>
      </c>
      <c r="C212" s="13" t="s">
        <v>55</v>
      </c>
      <c r="D212" s="13" t="s">
        <v>1474</v>
      </c>
      <c r="E212" s="13">
        <v>-0.040376004074348</v>
      </c>
      <c r="F212" s="13">
        <v>0.00519387981535755</v>
      </c>
      <c r="G212" s="13">
        <v>-7.77376556826788</v>
      </c>
      <c r="H212" s="63">
        <v>7.61866814579372E-15</v>
      </c>
      <c r="I212" s="13">
        <v>2805794.0</v>
      </c>
      <c r="J212" s="31" t="s">
        <v>1796</v>
      </c>
      <c r="K212" s="31" t="s">
        <v>1793</v>
      </c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13" t="s">
        <v>826</v>
      </c>
      <c r="B213" s="13" t="s">
        <v>411</v>
      </c>
      <c r="C213" s="13" t="s">
        <v>1797</v>
      </c>
      <c r="D213" s="13" t="s">
        <v>1474</v>
      </c>
      <c r="E213" s="13">
        <v>-0.0247882886592561</v>
      </c>
      <c r="F213" s="13">
        <v>0.00474751407277724</v>
      </c>
      <c r="G213" s="13">
        <v>-5.22131967999733</v>
      </c>
      <c r="H213" s="63">
        <v>1.77652560484012E-7</v>
      </c>
      <c r="I213" s="13">
        <v>2812603.0</v>
      </c>
      <c r="J213" s="31" t="s">
        <v>1796</v>
      </c>
      <c r="K213" s="31" t="s">
        <v>1793</v>
      </c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13" t="s">
        <v>830</v>
      </c>
      <c r="B214" s="13" t="s">
        <v>411</v>
      </c>
      <c r="C214" s="13" t="s">
        <v>570</v>
      </c>
      <c r="D214" s="13" t="s">
        <v>1474</v>
      </c>
      <c r="E214" s="13">
        <v>-0.166559316734319</v>
      </c>
      <c r="F214" s="13">
        <v>0.0138769931324982</v>
      </c>
      <c r="G214" s="13">
        <v>-12.0025509232441</v>
      </c>
      <c r="H214" s="63">
        <v>3.44511820150958E-33</v>
      </c>
      <c r="I214" s="13">
        <v>168773.0</v>
      </c>
      <c r="J214" s="31" t="s">
        <v>1796</v>
      </c>
      <c r="K214" s="31" t="s">
        <v>1793</v>
      </c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13" t="s">
        <v>830</v>
      </c>
      <c r="B215" s="13" t="s">
        <v>411</v>
      </c>
      <c r="C215" s="13" t="s">
        <v>42</v>
      </c>
      <c r="D215" s="13" t="s">
        <v>1474</v>
      </c>
      <c r="E215" s="13">
        <v>-0.115902980137008</v>
      </c>
      <c r="F215" s="13">
        <v>0.00882614560918874</v>
      </c>
      <c r="G215" s="13">
        <v>-13.1317774789874</v>
      </c>
      <c r="H215" s="63">
        <v>2.16514017038783E-39</v>
      </c>
      <c r="I215" s="13">
        <v>2817845.0</v>
      </c>
      <c r="J215" s="31" t="s">
        <v>1796</v>
      </c>
      <c r="K215" s="31" t="s">
        <v>1793</v>
      </c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13" t="s">
        <v>830</v>
      </c>
      <c r="B216" s="13" t="s">
        <v>411</v>
      </c>
      <c r="C216" s="13" t="s">
        <v>55</v>
      </c>
      <c r="D216" s="13" t="s">
        <v>1474</v>
      </c>
      <c r="E216" s="13">
        <v>-0.134697768366299</v>
      </c>
      <c r="F216" s="13">
        <v>0.00857170124588753</v>
      </c>
      <c r="G216" s="13">
        <v>-15.7142397410227</v>
      </c>
      <c r="H216" s="63">
        <v>1.20821823753083E-55</v>
      </c>
      <c r="I216" s="13">
        <v>2811814.0</v>
      </c>
      <c r="J216" s="31" t="s">
        <v>1796</v>
      </c>
      <c r="K216" s="31" t="s">
        <v>1793</v>
      </c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13" t="s">
        <v>830</v>
      </c>
      <c r="B217" s="13" t="s">
        <v>411</v>
      </c>
      <c r="C217" s="13" t="s">
        <v>1797</v>
      </c>
      <c r="D217" s="13" t="s">
        <v>1474</v>
      </c>
      <c r="E217" s="13">
        <v>0.0380121466603021</v>
      </c>
      <c r="F217" s="13">
        <v>0.00679138684575382</v>
      </c>
      <c r="G217" s="13">
        <v>5.59711109433686</v>
      </c>
      <c r="H217" s="63">
        <v>2.17953053374326E-8</v>
      </c>
      <c r="I217" s="13">
        <v>2818649.0</v>
      </c>
      <c r="J217" s="31" t="s">
        <v>1796</v>
      </c>
      <c r="K217" s="31" t="s">
        <v>1793</v>
      </c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13" t="s">
        <v>833</v>
      </c>
      <c r="B218" s="13" t="s">
        <v>411</v>
      </c>
      <c r="C218" s="13" t="s">
        <v>570</v>
      </c>
      <c r="D218" s="13" t="s">
        <v>1474</v>
      </c>
      <c r="E218" s="13">
        <v>-0.35652679116743</v>
      </c>
      <c r="F218" s="13">
        <v>0.0137458697636376</v>
      </c>
      <c r="G218" s="13">
        <v>-25.9370121569579</v>
      </c>
      <c r="H218" s="63">
        <v>2.54810668370232E-148</v>
      </c>
      <c r="I218" s="13">
        <v>168830.0</v>
      </c>
      <c r="J218" s="31" t="s">
        <v>1796</v>
      </c>
      <c r="K218" s="31" t="s">
        <v>1793</v>
      </c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13" t="s">
        <v>833</v>
      </c>
      <c r="B219" s="13" t="s">
        <v>411</v>
      </c>
      <c r="C219" s="13" t="s">
        <v>42</v>
      </c>
      <c r="D219" s="13" t="s">
        <v>1474</v>
      </c>
      <c r="E219" s="13">
        <v>-0.325977357036532</v>
      </c>
      <c r="F219" s="13">
        <v>0.0101861229068709</v>
      </c>
      <c r="G219" s="13">
        <v>-32.0021032552679</v>
      </c>
      <c r="H219" s="63">
        <v>1.01937266957161E-224</v>
      </c>
      <c r="I219" s="13">
        <v>2818887.0</v>
      </c>
      <c r="J219" s="31" t="s">
        <v>1796</v>
      </c>
      <c r="K219" s="31" t="s">
        <v>1793</v>
      </c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13" t="s">
        <v>833</v>
      </c>
      <c r="B220" s="13" t="s">
        <v>411</v>
      </c>
      <c r="C220" s="13" t="s">
        <v>55</v>
      </c>
      <c r="D220" s="13" t="s">
        <v>1474</v>
      </c>
      <c r="E220" s="13">
        <v>-0.329935722748269</v>
      </c>
      <c r="F220" s="13">
        <v>0.00992261679829335</v>
      </c>
      <c r="G220" s="13">
        <v>-33.2508782164213</v>
      </c>
      <c r="H220" s="63">
        <v>1.98251543066993E-242</v>
      </c>
      <c r="I220" s="13">
        <v>2812850.0</v>
      </c>
      <c r="J220" s="31" t="s">
        <v>1796</v>
      </c>
      <c r="K220" s="31" t="s">
        <v>1793</v>
      </c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13" t="s">
        <v>833</v>
      </c>
      <c r="B221" s="13" t="s">
        <v>411</v>
      </c>
      <c r="C221" s="13" t="s">
        <v>1797</v>
      </c>
      <c r="D221" s="13" t="s">
        <v>1474</v>
      </c>
      <c r="E221" s="13">
        <v>0.00516692230435892</v>
      </c>
      <c r="F221" s="13">
        <v>0.00998760075641489</v>
      </c>
      <c r="G221" s="13">
        <v>0.517333685073493</v>
      </c>
      <c r="H221" s="13">
        <v>0.604923243370341</v>
      </c>
      <c r="I221" s="13">
        <v>2819689.0</v>
      </c>
      <c r="J221" s="31" t="s">
        <v>1796</v>
      </c>
      <c r="K221" s="31" t="s">
        <v>1793</v>
      </c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13" t="s">
        <v>835</v>
      </c>
      <c r="B222" s="13" t="s">
        <v>411</v>
      </c>
      <c r="C222" s="13" t="s">
        <v>570</v>
      </c>
      <c r="D222" s="13" t="s">
        <v>1474</v>
      </c>
      <c r="E222" s="13">
        <v>-0.433466047460023</v>
      </c>
      <c r="F222" s="13">
        <v>0.0125869143214915</v>
      </c>
      <c r="G222" s="13">
        <v>-34.4378325289702</v>
      </c>
      <c r="H222" s="63">
        <v>6.84953667039819E-260</v>
      </c>
      <c r="I222" s="13">
        <v>168839.0</v>
      </c>
      <c r="J222" s="31" t="s">
        <v>1796</v>
      </c>
      <c r="K222" s="31" t="s">
        <v>1793</v>
      </c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13" t="s">
        <v>835</v>
      </c>
      <c r="B223" s="13" t="s">
        <v>411</v>
      </c>
      <c r="C223" s="13" t="s">
        <v>42</v>
      </c>
      <c r="D223" s="13" t="s">
        <v>1474</v>
      </c>
      <c r="E223" s="13">
        <v>-0.384081147168503</v>
      </c>
      <c r="F223" s="13">
        <v>0.00962650123519462</v>
      </c>
      <c r="G223" s="13">
        <v>-39.8983117318155</v>
      </c>
      <c r="H223" s="13">
        <v>0.0</v>
      </c>
      <c r="I223" s="13">
        <v>2818929.0</v>
      </c>
      <c r="J223" s="31" t="s">
        <v>1796</v>
      </c>
      <c r="K223" s="31" t="s">
        <v>1793</v>
      </c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13" t="s">
        <v>835</v>
      </c>
      <c r="B224" s="13" t="s">
        <v>411</v>
      </c>
      <c r="C224" s="13" t="s">
        <v>55</v>
      </c>
      <c r="D224" s="13" t="s">
        <v>1474</v>
      </c>
      <c r="E224" s="13">
        <v>-0.390810527766994</v>
      </c>
      <c r="F224" s="13">
        <v>0.0091456916781022</v>
      </c>
      <c r="G224" s="13">
        <v>-42.7316534956807</v>
      </c>
      <c r="H224" s="13">
        <v>0.0</v>
      </c>
      <c r="I224" s="13">
        <v>2812901.0</v>
      </c>
      <c r="J224" s="31" t="s">
        <v>1796</v>
      </c>
      <c r="K224" s="31" t="s">
        <v>1793</v>
      </c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13" t="s">
        <v>835</v>
      </c>
      <c r="B225" s="13" t="s">
        <v>411</v>
      </c>
      <c r="C225" s="13" t="s">
        <v>1797</v>
      </c>
      <c r="D225" s="13" t="s">
        <v>1474</v>
      </c>
      <c r="E225" s="13">
        <v>0.0137514196268611</v>
      </c>
      <c r="F225" s="13">
        <v>0.0102317056162581</v>
      </c>
      <c r="G225" s="13">
        <v>1.34400071137798</v>
      </c>
      <c r="H225" s="13">
        <v>0.178948156864984</v>
      </c>
      <c r="I225" s="13">
        <v>2819732.0</v>
      </c>
      <c r="J225" s="31" t="s">
        <v>1796</v>
      </c>
      <c r="K225" s="31" t="s">
        <v>1793</v>
      </c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13" t="s">
        <v>837</v>
      </c>
      <c r="B226" s="13" t="s">
        <v>411</v>
      </c>
      <c r="C226" s="13" t="s">
        <v>570</v>
      </c>
      <c r="D226" s="13" t="s">
        <v>1474</v>
      </c>
      <c r="E226" s="13">
        <v>-0.423688142731345</v>
      </c>
      <c r="F226" s="13">
        <v>0.0123653465754958</v>
      </c>
      <c r="G226" s="13">
        <v>-34.2641542753811</v>
      </c>
      <c r="H226" s="63">
        <v>2.68449798762287E-257</v>
      </c>
      <c r="I226" s="13">
        <v>168252.0</v>
      </c>
      <c r="J226" s="31" t="s">
        <v>1796</v>
      </c>
      <c r="K226" s="31" t="s">
        <v>1793</v>
      </c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13" t="s">
        <v>837</v>
      </c>
      <c r="B227" s="13" t="s">
        <v>411</v>
      </c>
      <c r="C227" s="13" t="s">
        <v>42</v>
      </c>
      <c r="D227" s="13" t="s">
        <v>1474</v>
      </c>
      <c r="E227" s="13">
        <v>-0.394303647236581</v>
      </c>
      <c r="F227" s="13">
        <v>0.008992649557588</v>
      </c>
      <c r="G227" s="13">
        <v>-43.8473271655368</v>
      </c>
      <c r="H227" s="13">
        <v>0.0</v>
      </c>
      <c r="I227" s="13">
        <v>2809092.0</v>
      </c>
      <c r="J227" s="31" t="s">
        <v>1796</v>
      </c>
      <c r="K227" s="31" t="s">
        <v>1793</v>
      </c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13" t="s">
        <v>837</v>
      </c>
      <c r="B228" s="13" t="s">
        <v>411</v>
      </c>
      <c r="C228" s="13" t="s">
        <v>55</v>
      </c>
      <c r="D228" s="13" t="s">
        <v>1474</v>
      </c>
      <c r="E228" s="13">
        <v>-0.391668569159299</v>
      </c>
      <c r="F228" s="13">
        <v>0.00895903828653182</v>
      </c>
      <c r="G228" s="13">
        <v>-43.7177023507195</v>
      </c>
      <c r="H228" s="13">
        <v>0.0</v>
      </c>
      <c r="I228" s="13">
        <v>2803084.0</v>
      </c>
      <c r="J228" s="31" t="s">
        <v>1796</v>
      </c>
      <c r="K228" s="31" t="s">
        <v>1793</v>
      </c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13" t="s">
        <v>837</v>
      </c>
      <c r="B229" s="13" t="s">
        <v>411</v>
      </c>
      <c r="C229" s="13" t="s">
        <v>1797</v>
      </c>
      <c r="D229" s="13" t="s">
        <v>1474</v>
      </c>
      <c r="E229" s="13">
        <v>-0.00193438720577676</v>
      </c>
      <c r="F229" s="13">
        <v>0.0104529195000338</v>
      </c>
      <c r="G229" s="13">
        <v>-0.185057122631672</v>
      </c>
      <c r="H229" s="13">
        <v>0.853184231849624</v>
      </c>
      <c r="I229" s="13">
        <v>2809892.0</v>
      </c>
      <c r="J229" s="31" t="s">
        <v>1796</v>
      </c>
      <c r="K229" s="31" t="s">
        <v>1793</v>
      </c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13" t="s">
        <v>839</v>
      </c>
      <c r="B230" s="13" t="s">
        <v>411</v>
      </c>
      <c r="C230" s="13" t="s">
        <v>570</v>
      </c>
      <c r="D230" s="13" t="s">
        <v>1474</v>
      </c>
      <c r="E230" s="13">
        <v>-0.568210032701553</v>
      </c>
      <c r="F230" s="13">
        <v>0.0103355893634556</v>
      </c>
      <c r="G230" s="13">
        <v>-54.9760650041512</v>
      </c>
      <c r="H230" s="13">
        <v>0.0</v>
      </c>
      <c r="I230" s="13">
        <v>168636.0</v>
      </c>
      <c r="J230" s="31" t="s">
        <v>1796</v>
      </c>
      <c r="K230" s="31" t="s">
        <v>1793</v>
      </c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13" t="s">
        <v>839</v>
      </c>
      <c r="B231" s="13" t="s">
        <v>411</v>
      </c>
      <c r="C231" s="13" t="s">
        <v>42</v>
      </c>
      <c r="D231" s="13" t="s">
        <v>1474</v>
      </c>
      <c r="E231" s="13">
        <v>-0.552168336385212</v>
      </c>
      <c r="F231" s="13">
        <v>0.0082038064552639</v>
      </c>
      <c r="G231" s="13">
        <v>-67.3063582614041</v>
      </c>
      <c r="H231" s="13">
        <v>0.0</v>
      </c>
      <c r="I231" s="13">
        <v>2815543.0</v>
      </c>
      <c r="J231" s="31" t="s">
        <v>1796</v>
      </c>
      <c r="K231" s="31" t="s">
        <v>1793</v>
      </c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13" t="s">
        <v>839</v>
      </c>
      <c r="B232" s="13" t="s">
        <v>411</v>
      </c>
      <c r="C232" s="13" t="s">
        <v>55</v>
      </c>
      <c r="D232" s="13" t="s">
        <v>1474</v>
      </c>
      <c r="E232" s="13">
        <v>-0.516066375084959</v>
      </c>
      <c r="F232" s="13">
        <v>0.00810436298388801</v>
      </c>
      <c r="G232" s="13">
        <v>-63.6775988576686</v>
      </c>
      <c r="H232" s="13">
        <v>0.0</v>
      </c>
      <c r="I232" s="13">
        <v>2809533.0</v>
      </c>
      <c r="J232" s="31" t="s">
        <v>1796</v>
      </c>
      <c r="K232" s="31" t="s">
        <v>1793</v>
      </c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13" t="s">
        <v>839</v>
      </c>
      <c r="B233" s="13" t="s">
        <v>411</v>
      </c>
      <c r="C233" s="13" t="s">
        <v>1797</v>
      </c>
      <c r="D233" s="13" t="s">
        <v>1474</v>
      </c>
      <c r="E233" s="13">
        <v>0.00525004930841785</v>
      </c>
      <c r="F233" s="13">
        <v>0.011316667060442</v>
      </c>
      <c r="G233" s="13">
        <v>0.463921866780871</v>
      </c>
      <c r="H233" s="13">
        <v>0.642703725608801</v>
      </c>
      <c r="I233" s="13">
        <v>2816359.0</v>
      </c>
      <c r="J233" s="31" t="s">
        <v>1796</v>
      </c>
      <c r="K233" s="31" t="s">
        <v>1793</v>
      </c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13" t="s">
        <v>841</v>
      </c>
      <c r="B234" s="13" t="s">
        <v>411</v>
      </c>
      <c r="C234" s="13" t="s">
        <v>570</v>
      </c>
      <c r="D234" s="13" t="s">
        <v>1474</v>
      </c>
      <c r="E234" s="13">
        <v>-0.679438039830302</v>
      </c>
      <c r="F234" s="13">
        <v>0.00708451677121995</v>
      </c>
      <c r="G234" s="13">
        <v>-95.9046413144848</v>
      </c>
      <c r="H234" s="13">
        <v>0.0</v>
      </c>
      <c r="I234" s="13">
        <v>168156.0</v>
      </c>
      <c r="J234" s="31" t="s">
        <v>1796</v>
      </c>
      <c r="K234" s="31" t="s">
        <v>1793</v>
      </c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13" t="s">
        <v>841</v>
      </c>
      <c r="B235" s="13" t="s">
        <v>411</v>
      </c>
      <c r="C235" s="13" t="s">
        <v>42</v>
      </c>
      <c r="D235" s="13" t="s">
        <v>1474</v>
      </c>
      <c r="E235" s="13">
        <v>-0.696161610251945</v>
      </c>
      <c r="F235" s="13">
        <v>0.00417829103269579</v>
      </c>
      <c r="G235" s="13">
        <v>-166.613958866045</v>
      </c>
      <c r="H235" s="13">
        <v>0.0</v>
      </c>
      <c r="I235" s="13">
        <v>2806636.0</v>
      </c>
      <c r="J235" s="31" t="s">
        <v>1796</v>
      </c>
      <c r="K235" s="31" t="s">
        <v>1793</v>
      </c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13" t="s">
        <v>841</v>
      </c>
      <c r="B236" s="13" t="s">
        <v>411</v>
      </c>
      <c r="C236" s="13" t="s">
        <v>55</v>
      </c>
      <c r="D236" s="13" t="s">
        <v>1474</v>
      </c>
      <c r="E236" s="13">
        <v>-0.612696338036718</v>
      </c>
      <c r="F236" s="13">
        <v>0.00453125472202329</v>
      </c>
      <c r="G236" s="13">
        <v>-135.215602658315</v>
      </c>
      <c r="H236" s="13">
        <v>0.0</v>
      </c>
      <c r="I236" s="13">
        <v>2800680.0</v>
      </c>
      <c r="J236" s="31" t="s">
        <v>1796</v>
      </c>
      <c r="K236" s="31" t="s">
        <v>1793</v>
      </c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13" t="s">
        <v>841</v>
      </c>
      <c r="B237" s="13" t="s">
        <v>411</v>
      </c>
      <c r="C237" s="13" t="s">
        <v>1797</v>
      </c>
      <c r="D237" s="13" t="s">
        <v>1474</v>
      </c>
      <c r="E237" s="13">
        <v>0.265019870586306</v>
      </c>
      <c r="F237" s="13">
        <v>0.00648873794460354</v>
      </c>
      <c r="G237" s="13">
        <v>40.8430534333282</v>
      </c>
      <c r="H237" s="13">
        <v>0.0</v>
      </c>
      <c r="I237" s="13">
        <v>2807484.0</v>
      </c>
      <c r="J237" s="31" t="s">
        <v>1796</v>
      </c>
      <c r="K237" s="31" t="s">
        <v>1793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13" t="s">
        <v>846</v>
      </c>
      <c r="B238" s="13" t="s">
        <v>411</v>
      </c>
      <c r="C238" s="13" t="s">
        <v>570</v>
      </c>
      <c r="D238" s="13" t="s">
        <v>1474</v>
      </c>
      <c r="E238" s="13">
        <v>-0.687835403835328</v>
      </c>
      <c r="F238" s="13">
        <v>0.00683995380867928</v>
      </c>
      <c r="G238" s="13">
        <v>-100.56141065785</v>
      </c>
      <c r="H238" s="13">
        <v>0.0</v>
      </c>
      <c r="I238" s="13">
        <v>168130.0</v>
      </c>
      <c r="J238" s="31" t="s">
        <v>1796</v>
      </c>
      <c r="K238" s="31" t="s">
        <v>1793</v>
      </c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13" t="s">
        <v>846</v>
      </c>
      <c r="B239" s="13" t="s">
        <v>411</v>
      </c>
      <c r="C239" s="13" t="s">
        <v>42</v>
      </c>
      <c r="D239" s="13" t="s">
        <v>1474</v>
      </c>
      <c r="E239" s="13">
        <v>-0.702865733320846</v>
      </c>
      <c r="F239" s="13">
        <v>0.0040906213547133</v>
      </c>
      <c r="G239" s="13">
        <v>-171.823709009632</v>
      </c>
      <c r="H239" s="13">
        <v>0.0</v>
      </c>
      <c r="I239" s="13">
        <v>2805325.0</v>
      </c>
      <c r="J239" s="31" t="s">
        <v>1796</v>
      </c>
      <c r="K239" s="31" t="s">
        <v>1793</v>
      </c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13" t="s">
        <v>846</v>
      </c>
      <c r="B240" s="13" t="s">
        <v>411</v>
      </c>
      <c r="C240" s="13" t="s">
        <v>55</v>
      </c>
      <c r="D240" s="13" t="s">
        <v>1474</v>
      </c>
      <c r="E240" s="13">
        <v>-0.621117196479565</v>
      </c>
      <c r="F240" s="13">
        <v>0.0043457191371201</v>
      </c>
      <c r="G240" s="13">
        <v>-142.926217015299</v>
      </c>
      <c r="H240" s="13">
        <v>0.0</v>
      </c>
      <c r="I240" s="13">
        <v>2799356.0</v>
      </c>
      <c r="J240" s="31" t="s">
        <v>1796</v>
      </c>
      <c r="K240" s="31" t="s">
        <v>1793</v>
      </c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13" t="s">
        <v>846</v>
      </c>
      <c r="B241" s="13" t="s">
        <v>411</v>
      </c>
      <c r="C241" s="13" t="s">
        <v>1797</v>
      </c>
      <c r="D241" s="13" t="s">
        <v>1474</v>
      </c>
      <c r="E241" s="13">
        <v>0.279375748298173</v>
      </c>
      <c r="F241" s="13">
        <v>0.00645378354054876</v>
      </c>
      <c r="G241" s="13">
        <v>43.2886765635802</v>
      </c>
      <c r="H241" s="13">
        <v>0.0</v>
      </c>
      <c r="I241" s="13">
        <v>2806197.0</v>
      </c>
      <c r="J241" s="31" t="s">
        <v>1796</v>
      </c>
      <c r="K241" s="31" t="s">
        <v>1793</v>
      </c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13" t="s">
        <v>848</v>
      </c>
      <c r="B242" s="13" t="s">
        <v>411</v>
      </c>
      <c r="C242" s="13" t="s">
        <v>570</v>
      </c>
      <c r="D242" s="13" t="s">
        <v>1474</v>
      </c>
      <c r="E242" s="13">
        <v>-0.672797432362324</v>
      </c>
      <c r="F242" s="13">
        <v>0.00752392902117215</v>
      </c>
      <c r="G242" s="13">
        <v>-89.4210233069833</v>
      </c>
      <c r="H242" s="13">
        <v>0.0</v>
      </c>
      <c r="I242" s="13">
        <v>168183.0</v>
      </c>
      <c r="J242" s="31" t="s">
        <v>1796</v>
      </c>
      <c r="K242" s="31" t="s">
        <v>1793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13" t="s">
        <v>848</v>
      </c>
      <c r="B243" s="13" t="s">
        <v>411</v>
      </c>
      <c r="C243" s="13" t="s">
        <v>42</v>
      </c>
      <c r="D243" s="13" t="s">
        <v>1474</v>
      </c>
      <c r="E243" s="13">
        <v>-0.689010819110647</v>
      </c>
      <c r="F243" s="13">
        <v>0.00476974637830321</v>
      </c>
      <c r="G243" s="13">
        <v>-144.454393266032</v>
      </c>
      <c r="H243" s="13">
        <v>0.0</v>
      </c>
      <c r="I243" s="13">
        <v>2806218.0</v>
      </c>
      <c r="J243" s="31" t="s">
        <v>1796</v>
      </c>
      <c r="K243" s="31" t="s">
        <v>1793</v>
      </c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13" t="s">
        <v>848</v>
      </c>
      <c r="B244" s="13" t="s">
        <v>411</v>
      </c>
      <c r="C244" s="13" t="s">
        <v>55</v>
      </c>
      <c r="D244" s="13" t="s">
        <v>1474</v>
      </c>
      <c r="E244" s="13">
        <v>-0.611635125820688</v>
      </c>
      <c r="F244" s="13">
        <v>0.00479055815429798</v>
      </c>
      <c r="G244" s="13">
        <v>-127.675128058291</v>
      </c>
      <c r="H244" s="13">
        <v>0.0</v>
      </c>
      <c r="I244" s="13">
        <v>2800276.0</v>
      </c>
      <c r="J244" s="31" t="s">
        <v>1796</v>
      </c>
      <c r="K244" s="31" t="s">
        <v>1793</v>
      </c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13" t="s">
        <v>848</v>
      </c>
      <c r="B245" s="13" t="s">
        <v>411</v>
      </c>
      <c r="C245" s="13" t="s">
        <v>1797</v>
      </c>
      <c r="D245" s="13" t="s">
        <v>1474</v>
      </c>
      <c r="E245" s="13">
        <v>0.271309165358128</v>
      </c>
      <c r="F245" s="13">
        <v>0.00673621431001852</v>
      </c>
      <c r="G245" s="13">
        <v>40.2762075064358</v>
      </c>
      <c r="H245" s="13">
        <v>0.0</v>
      </c>
      <c r="I245" s="13">
        <v>2807069.0</v>
      </c>
      <c r="J245" s="31" t="s">
        <v>1796</v>
      </c>
      <c r="K245" s="31" t="s">
        <v>1793</v>
      </c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13" t="s">
        <v>850</v>
      </c>
      <c r="B246" s="13" t="s">
        <v>411</v>
      </c>
      <c r="C246" s="13" t="s">
        <v>570</v>
      </c>
      <c r="D246" s="13" t="s">
        <v>1474</v>
      </c>
      <c r="E246" s="13">
        <v>-0.672359247803259</v>
      </c>
      <c r="F246" s="13">
        <v>0.00689280261908062</v>
      </c>
      <c r="G246" s="13">
        <v>-97.5451184315126</v>
      </c>
      <c r="H246" s="13">
        <v>0.0</v>
      </c>
      <c r="I246" s="13">
        <v>168417.0</v>
      </c>
      <c r="J246" s="31" t="s">
        <v>1796</v>
      </c>
      <c r="K246" s="31" t="s">
        <v>1793</v>
      </c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13" t="s">
        <v>850</v>
      </c>
      <c r="B247" s="13" t="s">
        <v>411</v>
      </c>
      <c r="C247" s="13" t="s">
        <v>42</v>
      </c>
      <c r="D247" s="13" t="s">
        <v>1474</v>
      </c>
      <c r="E247" s="13">
        <v>-0.690454773266946</v>
      </c>
      <c r="F247" s="13">
        <v>0.00380387385413577</v>
      </c>
      <c r="G247" s="13">
        <v>-181.513583190001</v>
      </c>
      <c r="H247" s="13">
        <v>0.0</v>
      </c>
      <c r="I247" s="13">
        <v>2811694.0</v>
      </c>
      <c r="J247" s="31" t="s">
        <v>1796</v>
      </c>
      <c r="K247" s="31" t="s">
        <v>1793</v>
      </c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13" t="s">
        <v>850</v>
      </c>
      <c r="B248" s="13" t="s">
        <v>411</v>
      </c>
      <c r="C248" s="13" t="s">
        <v>55</v>
      </c>
      <c r="D248" s="13" t="s">
        <v>1474</v>
      </c>
      <c r="E248" s="13">
        <v>-0.607947823864437</v>
      </c>
      <c r="F248" s="13">
        <v>0.00414512095934758</v>
      </c>
      <c r="G248" s="13">
        <v>-146.665882570559</v>
      </c>
      <c r="H248" s="13">
        <v>0.0</v>
      </c>
      <c r="I248" s="13">
        <v>2805685.0</v>
      </c>
      <c r="J248" s="31" t="s">
        <v>1796</v>
      </c>
      <c r="K248" s="31" t="s">
        <v>1793</v>
      </c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13" t="s">
        <v>850</v>
      </c>
      <c r="B249" s="13" t="s">
        <v>411</v>
      </c>
      <c r="C249" s="13" t="s">
        <v>1797</v>
      </c>
      <c r="D249" s="13" t="s">
        <v>1474</v>
      </c>
      <c r="E249" s="13">
        <v>0.280934768766175</v>
      </c>
      <c r="F249" s="13">
        <v>0.00625153740229829</v>
      </c>
      <c r="G249" s="13">
        <v>44.9385088319064</v>
      </c>
      <c r="H249" s="13">
        <v>0.0</v>
      </c>
      <c r="I249" s="13">
        <v>2812528.0</v>
      </c>
      <c r="J249" s="31" t="s">
        <v>1796</v>
      </c>
      <c r="K249" s="31" t="s">
        <v>1793</v>
      </c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13" t="s">
        <v>852</v>
      </c>
      <c r="B250" s="13" t="s">
        <v>411</v>
      </c>
      <c r="C250" s="13" t="s">
        <v>570</v>
      </c>
      <c r="D250" s="13" t="s">
        <v>1474</v>
      </c>
      <c r="E250" s="13">
        <v>-0.164556230632421</v>
      </c>
      <c r="F250" s="13">
        <v>0.0136090281192259</v>
      </c>
      <c r="G250" s="13">
        <v>-12.0916959823124</v>
      </c>
      <c r="H250" s="63">
        <v>1.16849381464992E-33</v>
      </c>
      <c r="I250" s="13">
        <v>168741.0</v>
      </c>
      <c r="J250" s="31" t="s">
        <v>1796</v>
      </c>
      <c r="K250" s="31" t="s">
        <v>1793</v>
      </c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13" t="s">
        <v>852</v>
      </c>
      <c r="B251" s="13" t="s">
        <v>411</v>
      </c>
      <c r="C251" s="13" t="s">
        <v>42</v>
      </c>
      <c r="D251" s="13" t="s">
        <v>1474</v>
      </c>
      <c r="E251" s="13">
        <v>-0.11579404945488</v>
      </c>
      <c r="F251" s="13">
        <v>0.0079523308877363</v>
      </c>
      <c r="G251" s="13">
        <v>-14.5610200442554</v>
      </c>
      <c r="H251" s="63">
        <v>4.97104731825752E-48</v>
      </c>
      <c r="I251" s="13">
        <v>2817177.0</v>
      </c>
      <c r="J251" s="31" t="s">
        <v>1796</v>
      </c>
      <c r="K251" s="31" t="s">
        <v>1793</v>
      </c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13" t="s">
        <v>852</v>
      </c>
      <c r="B252" s="13" t="s">
        <v>411</v>
      </c>
      <c r="C252" s="13" t="s">
        <v>55</v>
      </c>
      <c r="D252" s="13" t="s">
        <v>1474</v>
      </c>
      <c r="E252" s="13">
        <v>-0.139903143420802</v>
      </c>
      <c r="F252" s="13">
        <v>0.00803307773600458</v>
      </c>
      <c r="G252" s="13">
        <v>-17.4158831793386</v>
      </c>
      <c r="H252" s="63">
        <v>6.25167054034383E-68</v>
      </c>
      <c r="I252" s="13">
        <v>2811150.0</v>
      </c>
      <c r="J252" s="31" t="s">
        <v>1796</v>
      </c>
      <c r="K252" s="31" t="s">
        <v>1793</v>
      </c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13" t="s">
        <v>852</v>
      </c>
      <c r="B253" s="13" t="s">
        <v>411</v>
      </c>
      <c r="C253" s="13" t="s">
        <v>1797</v>
      </c>
      <c r="D253" s="13" t="s">
        <v>1474</v>
      </c>
      <c r="E253" s="13">
        <v>0.0494003391912121</v>
      </c>
      <c r="F253" s="13">
        <v>0.00700536762508978</v>
      </c>
      <c r="G253" s="13">
        <v>7.05178397979921</v>
      </c>
      <c r="H253" s="63">
        <v>1.76638284806993E-12</v>
      </c>
      <c r="I253" s="13">
        <v>2817982.0</v>
      </c>
      <c r="J253" s="31" t="s">
        <v>1796</v>
      </c>
      <c r="K253" s="31" t="s">
        <v>1793</v>
      </c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13" t="s">
        <v>857</v>
      </c>
      <c r="B254" s="13" t="s">
        <v>411</v>
      </c>
      <c r="C254" s="13" t="s">
        <v>570</v>
      </c>
      <c r="D254" s="13" t="s">
        <v>1474</v>
      </c>
      <c r="E254" s="13">
        <v>-0.766926396368493</v>
      </c>
      <c r="F254" s="13">
        <v>0.00517192035107424</v>
      </c>
      <c r="G254" s="13">
        <v>-148.286582992175</v>
      </c>
      <c r="H254" s="13">
        <v>0.0</v>
      </c>
      <c r="I254" s="13">
        <v>168250.0</v>
      </c>
      <c r="J254" s="31" t="s">
        <v>1796</v>
      </c>
      <c r="K254" s="31" t="s">
        <v>1793</v>
      </c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13" t="s">
        <v>857</v>
      </c>
      <c r="B255" s="13" t="s">
        <v>411</v>
      </c>
      <c r="C255" s="13" t="s">
        <v>42</v>
      </c>
      <c r="D255" s="13" t="s">
        <v>1474</v>
      </c>
      <c r="E255" s="13">
        <v>-0.776482331046628</v>
      </c>
      <c r="F255" s="13">
        <v>0.00275982412451385</v>
      </c>
      <c r="G255" s="13">
        <v>-281.352106516354</v>
      </c>
      <c r="H255" s="13">
        <v>0.0</v>
      </c>
      <c r="I255" s="13">
        <v>2809303.0</v>
      </c>
      <c r="J255" s="31" t="s">
        <v>1796</v>
      </c>
      <c r="K255" s="31" t="s">
        <v>1793</v>
      </c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13" t="s">
        <v>857</v>
      </c>
      <c r="B256" s="13" t="s">
        <v>411</v>
      </c>
      <c r="C256" s="13" t="s">
        <v>55</v>
      </c>
      <c r="D256" s="13" t="s">
        <v>1474</v>
      </c>
      <c r="E256" s="13">
        <v>-0.685713044098339</v>
      </c>
      <c r="F256" s="13">
        <v>0.00336779544736645</v>
      </c>
      <c r="G256" s="13">
        <v>-203.608875543362</v>
      </c>
      <c r="H256" s="13">
        <v>0.0</v>
      </c>
      <c r="I256" s="13">
        <v>2803329.0</v>
      </c>
      <c r="J256" s="31" t="s">
        <v>1796</v>
      </c>
      <c r="K256" s="31" t="s">
        <v>1793</v>
      </c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13" t="s">
        <v>857</v>
      </c>
      <c r="B257" s="13" t="s">
        <v>411</v>
      </c>
      <c r="C257" s="13" t="s">
        <v>1797</v>
      </c>
      <c r="D257" s="13" t="s">
        <v>1474</v>
      </c>
      <c r="E257" s="13">
        <v>0.297999082279895</v>
      </c>
      <c r="F257" s="13">
        <v>0.00629748165445591</v>
      </c>
      <c r="G257" s="13">
        <v>47.3203573477724</v>
      </c>
      <c r="H257" s="13">
        <v>0.0</v>
      </c>
      <c r="I257" s="13">
        <v>2810179.0</v>
      </c>
      <c r="J257" s="31" t="s">
        <v>1796</v>
      </c>
      <c r="K257" s="31" t="s">
        <v>1793</v>
      </c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13" t="s">
        <v>862</v>
      </c>
      <c r="B258" s="13" t="s">
        <v>411</v>
      </c>
      <c r="C258" s="13" t="s">
        <v>570</v>
      </c>
      <c r="D258" s="13" t="s">
        <v>1474</v>
      </c>
      <c r="E258" s="13">
        <v>-0.767319272798646</v>
      </c>
      <c r="F258" s="13">
        <v>0.00520695410142221</v>
      </c>
      <c r="G258" s="13">
        <v>-147.364324296436</v>
      </c>
      <c r="H258" s="13">
        <v>0.0</v>
      </c>
      <c r="I258" s="13">
        <v>168288.0</v>
      </c>
      <c r="J258" s="31" t="s">
        <v>1796</v>
      </c>
      <c r="K258" s="31" t="s">
        <v>1793</v>
      </c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13" t="s">
        <v>862</v>
      </c>
      <c r="B259" s="13" t="s">
        <v>411</v>
      </c>
      <c r="C259" s="13" t="s">
        <v>42</v>
      </c>
      <c r="D259" s="13" t="s">
        <v>1474</v>
      </c>
      <c r="E259" s="13">
        <v>-0.772806649498989</v>
      </c>
      <c r="F259" s="13">
        <v>0.00282968195680945</v>
      </c>
      <c r="G259" s="13">
        <v>-273.107247137536</v>
      </c>
      <c r="H259" s="13">
        <v>0.0</v>
      </c>
      <c r="I259" s="13">
        <v>2809364.0</v>
      </c>
      <c r="J259" s="31" t="s">
        <v>1796</v>
      </c>
      <c r="K259" s="31" t="s">
        <v>1793</v>
      </c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13" t="s">
        <v>862</v>
      </c>
      <c r="B260" s="13" t="s">
        <v>411</v>
      </c>
      <c r="C260" s="13" t="s">
        <v>55</v>
      </c>
      <c r="D260" s="13" t="s">
        <v>1474</v>
      </c>
      <c r="E260" s="13">
        <v>-0.682069720739352</v>
      </c>
      <c r="F260" s="13">
        <v>0.00346441895964904</v>
      </c>
      <c r="G260" s="13">
        <v>-196.878532499558</v>
      </c>
      <c r="H260" s="13">
        <v>0.0</v>
      </c>
      <c r="I260" s="13">
        <v>2803394.0</v>
      </c>
      <c r="J260" s="31" t="s">
        <v>1796</v>
      </c>
      <c r="K260" s="31" t="s">
        <v>1793</v>
      </c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13" t="s">
        <v>862</v>
      </c>
      <c r="B261" s="13" t="s">
        <v>411</v>
      </c>
      <c r="C261" s="13" t="s">
        <v>1797</v>
      </c>
      <c r="D261" s="13" t="s">
        <v>1474</v>
      </c>
      <c r="E261" s="13">
        <v>0.289668661897611</v>
      </c>
      <c r="F261" s="13">
        <v>0.00641782971135995</v>
      </c>
      <c r="G261" s="13">
        <v>45.1349872036772</v>
      </c>
      <c r="H261" s="13">
        <v>0.0</v>
      </c>
      <c r="I261" s="13">
        <v>2810262.0</v>
      </c>
      <c r="J261" s="31" t="s">
        <v>1796</v>
      </c>
      <c r="K261" s="31" t="s">
        <v>1793</v>
      </c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13" t="s">
        <v>864</v>
      </c>
      <c r="B262" s="13" t="s">
        <v>411</v>
      </c>
      <c r="C262" s="13" t="s">
        <v>570</v>
      </c>
      <c r="D262" s="13" t="s">
        <v>1474</v>
      </c>
      <c r="E262" s="13">
        <v>-0.752968972245612</v>
      </c>
      <c r="F262" s="13">
        <v>0.00544972265410735</v>
      </c>
      <c r="G262" s="13">
        <v>-138.166475623876</v>
      </c>
      <c r="H262" s="13">
        <v>0.0</v>
      </c>
      <c r="I262" s="13">
        <v>168337.0</v>
      </c>
      <c r="J262" s="31" t="s">
        <v>1796</v>
      </c>
      <c r="K262" s="31" t="s">
        <v>1793</v>
      </c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13" t="s">
        <v>864</v>
      </c>
      <c r="B263" s="13" t="s">
        <v>411</v>
      </c>
      <c r="C263" s="13" t="s">
        <v>42</v>
      </c>
      <c r="D263" s="13" t="s">
        <v>1474</v>
      </c>
      <c r="E263" s="13">
        <v>-0.766944231357184</v>
      </c>
      <c r="F263" s="13">
        <v>0.00309239568221996</v>
      </c>
      <c r="G263" s="13">
        <v>-248.009734254515</v>
      </c>
      <c r="H263" s="13">
        <v>0.0</v>
      </c>
      <c r="I263" s="13">
        <v>2810036.0</v>
      </c>
      <c r="J263" s="31" t="s">
        <v>1796</v>
      </c>
      <c r="K263" s="31" t="s">
        <v>1793</v>
      </c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13" t="s">
        <v>864</v>
      </c>
      <c r="B264" s="13" t="s">
        <v>411</v>
      </c>
      <c r="C264" s="13" t="s">
        <v>55</v>
      </c>
      <c r="D264" s="13" t="s">
        <v>1474</v>
      </c>
      <c r="E264" s="13">
        <v>-0.67833565245241</v>
      </c>
      <c r="F264" s="13">
        <v>0.00349097446396631</v>
      </c>
      <c r="G264" s="13">
        <v>-194.311261641745</v>
      </c>
      <c r="H264" s="13">
        <v>0.0</v>
      </c>
      <c r="I264" s="13">
        <v>2804055.0</v>
      </c>
      <c r="J264" s="31" t="s">
        <v>1796</v>
      </c>
      <c r="K264" s="31" t="s">
        <v>1793</v>
      </c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13" t="s">
        <v>864</v>
      </c>
      <c r="B265" s="13" t="s">
        <v>411</v>
      </c>
      <c r="C265" s="13" t="s">
        <v>1797</v>
      </c>
      <c r="D265" s="13" t="s">
        <v>1474</v>
      </c>
      <c r="E265" s="13">
        <v>0.294420209431094</v>
      </c>
      <c r="F265" s="13">
        <v>0.00649568905063351</v>
      </c>
      <c r="G265" s="13">
        <v>45.325477733941</v>
      </c>
      <c r="H265" s="13">
        <v>0.0</v>
      </c>
      <c r="I265" s="13">
        <v>2810935.0</v>
      </c>
      <c r="J265" s="31" t="s">
        <v>1796</v>
      </c>
      <c r="K265" s="31" t="s">
        <v>1793</v>
      </c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13" t="s">
        <v>866</v>
      </c>
      <c r="B266" s="13" t="s">
        <v>411</v>
      </c>
      <c r="C266" s="13" t="s">
        <v>570</v>
      </c>
      <c r="D266" s="13" t="s">
        <v>1474</v>
      </c>
      <c r="E266" s="13">
        <v>-0.0496992957161568</v>
      </c>
      <c r="F266" s="13">
        <v>0.0130854815973524</v>
      </c>
      <c r="G266" s="13">
        <v>-3.79804865005597</v>
      </c>
      <c r="H266" s="63">
        <v>1.45839703148297E-4</v>
      </c>
      <c r="I266" s="13">
        <v>168870.0</v>
      </c>
      <c r="J266" s="31" t="s">
        <v>1796</v>
      </c>
      <c r="K266" s="31" t="s">
        <v>1793</v>
      </c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13" t="s">
        <v>866</v>
      </c>
      <c r="B267" s="13" t="s">
        <v>411</v>
      </c>
      <c r="C267" s="13" t="s">
        <v>42</v>
      </c>
      <c r="D267" s="13" t="s">
        <v>1474</v>
      </c>
      <c r="E267" s="13">
        <v>0.00455114323990076</v>
      </c>
      <c r="F267" s="13">
        <v>0.00526048108523576</v>
      </c>
      <c r="G267" s="13">
        <v>0.865157229188438</v>
      </c>
      <c r="H267" s="13">
        <v>0.386952497150394</v>
      </c>
      <c r="I267" s="13">
        <v>2819379.0</v>
      </c>
      <c r="J267" s="31" t="s">
        <v>1796</v>
      </c>
      <c r="K267" s="31" t="s">
        <v>1793</v>
      </c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13" t="s">
        <v>866</v>
      </c>
      <c r="B268" s="13" t="s">
        <v>411</v>
      </c>
      <c r="C268" s="13" t="s">
        <v>55</v>
      </c>
      <c r="D268" s="13" t="s">
        <v>1474</v>
      </c>
      <c r="E268" s="13">
        <v>-0.0562210199315063</v>
      </c>
      <c r="F268" s="13">
        <v>0.00572188859101844</v>
      </c>
      <c r="G268" s="13">
        <v>-9.82560548622976</v>
      </c>
      <c r="H268" s="63">
        <v>8.73475361963079E-23</v>
      </c>
      <c r="I268" s="13">
        <v>2813344.0</v>
      </c>
      <c r="J268" s="31" t="s">
        <v>1796</v>
      </c>
      <c r="K268" s="31" t="s">
        <v>1793</v>
      </c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13" t="s">
        <v>866</v>
      </c>
      <c r="B269" s="13" t="s">
        <v>411</v>
      </c>
      <c r="C269" s="13" t="s">
        <v>1797</v>
      </c>
      <c r="D269" s="13" t="s">
        <v>1474</v>
      </c>
      <c r="E269" s="13">
        <v>-0.0183400293076324</v>
      </c>
      <c r="F269" s="13">
        <v>0.00512282099037645</v>
      </c>
      <c r="G269" s="13">
        <v>-3.58006444927225</v>
      </c>
      <c r="H269" s="63">
        <v>3.43509472639138E-4</v>
      </c>
      <c r="I269" s="13">
        <v>2820182.0</v>
      </c>
      <c r="J269" s="31" t="s">
        <v>1796</v>
      </c>
      <c r="K269" s="31" t="s">
        <v>1793</v>
      </c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13" t="s">
        <v>870</v>
      </c>
      <c r="B270" s="13" t="s">
        <v>411</v>
      </c>
      <c r="C270" s="13" t="s">
        <v>570</v>
      </c>
      <c r="D270" s="13" t="s">
        <v>1474</v>
      </c>
      <c r="E270" s="13">
        <v>-0.0632136060030166</v>
      </c>
      <c r="F270" s="13">
        <v>0.0129422963462149</v>
      </c>
      <c r="G270" s="13">
        <v>-4.88426507259693</v>
      </c>
      <c r="H270" s="63">
        <v>1.03815337189147E-6</v>
      </c>
      <c r="I270" s="13">
        <v>168873.0</v>
      </c>
      <c r="J270" s="31" t="s">
        <v>1796</v>
      </c>
      <c r="K270" s="31" t="s">
        <v>1793</v>
      </c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13" t="s">
        <v>870</v>
      </c>
      <c r="B271" s="13" t="s">
        <v>411</v>
      </c>
      <c r="C271" s="13" t="s">
        <v>42</v>
      </c>
      <c r="D271" s="13" t="s">
        <v>1474</v>
      </c>
      <c r="E271" s="13">
        <v>0.00474092301868185</v>
      </c>
      <c r="F271" s="13">
        <v>0.00528095118873503</v>
      </c>
      <c r="G271" s="13">
        <v>0.897740359500929</v>
      </c>
      <c r="H271" s="13">
        <v>0.369323987273913</v>
      </c>
      <c r="I271" s="13">
        <v>2819521.0</v>
      </c>
      <c r="J271" s="31" t="s">
        <v>1796</v>
      </c>
      <c r="K271" s="31" t="s">
        <v>1793</v>
      </c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13" t="s">
        <v>870</v>
      </c>
      <c r="B272" s="13" t="s">
        <v>411</v>
      </c>
      <c r="C272" s="13" t="s">
        <v>55</v>
      </c>
      <c r="D272" s="13" t="s">
        <v>1474</v>
      </c>
      <c r="E272" s="13">
        <v>-0.0478656754222894</v>
      </c>
      <c r="F272" s="13">
        <v>0.0058691629847636</v>
      </c>
      <c r="G272" s="13">
        <v>-8.15545173077474</v>
      </c>
      <c r="H272" s="63">
        <v>3.4787714734941E-16</v>
      </c>
      <c r="I272" s="13">
        <v>2813489.0</v>
      </c>
      <c r="J272" s="31" t="s">
        <v>1796</v>
      </c>
      <c r="K272" s="31" t="s">
        <v>1793</v>
      </c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13" t="s">
        <v>870</v>
      </c>
      <c r="B273" s="13" t="s">
        <v>411</v>
      </c>
      <c r="C273" s="13" t="s">
        <v>1797</v>
      </c>
      <c r="D273" s="13" t="s">
        <v>1474</v>
      </c>
      <c r="E273" s="13">
        <v>-0.013198763867131</v>
      </c>
      <c r="F273" s="13">
        <v>0.00540048037834667</v>
      </c>
      <c r="G273" s="13">
        <v>-2.44399811543649</v>
      </c>
      <c r="H273" s="13">
        <v>0.0145255024142349</v>
      </c>
      <c r="I273" s="13">
        <v>2820324.0</v>
      </c>
      <c r="J273" s="31" t="s">
        <v>1796</v>
      </c>
      <c r="K273" s="31" t="s">
        <v>1793</v>
      </c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13" t="s">
        <v>872</v>
      </c>
      <c r="B274" s="13" t="s">
        <v>411</v>
      </c>
      <c r="C274" s="13" t="s">
        <v>570</v>
      </c>
      <c r="D274" s="13" t="s">
        <v>1474</v>
      </c>
      <c r="E274" s="13">
        <v>-0.0578665568359772</v>
      </c>
      <c r="F274" s="13">
        <v>0.012272567331845</v>
      </c>
      <c r="G274" s="13">
        <v>-4.71511422763388</v>
      </c>
      <c r="H274" s="63">
        <v>2.41575185066355E-6</v>
      </c>
      <c r="I274" s="13">
        <v>168907.0</v>
      </c>
      <c r="J274" s="31" t="s">
        <v>1796</v>
      </c>
      <c r="K274" s="31" t="s">
        <v>1793</v>
      </c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13" t="s">
        <v>872</v>
      </c>
      <c r="B275" s="13" t="s">
        <v>411</v>
      </c>
      <c r="C275" s="13" t="s">
        <v>42</v>
      </c>
      <c r="D275" s="13" t="s">
        <v>1474</v>
      </c>
      <c r="E275" s="63">
        <v>5.11516256779868E-7</v>
      </c>
      <c r="F275" s="13">
        <v>0.00538456200702351</v>
      </c>
      <c r="G275" s="63">
        <v>9.49968179608027E-5</v>
      </c>
      <c r="H275" s="13">
        <v>0.999924203505737</v>
      </c>
      <c r="I275" s="13">
        <v>2820167.0</v>
      </c>
      <c r="J275" s="31" t="s">
        <v>1796</v>
      </c>
      <c r="K275" s="31" t="s">
        <v>1793</v>
      </c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13" t="s">
        <v>872</v>
      </c>
      <c r="B276" s="13" t="s">
        <v>411</v>
      </c>
      <c r="C276" s="13" t="s">
        <v>55</v>
      </c>
      <c r="D276" s="13" t="s">
        <v>1474</v>
      </c>
      <c r="E276" s="13">
        <v>-0.0559145115711597</v>
      </c>
      <c r="F276" s="13">
        <v>0.00565529440849226</v>
      </c>
      <c r="G276" s="13">
        <v>-9.8871088810506</v>
      </c>
      <c r="H276" s="63">
        <v>4.73505163050935E-23</v>
      </c>
      <c r="I276" s="13">
        <v>2814124.0</v>
      </c>
      <c r="J276" s="31" t="s">
        <v>1796</v>
      </c>
      <c r="K276" s="31" t="s">
        <v>1793</v>
      </c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13" t="s">
        <v>872</v>
      </c>
      <c r="B277" s="13" t="s">
        <v>411</v>
      </c>
      <c r="C277" s="13" t="s">
        <v>1797</v>
      </c>
      <c r="D277" s="13" t="s">
        <v>1474</v>
      </c>
      <c r="E277" s="13">
        <v>-0.007494782230152</v>
      </c>
      <c r="F277" s="13">
        <v>0.00487778850708918</v>
      </c>
      <c r="G277" s="13">
        <v>-1.53651233940532</v>
      </c>
      <c r="H277" s="13">
        <v>0.124412773788962</v>
      </c>
      <c r="I277" s="13">
        <v>2820969.0</v>
      </c>
      <c r="J277" s="31" t="s">
        <v>1796</v>
      </c>
      <c r="K277" s="31" t="s">
        <v>1793</v>
      </c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13" t="s">
        <v>874</v>
      </c>
      <c r="B278" s="13" t="s">
        <v>411</v>
      </c>
      <c r="C278" s="13" t="s">
        <v>570</v>
      </c>
      <c r="D278" s="13" t="s">
        <v>1474</v>
      </c>
      <c r="E278" s="13">
        <v>-0.0420469236863455</v>
      </c>
      <c r="F278" s="13">
        <v>0.0133232354339108</v>
      </c>
      <c r="G278" s="13">
        <v>-3.15590938063932</v>
      </c>
      <c r="H278" s="13">
        <v>0.00159998561340239</v>
      </c>
      <c r="I278" s="13">
        <v>168883.0</v>
      </c>
      <c r="J278" s="31" t="s">
        <v>1796</v>
      </c>
      <c r="K278" s="31" t="s">
        <v>1793</v>
      </c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13" t="s">
        <v>874</v>
      </c>
      <c r="B279" s="13" t="s">
        <v>411</v>
      </c>
      <c r="C279" s="13" t="s">
        <v>42</v>
      </c>
      <c r="D279" s="13" t="s">
        <v>1474</v>
      </c>
      <c r="E279" s="13">
        <v>0.00447313674054216</v>
      </c>
      <c r="F279" s="13">
        <v>0.00583625273143386</v>
      </c>
      <c r="G279" s="13">
        <v>0.766439862422337</v>
      </c>
      <c r="H279" s="13">
        <v>0.443414621721649</v>
      </c>
      <c r="I279" s="13">
        <v>2819565.0</v>
      </c>
      <c r="J279" s="31" t="s">
        <v>1796</v>
      </c>
      <c r="K279" s="31" t="s">
        <v>1793</v>
      </c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13" t="s">
        <v>874</v>
      </c>
      <c r="B280" s="13" t="s">
        <v>411</v>
      </c>
      <c r="C280" s="13" t="s">
        <v>55</v>
      </c>
      <c r="D280" s="13" t="s">
        <v>1474</v>
      </c>
      <c r="E280" s="13">
        <v>-0.0537214922638181</v>
      </c>
      <c r="F280" s="13">
        <v>0.00631697342249786</v>
      </c>
      <c r="G280" s="13">
        <v>-8.50430873628333</v>
      </c>
      <c r="H280" s="63">
        <v>1.82680794246404E-17</v>
      </c>
      <c r="I280" s="13">
        <v>2813533.0</v>
      </c>
      <c r="J280" s="31" t="s">
        <v>1796</v>
      </c>
      <c r="K280" s="31" t="s">
        <v>1793</v>
      </c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13" t="s">
        <v>874</v>
      </c>
      <c r="B281" s="13" t="s">
        <v>411</v>
      </c>
      <c r="C281" s="13" t="s">
        <v>1797</v>
      </c>
      <c r="D281" s="13" t="s">
        <v>1474</v>
      </c>
      <c r="E281" s="13">
        <v>-0.0113803482370162</v>
      </c>
      <c r="F281" s="13">
        <v>0.00534091178886086</v>
      </c>
      <c r="G281" s="13">
        <v>-2.13078752971569</v>
      </c>
      <c r="H281" s="13">
        <v>0.0331066501613238</v>
      </c>
      <c r="I281" s="13">
        <v>2820369.0</v>
      </c>
      <c r="J281" s="31" t="s">
        <v>1796</v>
      </c>
      <c r="K281" s="31" t="s">
        <v>1793</v>
      </c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13" t="s">
        <v>876</v>
      </c>
      <c r="B282" s="13" t="s">
        <v>411</v>
      </c>
      <c r="C282" s="13" t="s">
        <v>570</v>
      </c>
      <c r="D282" s="13" t="s">
        <v>1474</v>
      </c>
      <c r="E282" s="13">
        <v>-0.0412690640823384</v>
      </c>
      <c r="F282" s="13">
        <v>0.0128170158857835</v>
      </c>
      <c r="G282" s="13">
        <v>-3.21986525179496</v>
      </c>
      <c r="H282" s="13">
        <v>0.00128250864875979</v>
      </c>
      <c r="I282" s="13">
        <v>168801.0</v>
      </c>
      <c r="J282" s="31" t="s">
        <v>1796</v>
      </c>
      <c r="K282" s="31" t="s">
        <v>1793</v>
      </c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13" t="s">
        <v>876</v>
      </c>
      <c r="B283" s="13" t="s">
        <v>411</v>
      </c>
      <c r="C283" s="13" t="s">
        <v>42</v>
      </c>
      <c r="D283" s="13" t="s">
        <v>1474</v>
      </c>
      <c r="E283" s="13">
        <v>0.00904176184209644</v>
      </c>
      <c r="F283" s="13">
        <v>0.00519925958895999</v>
      </c>
      <c r="G283" s="13">
        <v>1.73904797161802</v>
      </c>
      <c r="H283" s="13">
        <v>0.0820263251708453</v>
      </c>
      <c r="I283" s="13">
        <v>2818460.0</v>
      </c>
      <c r="J283" s="31" t="s">
        <v>1796</v>
      </c>
      <c r="K283" s="31" t="s">
        <v>1793</v>
      </c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13" t="s">
        <v>876</v>
      </c>
      <c r="B284" s="13" t="s">
        <v>411</v>
      </c>
      <c r="C284" s="13" t="s">
        <v>55</v>
      </c>
      <c r="D284" s="13" t="s">
        <v>1474</v>
      </c>
      <c r="E284" s="13">
        <v>-0.0440747812875537</v>
      </c>
      <c r="F284" s="13">
        <v>0.00545565374099774</v>
      </c>
      <c r="G284" s="13">
        <v>-8.07873508473308</v>
      </c>
      <c r="H284" s="63">
        <v>6.54420176426445E-16</v>
      </c>
      <c r="I284" s="13">
        <v>2812422.0</v>
      </c>
      <c r="J284" s="31" t="s">
        <v>1796</v>
      </c>
      <c r="K284" s="31" t="s">
        <v>1793</v>
      </c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13" t="s">
        <v>876</v>
      </c>
      <c r="B285" s="13" t="s">
        <v>411</v>
      </c>
      <c r="C285" s="13" t="s">
        <v>1797</v>
      </c>
      <c r="D285" s="13" t="s">
        <v>1474</v>
      </c>
      <c r="E285" s="13">
        <v>-0.0106716636283416</v>
      </c>
      <c r="F285" s="13">
        <v>0.00510387554837559</v>
      </c>
      <c r="G285" s="13">
        <v>-2.09089416996817</v>
      </c>
      <c r="H285" s="13">
        <v>0.0365375518404944</v>
      </c>
      <c r="I285" s="13">
        <v>2819262.0</v>
      </c>
      <c r="J285" s="31" t="s">
        <v>1796</v>
      </c>
      <c r="K285" s="31" t="s">
        <v>1793</v>
      </c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13" t="s">
        <v>507</v>
      </c>
      <c r="B286" s="13" t="s">
        <v>411</v>
      </c>
      <c r="C286" s="13" t="s">
        <v>570</v>
      </c>
      <c r="D286" s="13" t="s">
        <v>1474</v>
      </c>
      <c r="E286" s="13">
        <v>-0.0018250062239742</v>
      </c>
      <c r="F286" s="13">
        <v>0.0234766650941112</v>
      </c>
      <c r="G286" s="13">
        <v>-0.0777370302237682</v>
      </c>
      <c r="H286" s="13">
        <v>0.938037237360136</v>
      </c>
      <c r="I286" s="13">
        <v>51120.0</v>
      </c>
      <c r="J286" s="31" t="s">
        <v>1796</v>
      </c>
      <c r="K286" s="31" t="s">
        <v>1793</v>
      </c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13" t="s">
        <v>507</v>
      </c>
      <c r="B287" s="13" t="s">
        <v>411</v>
      </c>
      <c r="C287" s="13" t="s">
        <v>42</v>
      </c>
      <c r="D287" s="13" t="s">
        <v>1474</v>
      </c>
      <c r="E287" s="13">
        <v>0.0334531930976745</v>
      </c>
      <c r="F287" s="13">
        <v>0.00596981288442451</v>
      </c>
      <c r="G287" s="13">
        <v>5.60372556817572</v>
      </c>
      <c r="H287" s="63">
        <v>2.09792784140888E-8</v>
      </c>
      <c r="I287" s="13">
        <v>744732.0</v>
      </c>
      <c r="J287" s="31" t="s">
        <v>1796</v>
      </c>
      <c r="K287" s="31" t="s">
        <v>1793</v>
      </c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13" t="s">
        <v>507</v>
      </c>
      <c r="B288" s="13" t="s">
        <v>411</v>
      </c>
      <c r="C288" s="13" t="s">
        <v>55</v>
      </c>
      <c r="D288" s="13" t="s">
        <v>1474</v>
      </c>
      <c r="E288" s="13">
        <v>-0.0110876457164667</v>
      </c>
      <c r="F288" s="13">
        <v>0.00690646532639147</v>
      </c>
      <c r="G288" s="13">
        <v>-1.60540090950689</v>
      </c>
      <c r="H288" s="13">
        <v>0.108405604391504</v>
      </c>
      <c r="I288" s="13">
        <v>744436.0</v>
      </c>
      <c r="J288" s="31" t="s">
        <v>1796</v>
      </c>
      <c r="K288" s="31" t="s">
        <v>1793</v>
      </c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13" t="s">
        <v>507</v>
      </c>
      <c r="B289" s="13" t="s">
        <v>411</v>
      </c>
      <c r="C289" s="13" t="s">
        <v>1797</v>
      </c>
      <c r="D289" s="13" t="s">
        <v>1474</v>
      </c>
      <c r="E289" s="13">
        <v>-0.013809418377306</v>
      </c>
      <c r="F289" s="13">
        <v>0.00647672658299016</v>
      </c>
      <c r="G289" s="13">
        <v>-2.13216015843152</v>
      </c>
      <c r="H289" s="13">
        <v>0.0329936825104202</v>
      </c>
      <c r="I289" s="13">
        <v>744697.0</v>
      </c>
      <c r="J289" s="31" t="s">
        <v>1796</v>
      </c>
      <c r="K289" s="31" t="s">
        <v>1793</v>
      </c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13" t="s">
        <v>589</v>
      </c>
      <c r="B290" s="13" t="s">
        <v>411</v>
      </c>
      <c r="C290" s="13" t="s">
        <v>570</v>
      </c>
      <c r="D290" s="13" t="s">
        <v>1474</v>
      </c>
      <c r="E290" s="13">
        <v>-0.504767909462555</v>
      </c>
      <c r="F290" s="13">
        <v>0.0377354486531962</v>
      </c>
      <c r="G290" s="13">
        <v>-13.3764915345666</v>
      </c>
      <c r="H290" s="63">
        <v>8.29724077748962E-41</v>
      </c>
      <c r="I290" s="13">
        <v>8137.0</v>
      </c>
      <c r="J290" s="31" t="s">
        <v>1796</v>
      </c>
      <c r="K290" s="31" t="s">
        <v>1793</v>
      </c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13" t="s">
        <v>589</v>
      </c>
      <c r="B291" s="13" t="s">
        <v>411</v>
      </c>
      <c r="C291" s="13" t="s">
        <v>42</v>
      </c>
      <c r="D291" s="13" t="s">
        <v>1474</v>
      </c>
      <c r="E291" s="13">
        <v>-0.514121925935699</v>
      </c>
      <c r="F291" s="13">
        <v>0.0105922421394174</v>
      </c>
      <c r="G291" s="13">
        <v>-48.537591868531</v>
      </c>
      <c r="H291" s="13">
        <v>0.0</v>
      </c>
      <c r="I291" s="13">
        <v>122287.0</v>
      </c>
      <c r="J291" s="31" t="s">
        <v>1796</v>
      </c>
      <c r="K291" s="31" t="s">
        <v>1793</v>
      </c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13" t="s">
        <v>589</v>
      </c>
      <c r="B292" s="13" t="s">
        <v>411</v>
      </c>
      <c r="C292" s="13" t="s">
        <v>55</v>
      </c>
      <c r="D292" s="13" t="s">
        <v>1474</v>
      </c>
      <c r="E292" s="13">
        <v>-0.445045665792138</v>
      </c>
      <c r="F292" s="13">
        <v>0.0121459143335024</v>
      </c>
      <c r="G292" s="13">
        <v>-36.6415943314004</v>
      </c>
      <c r="H292" s="63">
        <v>6.22815987369548E-294</v>
      </c>
      <c r="I292" s="13">
        <v>122237.0</v>
      </c>
      <c r="J292" s="31" t="s">
        <v>1796</v>
      </c>
      <c r="K292" s="31" t="s">
        <v>1793</v>
      </c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13" t="s">
        <v>589</v>
      </c>
      <c r="B293" s="13" t="s">
        <v>411</v>
      </c>
      <c r="C293" s="13" t="s">
        <v>1797</v>
      </c>
      <c r="D293" s="13" t="s">
        <v>1474</v>
      </c>
      <c r="E293" s="13">
        <v>0.214442190118548</v>
      </c>
      <c r="F293" s="13">
        <v>0.0126039057668467</v>
      </c>
      <c r="G293" s="13">
        <v>17.0139474291068</v>
      </c>
      <c r="H293" s="63">
        <v>6.47259745000833E-65</v>
      </c>
      <c r="I293" s="13">
        <v>122285.0</v>
      </c>
      <c r="J293" s="31" t="s">
        <v>1796</v>
      </c>
      <c r="K293" s="31" t="s">
        <v>1793</v>
      </c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13" t="s">
        <v>253</v>
      </c>
      <c r="B294" s="13" t="s">
        <v>411</v>
      </c>
      <c r="C294" s="13" t="s">
        <v>570</v>
      </c>
      <c r="D294" s="13" t="s">
        <v>1474</v>
      </c>
      <c r="E294" s="13">
        <v>-0.463912938109162</v>
      </c>
      <c r="F294" s="13">
        <v>0.015396188023912</v>
      </c>
      <c r="G294" s="13">
        <v>-30.1316752814821</v>
      </c>
      <c r="H294" s="63">
        <v>1.86458621659318E-199</v>
      </c>
      <c r="I294" s="13">
        <v>71935.0</v>
      </c>
      <c r="J294" s="31" t="s">
        <v>1796</v>
      </c>
      <c r="K294" s="31" t="s">
        <v>1793</v>
      </c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13" t="s">
        <v>253</v>
      </c>
      <c r="B295" s="13" t="s">
        <v>411</v>
      </c>
      <c r="C295" s="13" t="s">
        <v>42</v>
      </c>
      <c r="D295" s="13" t="s">
        <v>1474</v>
      </c>
      <c r="E295" s="13">
        <v>-0.465642860811657</v>
      </c>
      <c r="F295" s="13">
        <v>0.00882419864722572</v>
      </c>
      <c r="G295" s="13">
        <v>-52.7688552158844</v>
      </c>
      <c r="H295" s="13">
        <v>0.0</v>
      </c>
      <c r="I295" s="13">
        <v>1080211.0</v>
      </c>
      <c r="J295" s="31" t="s">
        <v>1796</v>
      </c>
      <c r="K295" s="31" t="s">
        <v>1793</v>
      </c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13" t="s">
        <v>253</v>
      </c>
      <c r="B296" s="13" t="s">
        <v>411</v>
      </c>
      <c r="C296" s="13" t="s">
        <v>55</v>
      </c>
      <c r="D296" s="13" t="s">
        <v>1474</v>
      </c>
      <c r="E296" s="13">
        <v>-0.399087541292311</v>
      </c>
      <c r="F296" s="13">
        <v>0.00863020498955791</v>
      </c>
      <c r="G296" s="13">
        <v>-46.2431126230704</v>
      </c>
      <c r="H296" s="13">
        <v>0.0</v>
      </c>
      <c r="I296" s="13">
        <v>1079874.0</v>
      </c>
      <c r="J296" s="31" t="s">
        <v>1796</v>
      </c>
      <c r="K296" s="31" t="s">
        <v>1793</v>
      </c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13" t="s">
        <v>253</v>
      </c>
      <c r="B297" s="13" t="s">
        <v>411</v>
      </c>
      <c r="C297" s="13" t="s">
        <v>1797</v>
      </c>
      <c r="D297" s="13" t="s">
        <v>1474</v>
      </c>
      <c r="E297" s="13">
        <v>0.212806990694937</v>
      </c>
      <c r="F297" s="13">
        <v>0.00820608167488315</v>
      </c>
      <c r="G297" s="13">
        <v>25.9328384881044</v>
      </c>
      <c r="H297" s="63">
        <v>2.83986026918443E-148</v>
      </c>
      <c r="I297" s="13">
        <v>1080184.0</v>
      </c>
      <c r="J297" s="31" t="s">
        <v>1796</v>
      </c>
      <c r="K297" s="31" t="s">
        <v>1793</v>
      </c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13" t="s">
        <v>878</v>
      </c>
      <c r="B298" s="13" t="s">
        <v>411</v>
      </c>
      <c r="C298" s="13" t="s">
        <v>570</v>
      </c>
      <c r="D298" s="13" t="s">
        <v>1474</v>
      </c>
      <c r="E298" s="13">
        <v>-0.172148074892159</v>
      </c>
      <c r="F298" s="13">
        <v>0.0131076937659883</v>
      </c>
      <c r="G298" s="13">
        <v>-13.1333610599636</v>
      </c>
      <c r="H298" s="63">
        <v>2.12032502699174E-39</v>
      </c>
      <c r="I298" s="13">
        <v>158231.0</v>
      </c>
      <c r="J298" s="31" t="s">
        <v>1796</v>
      </c>
      <c r="K298" s="31" t="s">
        <v>1793</v>
      </c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13" t="s">
        <v>878</v>
      </c>
      <c r="B299" s="13" t="s">
        <v>411</v>
      </c>
      <c r="C299" s="13" t="s">
        <v>42</v>
      </c>
      <c r="D299" s="13" t="s">
        <v>1474</v>
      </c>
      <c r="E299" s="13">
        <v>-0.112657860828284</v>
      </c>
      <c r="F299" s="13">
        <v>0.0063134325617127</v>
      </c>
      <c r="G299" s="13">
        <v>-17.8441536718849</v>
      </c>
      <c r="H299" s="63">
        <v>3.20928414611124E-71</v>
      </c>
      <c r="I299" s="13">
        <v>2642874.0</v>
      </c>
      <c r="J299" s="31" t="s">
        <v>1796</v>
      </c>
      <c r="K299" s="31" t="s">
        <v>1793</v>
      </c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13" t="s">
        <v>878</v>
      </c>
      <c r="B300" s="13" t="s">
        <v>411</v>
      </c>
      <c r="C300" s="13" t="s">
        <v>55</v>
      </c>
      <c r="D300" s="13" t="s">
        <v>1474</v>
      </c>
      <c r="E300" s="13">
        <v>-0.140005202724274</v>
      </c>
      <c r="F300" s="13">
        <v>0.00655823332536956</v>
      </c>
      <c r="G300" s="13">
        <v>-21.3480057476278</v>
      </c>
      <c r="H300" s="63">
        <v>4.0693678739022E-101</v>
      </c>
      <c r="I300" s="13">
        <v>2637089.0</v>
      </c>
      <c r="J300" s="31" t="s">
        <v>1796</v>
      </c>
      <c r="K300" s="31" t="s">
        <v>1793</v>
      </c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13" t="s">
        <v>878</v>
      </c>
      <c r="B301" s="13" t="s">
        <v>411</v>
      </c>
      <c r="C301" s="13" t="s">
        <v>1797</v>
      </c>
      <c r="D301" s="13" t="s">
        <v>1474</v>
      </c>
      <c r="E301" s="13">
        <v>0.0532114652563216</v>
      </c>
      <c r="F301" s="13">
        <v>0.00570899346273548</v>
      </c>
      <c r="G301" s="13">
        <v>9.32063867363849</v>
      </c>
      <c r="H301" s="63">
        <v>1.15642074621152E-20</v>
      </c>
      <c r="I301" s="13">
        <v>2643646.0</v>
      </c>
      <c r="J301" s="31" t="s">
        <v>1796</v>
      </c>
      <c r="K301" s="31" t="s">
        <v>1793</v>
      </c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13" t="s">
        <v>882</v>
      </c>
      <c r="B302" s="13" t="s">
        <v>411</v>
      </c>
      <c r="C302" s="13" t="s">
        <v>570</v>
      </c>
      <c r="D302" s="13" t="s">
        <v>1474</v>
      </c>
      <c r="E302" s="13">
        <v>-0.263606532318408</v>
      </c>
      <c r="F302" s="13">
        <v>0.0138622120597933</v>
      </c>
      <c r="G302" s="13">
        <v>-19.0161953360233</v>
      </c>
      <c r="H302" s="63">
        <v>1.25249310798842E-80</v>
      </c>
      <c r="I302" s="13">
        <v>143501.0</v>
      </c>
      <c r="J302" s="31" t="s">
        <v>1796</v>
      </c>
      <c r="K302" s="31" t="s">
        <v>1793</v>
      </c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13" t="s">
        <v>882</v>
      </c>
      <c r="B303" s="13" t="s">
        <v>411</v>
      </c>
      <c r="C303" s="13" t="s">
        <v>42</v>
      </c>
      <c r="D303" s="13" t="s">
        <v>1474</v>
      </c>
      <c r="E303" s="13">
        <v>-0.22873184298427</v>
      </c>
      <c r="F303" s="13">
        <v>0.0083816484367928</v>
      </c>
      <c r="G303" s="13">
        <v>-27.2896011696469</v>
      </c>
      <c r="H303" s="63">
        <v>5.63588322775618E-164</v>
      </c>
      <c r="I303" s="13">
        <v>2339653.0</v>
      </c>
      <c r="J303" s="31" t="s">
        <v>1796</v>
      </c>
      <c r="K303" s="31" t="s">
        <v>1793</v>
      </c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13" t="s">
        <v>882</v>
      </c>
      <c r="B304" s="13" t="s">
        <v>411</v>
      </c>
      <c r="C304" s="13" t="s">
        <v>55</v>
      </c>
      <c r="D304" s="13" t="s">
        <v>1474</v>
      </c>
      <c r="E304" s="13">
        <v>-0.227273158640297</v>
      </c>
      <c r="F304" s="13">
        <v>0.00821210483688931</v>
      </c>
      <c r="G304" s="13">
        <v>-27.675384466522</v>
      </c>
      <c r="H304" s="63">
        <v>1.3815510834157E-168</v>
      </c>
      <c r="I304" s="13">
        <v>2334661.0</v>
      </c>
      <c r="J304" s="31" t="s">
        <v>1796</v>
      </c>
      <c r="K304" s="31" t="s">
        <v>1793</v>
      </c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13" t="s">
        <v>882</v>
      </c>
      <c r="B305" s="13" t="s">
        <v>411</v>
      </c>
      <c r="C305" s="13" t="s">
        <v>1797</v>
      </c>
      <c r="D305" s="13" t="s">
        <v>1474</v>
      </c>
      <c r="E305" s="13">
        <v>0.109235226016481</v>
      </c>
      <c r="F305" s="13">
        <v>0.00723970449507933</v>
      </c>
      <c r="G305" s="13">
        <v>15.0883542402492</v>
      </c>
      <c r="H305" s="63">
        <v>1.93201408011215E-51</v>
      </c>
      <c r="I305" s="13">
        <v>2340299.0</v>
      </c>
      <c r="J305" s="31" t="s">
        <v>1796</v>
      </c>
      <c r="K305" s="31" t="s">
        <v>1793</v>
      </c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13" t="s">
        <v>581</v>
      </c>
      <c r="B306" s="13" t="s">
        <v>411</v>
      </c>
      <c r="C306" s="13" t="s">
        <v>570</v>
      </c>
      <c r="D306" s="13" t="s">
        <v>1474</v>
      </c>
      <c r="E306" s="13">
        <v>-0.560618181592569</v>
      </c>
      <c r="F306" s="13">
        <v>0.0290251520190232</v>
      </c>
      <c r="G306" s="13">
        <v>-19.3149094008236</v>
      </c>
      <c r="H306" s="63">
        <v>4.02437136491797E-83</v>
      </c>
      <c r="I306" s="13">
        <v>10753.0</v>
      </c>
      <c r="J306" s="31" t="s">
        <v>1796</v>
      </c>
      <c r="K306" s="31" t="s">
        <v>1793</v>
      </c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13" t="s">
        <v>581</v>
      </c>
      <c r="B307" s="13" t="s">
        <v>411</v>
      </c>
      <c r="C307" s="13" t="s">
        <v>42</v>
      </c>
      <c r="D307" s="13" t="s">
        <v>1474</v>
      </c>
      <c r="E307" s="13">
        <v>-0.573024882582592</v>
      </c>
      <c r="F307" s="13">
        <v>0.00839090125105816</v>
      </c>
      <c r="G307" s="13">
        <v>-68.2912199104153</v>
      </c>
      <c r="H307" s="13">
        <v>0.0</v>
      </c>
      <c r="I307" s="13">
        <v>163455.0</v>
      </c>
      <c r="J307" s="31" t="s">
        <v>1796</v>
      </c>
      <c r="K307" s="31" t="s">
        <v>1793</v>
      </c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13" t="s">
        <v>581</v>
      </c>
      <c r="B308" s="13" t="s">
        <v>411</v>
      </c>
      <c r="C308" s="13" t="s">
        <v>55</v>
      </c>
      <c r="D308" s="13" t="s">
        <v>1474</v>
      </c>
      <c r="E308" s="13">
        <v>-0.497730478269835</v>
      </c>
      <c r="F308" s="13">
        <v>0.00921852093446828</v>
      </c>
      <c r="G308" s="13">
        <v>-53.9924443203039</v>
      </c>
      <c r="H308" s="13">
        <v>0.0</v>
      </c>
      <c r="I308" s="13">
        <v>163412.0</v>
      </c>
      <c r="J308" s="31" t="s">
        <v>1796</v>
      </c>
      <c r="K308" s="31" t="s">
        <v>1793</v>
      </c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13" t="s">
        <v>581</v>
      </c>
      <c r="B309" s="13" t="s">
        <v>411</v>
      </c>
      <c r="C309" s="13" t="s">
        <v>1797</v>
      </c>
      <c r="D309" s="13" t="s">
        <v>1474</v>
      </c>
      <c r="E309" s="13">
        <v>0.280859636504722</v>
      </c>
      <c r="F309" s="13">
        <v>0.00975664441136741</v>
      </c>
      <c r="G309" s="13">
        <v>28.7864991961267</v>
      </c>
      <c r="H309" s="63">
        <v>3.16552191482238E-182</v>
      </c>
      <c r="I309" s="13">
        <v>163452.0</v>
      </c>
      <c r="J309" s="31" t="s">
        <v>1796</v>
      </c>
      <c r="K309" s="31" t="s">
        <v>1793</v>
      </c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13" t="s">
        <v>884</v>
      </c>
      <c r="B310" s="13" t="s">
        <v>411</v>
      </c>
      <c r="C310" s="13" t="s">
        <v>570</v>
      </c>
      <c r="D310" s="13" t="s">
        <v>1474</v>
      </c>
      <c r="E310" s="13">
        <v>-0.282061510826856</v>
      </c>
      <c r="F310" s="13">
        <v>0.0136982014417315</v>
      </c>
      <c r="G310" s="13">
        <v>-20.5911346848467</v>
      </c>
      <c r="H310" s="63">
        <v>3.29559979760213E-94</v>
      </c>
      <c r="I310" s="13">
        <v>168796.0</v>
      </c>
      <c r="J310" s="31" t="s">
        <v>1796</v>
      </c>
      <c r="K310" s="31" t="s">
        <v>1793</v>
      </c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13" t="s">
        <v>884</v>
      </c>
      <c r="B311" s="13" t="s">
        <v>411</v>
      </c>
      <c r="C311" s="13" t="s">
        <v>42</v>
      </c>
      <c r="D311" s="13" t="s">
        <v>1474</v>
      </c>
      <c r="E311" s="13">
        <v>-0.251777502013317</v>
      </c>
      <c r="F311" s="13">
        <v>0.00894469195158016</v>
      </c>
      <c r="G311" s="13">
        <v>-28.1482585846725</v>
      </c>
      <c r="H311" s="63">
        <v>2.51693152648816E-174</v>
      </c>
      <c r="I311" s="13">
        <v>2817891.0</v>
      </c>
      <c r="J311" s="31" t="s">
        <v>1796</v>
      </c>
      <c r="K311" s="31" t="s">
        <v>1793</v>
      </c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13" t="s">
        <v>884</v>
      </c>
      <c r="B312" s="13" t="s">
        <v>411</v>
      </c>
      <c r="C312" s="13" t="s">
        <v>55</v>
      </c>
      <c r="D312" s="13" t="s">
        <v>1474</v>
      </c>
      <c r="E312" s="13">
        <v>-0.213919892271267</v>
      </c>
      <c r="F312" s="13">
        <v>0.00895674266337277</v>
      </c>
      <c r="G312" s="13">
        <v>-23.8836706949347</v>
      </c>
      <c r="H312" s="63">
        <v>4.52730570207983E-126</v>
      </c>
      <c r="I312" s="13">
        <v>2811867.0</v>
      </c>
      <c r="J312" s="31" t="s">
        <v>1796</v>
      </c>
      <c r="K312" s="31" t="s">
        <v>1793</v>
      </c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13" t="s">
        <v>884</v>
      </c>
      <c r="B313" s="13" t="s">
        <v>411</v>
      </c>
      <c r="C313" s="13" t="s">
        <v>1797</v>
      </c>
      <c r="D313" s="13" t="s">
        <v>1474</v>
      </c>
      <c r="E313" s="13">
        <v>0.0713059722915472</v>
      </c>
      <c r="F313" s="13">
        <v>0.00845191954592411</v>
      </c>
      <c r="G313" s="13">
        <v>8.43666008698982</v>
      </c>
      <c r="H313" s="63">
        <v>3.26534325852018E-17</v>
      </c>
      <c r="I313" s="13">
        <v>2818699.0</v>
      </c>
      <c r="J313" s="31" t="s">
        <v>1796</v>
      </c>
      <c r="K313" s="31" t="s">
        <v>1793</v>
      </c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13" t="s">
        <v>889</v>
      </c>
      <c r="B314" s="13" t="s">
        <v>411</v>
      </c>
      <c r="C314" s="13" t="s">
        <v>570</v>
      </c>
      <c r="D314" s="13" t="s">
        <v>1474</v>
      </c>
      <c r="E314" s="13">
        <v>-0.281994135082622</v>
      </c>
      <c r="F314" s="13">
        <v>0.0137094143721361</v>
      </c>
      <c r="G314" s="13">
        <v>-20.5693786348572</v>
      </c>
      <c r="H314" s="63">
        <v>5.16231682102884E-94</v>
      </c>
      <c r="I314" s="13">
        <v>168843.0</v>
      </c>
      <c r="J314" s="31" t="s">
        <v>1796</v>
      </c>
      <c r="K314" s="31" t="s">
        <v>1793</v>
      </c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13" t="s">
        <v>889</v>
      </c>
      <c r="B315" s="13" t="s">
        <v>411</v>
      </c>
      <c r="C315" s="13" t="s">
        <v>42</v>
      </c>
      <c r="D315" s="13" t="s">
        <v>1474</v>
      </c>
      <c r="E315" s="13">
        <v>-0.248106301552178</v>
      </c>
      <c r="F315" s="13">
        <v>0.00892617854422417</v>
      </c>
      <c r="G315" s="13">
        <v>-27.7953550136771</v>
      </c>
      <c r="H315" s="63">
        <v>4.93639430939566E-170</v>
      </c>
      <c r="I315" s="13">
        <v>2819080.0</v>
      </c>
      <c r="J315" s="31" t="s">
        <v>1796</v>
      </c>
      <c r="K315" s="31" t="s">
        <v>1793</v>
      </c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13" t="s">
        <v>889</v>
      </c>
      <c r="B316" s="13" t="s">
        <v>411</v>
      </c>
      <c r="C316" s="13" t="s">
        <v>55</v>
      </c>
      <c r="D316" s="13" t="s">
        <v>1474</v>
      </c>
      <c r="E316" s="13">
        <v>-0.210332913817815</v>
      </c>
      <c r="F316" s="13">
        <v>0.00900558959159066</v>
      </c>
      <c r="G316" s="13">
        <v>-23.3558182591645</v>
      </c>
      <c r="H316" s="63">
        <v>1.20276795126646E-120</v>
      </c>
      <c r="I316" s="13">
        <v>2813050.0</v>
      </c>
      <c r="J316" s="31" t="s">
        <v>1796</v>
      </c>
      <c r="K316" s="31" t="s">
        <v>1793</v>
      </c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13" t="s">
        <v>889</v>
      </c>
      <c r="B317" s="13" t="s">
        <v>411</v>
      </c>
      <c r="C317" s="13" t="s">
        <v>1797</v>
      </c>
      <c r="D317" s="13" t="s">
        <v>1474</v>
      </c>
      <c r="E317" s="13">
        <v>0.0753778163105393</v>
      </c>
      <c r="F317" s="13">
        <v>0.00846426856740037</v>
      </c>
      <c r="G317" s="13">
        <v>8.90541406033032</v>
      </c>
      <c r="H317" s="63">
        <v>5.31871455511481E-19</v>
      </c>
      <c r="I317" s="13">
        <v>2819887.0</v>
      </c>
      <c r="J317" s="31" t="s">
        <v>1796</v>
      </c>
      <c r="K317" s="31" t="s">
        <v>1793</v>
      </c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13" t="s">
        <v>891</v>
      </c>
      <c r="B318" s="13" t="s">
        <v>411</v>
      </c>
      <c r="C318" s="13" t="s">
        <v>570</v>
      </c>
      <c r="D318" s="13" t="s">
        <v>1474</v>
      </c>
      <c r="E318" s="13">
        <v>-0.093690342072151</v>
      </c>
      <c r="F318" s="13">
        <v>0.0142570762771756</v>
      </c>
      <c r="G318" s="13">
        <v>-6.57149756729162</v>
      </c>
      <c r="H318" s="63">
        <v>4.98117004521808E-11</v>
      </c>
      <c r="I318" s="13">
        <v>168822.0</v>
      </c>
      <c r="J318" s="31" t="s">
        <v>1796</v>
      </c>
      <c r="K318" s="31" t="s">
        <v>1793</v>
      </c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13" t="s">
        <v>891</v>
      </c>
      <c r="B319" s="13" t="s">
        <v>411</v>
      </c>
      <c r="C319" s="13" t="s">
        <v>42</v>
      </c>
      <c r="D319" s="13" t="s">
        <v>1474</v>
      </c>
      <c r="E319" s="13">
        <v>-0.0203089118455698</v>
      </c>
      <c r="F319" s="13">
        <v>0.00839346353048091</v>
      </c>
      <c r="G319" s="13">
        <v>-2.41961042325589</v>
      </c>
      <c r="H319" s="13">
        <v>0.0155371426336978</v>
      </c>
      <c r="I319" s="13">
        <v>2818384.0</v>
      </c>
      <c r="J319" s="31" t="s">
        <v>1796</v>
      </c>
      <c r="K319" s="31" t="s">
        <v>1793</v>
      </c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13" t="s">
        <v>891</v>
      </c>
      <c r="B320" s="13" t="s">
        <v>411</v>
      </c>
      <c r="C320" s="13" t="s">
        <v>55</v>
      </c>
      <c r="D320" s="13" t="s">
        <v>1474</v>
      </c>
      <c r="E320" s="13">
        <v>-0.0837223613419727</v>
      </c>
      <c r="F320" s="13">
        <v>0.00797840830133543</v>
      </c>
      <c r="G320" s="13">
        <v>-10.4936170448884</v>
      </c>
      <c r="H320" s="63">
        <v>9.24211460129143E-26</v>
      </c>
      <c r="I320" s="13">
        <v>2812349.0</v>
      </c>
      <c r="J320" s="31" t="s">
        <v>1796</v>
      </c>
      <c r="K320" s="31" t="s">
        <v>1793</v>
      </c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13" t="s">
        <v>891</v>
      </c>
      <c r="B321" s="13" t="s">
        <v>411</v>
      </c>
      <c r="C321" s="13" t="s">
        <v>1797</v>
      </c>
      <c r="D321" s="13" t="s">
        <v>1474</v>
      </c>
      <c r="E321" s="13">
        <v>0.00359932932665949</v>
      </c>
      <c r="F321" s="13">
        <v>0.00708277663660737</v>
      </c>
      <c r="G321" s="13">
        <v>0.5081805499917</v>
      </c>
      <c r="H321" s="13">
        <v>0.611326729795931</v>
      </c>
      <c r="I321" s="13">
        <v>2819188.0</v>
      </c>
      <c r="J321" s="31" t="s">
        <v>1796</v>
      </c>
      <c r="K321" s="31" t="s">
        <v>1793</v>
      </c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13" t="s">
        <v>894</v>
      </c>
      <c r="B322" s="13" t="s">
        <v>411</v>
      </c>
      <c r="C322" s="13" t="s">
        <v>570</v>
      </c>
      <c r="D322" s="13" t="s">
        <v>1474</v>
      </c>
      <c r="E322" s="13">
        <v>-0.0666825253670787</v>
      </c>
      <c r="F322" s="13">
        <v>0.0124418899086271</v>
      </c>
      <c r="G322" s="13">
        <v>-5.35951739300002</v>
      </c>
      <c r="H322" s="63">
        <v>8.34445605925608E-8</v>
      </c>
      <c r="I322" s="13">
        <v>168837.0</v>
      </c>
      <c r="J322" s="31" t="s">
        <v>1796</v>
      </c>
      <c r="K322" s="31" t="s">
        <v>1793</v>
      </c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13" t="s">
        <v>894</v>
      </c>
      <c r="B323" s="13" t="s">
        <v>411</v>
      </c>
      <c r="C323" s="13" t="s">
        <v>42</v>
      </c>
      <c r="D323" s="13" t="s">
        <v>1474</v>
      </c>
      <c r="E323" s="13">
        <v>0.0249266682294777</v>
      </c>
      <c r="F323" s="13">
        <v>0.00476231881416568</v>
      </c>
      <c r="G323" s="13">
        <v>5.23414521416173</v>
      </c>
      <c r="H323" s="63">
        <v>1.65750108511364E-7</v>
      </c>
      <c r="I323" s="13">
        <v>2818683.0</v>
      </c>
      <c r="J323" s="31" t="s">
        <v>1796</v>
      </c>
      <c r="K323" s="31" t="s">
        <v>1793</v>
      </c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13" t="s">
        <v>894</v>
      </c>
      <c r="B324" s="13" t="s">
        <v>411</v>
      </c>
      <c r="C324" s="13" t="s">
        <v>55</v>
      </c>
      <c r="D324" s="13" t="s">
        <v>1474</v>
      </c>
      <c r="E324" s="13">
        <v>-0.067417716321132</v>
      </c>
      <c r="F324" s="13">
        <v>0.00520901956404076</v>
      </c>
      <c r="G324" s="13">
        <v>-12.9424962782889</v>
      </c>
      <c r="H324" s="63">
        <v>2.59072501651316E-38</v>
      </c>
      <c r="I324" s="13">
        <v>2812643.0</v>
      </c>
      <c r="J324" s="31" t="s">
        <v>1796</v>
      </c>
      <c r="K324" s="31" t="s">
        <v>1793</v>
      </c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13" t="s">
        <v>894</v>
      </c>
      <c r="B325" s="13" t="s">
        <v>411</v>
      </c>
      <c r="C325" s="13" t="s">
        <v>1797</v>
      </c>
      <c r="D325" s="13" t="s">
        <v>1474</v>
      </c>
      <c r="E325" s="13">
        <v>-0.0429218607210318</v>
      </c>
      <c r="F325" s="13">
        <v>0.00518723470459504</v>
      </c>
      <c r="G325" s="13">
        <v>-8.2745168023745</v>
      </c>
      <c r="H325" s="63">
        <v>1.28977583153557E-16</v>
      </c>
      <c r="I325" s="13">
        <v>2819487.0</v>
      </c>
      <c r="J325" s="31" t="s">
        <v>1796</v>
      </c>
      <c r="K325" s="31" t="s">
        <v>1793</v>
      </c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13" t="s">
        <v>896</v>
      </c>
      <c r="B326" s="13" t="s">
        <v>411</v>
      </c>
      <c r="C326" s="13" t="s">
        <v>570</v>
      </c>
      <c r="D326" s="13" t="s">
        <v>1474</v>
      </c>
      <c r="E326" s="13">
        <v>-0.052300821794394</v>
      </c>
      <c r="F326" s="13">
        <v>0.0126162423183319</v>
      </c>
      <c r="G326" s="13">
        <v>-4.14551500159429</v>
      </c>
      <c r="H326" s="63">
        <v>3.39050800742793E-5</v>
      </c>
      <c r="I326" s="13">
        <v>168865.0</v>
      </c>
      <c r="J326" s="31" t="s">
        <v>1796</v>
      </c>
      <c r="K326" s="31" t="s">
        <v>1793</v>
      </c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13" t="s">
        <v>896</v>
      </c>
      <c r="B327" s="13" t="s">
        <v>411</v>
      </c>
      <c r="C327" s="13" t="s">
        <v>42</v>
      </c>
      <c r="D327" s="13" t="s">
        <v>1474</v>
      </c>
      <c r="E327" s="13">
        <v>0.0308849717094798</v>
      </c>
      <c r="F327" s="13">
        <v>0.00490757373875548</v>
      </c>
      <c r="G327" s="13">
        <v>6.29332809929657</v>
      </c>
      <c r="H327" s="63">
        <v>3.10730583313493E-10</v>
      </c>
      <c r="I327" s="13">
        <v>2819208.0</v>
      </c>
      <c r="J327" s="31" t="s">
        <v>1796</v>
      </c>
      <c r="K327" s="31" t="s">
        <v>1793</v>
      </c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13" t="s">
        <v>896</v>
      </c>
      <c r="B328" s="13" t="s">
        <v>411</v>
      </c>
      <c r="C328" s="13" t="s">
        <v>55</v>
      </c>
      <c r="D328" s="13" t="s">
        <v>1474</v>
      </c>
      <c r="E328" s="13">
        <v>-0.0557859253210378</v>
      </c>
      <c r="F328" s="13">
        <v>0.00540634369747665</v>
      </c>
      <c r="G328" s="13">
        <v>-10.3186050393124</v>
      </c>
      <c r="H328" s="63">
        <v>5.80605508760854E-25</v>
      </c>
      <c r="I328" s="13">
        <v>2813176.0</v>
      </c>
      <c r="J328" s="31" t="s">
        <v>1796</v>
      </c>
      <c r="K328" s="31" t="s">
        <v>1793</v>
      </c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13" t="s">
        <v>896</v>
      </c>
      <c r="B329" s="13" t="s">
        <v>411</v>
      </c>
      <c r="C329" s="13" t="s">
        <v>1797</v>
      </c>
      <c r="D329" s="13" t="s">
        <v>1474</v>
      </c>
      <c r="E329" s="13">
        <v>-0.0384770413785956</v>
      </c>
      <c r="F329" s="13">
        <v>0.0051000852561916</v>
      </c>
      <c r="G329" s="13">
        <v>-7.54439179852606</v>
      </c>
      <c r="H329" s="63">
        <v>4.54403121521999E-14</v>
      </c>
      <c r="I329" s="13">
        <v>2820012.0</v>
      </c>
      <c r="J329" s="31" t="s">
        <v>1796</v>
      </c>
      <c r="K329" s="31" t="s">
        <v>1793</v>
      </c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13" t="s">
        <v>898</v>
      </c>
      <c r="B330" s="13" t="s">
        <v>411</v>
      </c>
      <c r="C330" s="13" t="s">
        <v>570</v>
      </c>
      <c r="D330" s="13" t="s">
        <v>1474</v>
      </c>
      <c r="E330" s="13">
        <v>-0.0915207912837723</v>
      </c>
      <c r="F330" s="13">
        <v>0.0147617889376433</v>
      </c>
      <c r="G330" s="13">
        <v>-6.19984418354537</v>
      </c>
      <c r="H330" s="63">
        <v>5.6519087960653E-10</v>
      </c>
      <c r="I330" s="13">
        <v>168849.0</v>
      </c>
      <c r="J330" s="31" t="s">
        <v>1796</v>
      </c>
      <c r="K330" s="31" t="s">
        <v>1793</v>
      </c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13" t="s">
        <v>898</v>
      </c>
      <c r="B331" s="13" t="s">
        <v>411</v>
      </c>
      <c r="C331" s="13" t="s">
        <v>42</v>
      </c>
      <c r="D331" s="13" t="s">
        <v>1474</v>
      </c>
      <c r="E331" s="13">
        <v>-0.0215019701262974</v>
      </c>
      <c r="F331" s="13">
        <v>0.00812785754411092</v>
      </c>
      <c r="G331" s="13">
        <v>-2.64546591886035</v>
      </c>
      <c r="H331" s="13">
        <v>0.0081578504373019</v>
      </c>
      <c r="I331" s="13">
        <v>2818983.0</v>
      </c>
      <c r="J331" s="31" t="s">
        <v>1796</v>
      </c>
      <c r="K331" s="31" t="s">
        <v>1793</v>
      </c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13" t="s">
        <v>898</v>
      </c>
      <c r="B332" s="13" t="s">
        <v>411</v>
      </c>
      <c r="C332" s="13" t="s">
        <v>55</v>
      </c>
      <c r="D332" s="13" t="s">
        <v>1474</v>
      </c>
      <c r="E332" s="13">
        <v>-0.0804132300991739</v>
      </c>
      <c r="F332" s="13">
        <v>0.00781642625340967</v>
      </c>
      <c r="G332" s="13">
        <v>-10.2877232500077</v>
      </c>
      <c r="H332" s="63">
        <v>8.00466766922403E-25</v>
      </c>
      <c r="I332" s="13">
        <v>2812954.0</v>
      </c>
      <c r="J332" s="31" t="s">
        <v>1796</v>
      </c>
      <c r="K332" s="31" t="s">
        <v>1793</v>
      </c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13" t="s">
        <v>898</v>
      </c>
      <c r="B333" s="13" t="s">
        <v>411</v>
      </c>
      <c r="C333" s="13" t="s">
        <v>1797</v>
      </c>
      <c r="D333" s="13" t="s">
        <v>1474</v>
      </c>
      <c r="E333" s="13">
        <v>0.00162210947340763</v>
      </c>
      <c r="F333" s="13">
        <v>0.00687868033491305</v>
      </c>
      <c r="G333" s="13">
        <v>0.235816958257901</v>
      </c>
      <c r="H333" s="13">
        <v>0.813574708435755</v>
      </c>
      <c r="I333" s="13">
        <v>2819786.0</v>
      </c>
      <c r="J333" s="31" t="s">
        <v>1796</v>
      </c>
      <c r="K333" s="31" t="s">
        <v>1793</v>
      </c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13" t="s">
        <v>900</v>
      </c>
      <c r="B334" s="13" t="s">
        <v>411</v>
      </c>
      <c r="C334" s="13" t="s">
        <v>570</v>
      </c>
      <c r="D334" s="13" t="s">
        <v>1474</v>
      </c>
      <c r="E334" s="13">
        <v>-0.0718622520929746</v>
      </c>
      <c r="F334" s="13">
        <v>0.0140699290770157</v>
      </c>
      <c r="G334" s="13">
        <v>-5.10750634915189</v>
      </c>
      <c r="H334" s="63">
        <v>3.2643813195034E-7</v>
      </c>
      <c r="I334" s="13">
        <v>168854.0</v>
      </c>
      <c r="J334" s="31" t="s">
        <v>1796</v>
      </c>
      <c r="K334" s="31" t="s">
        <v>1793</v>
      </c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13" t="s">
        <v>900</v>
      </c>
      <c r="B335" s="13" t="s">
        <v>411</v>
      </c>
      <c r="C335" s="13" t="s">
        <v>42</v>
      </c>
      <c r="D335" s="13" t="s">
        <v>1474</v>
      </c>
      <c r="E335" s="13">
        <v>-0.0141841822544602</v>
      </c>
      <c r="F335" s="13">
        <v>0.00735900791972092</v>
      </c>
      <c r="G335" s="13">
        <v>-1.9274584847842</v>
      </c>
      <c r="H335" s="13">
        <v>0.053922517064573</v>
      </c>
      <c r="I335" s="13">
        <v>2818922.0</v>
      </c>
      <c r="J335" s="31" t="s">
        <v>1796</v>
      </c>
      <c r="K335" s="31" t="s">
        <v>1793</v>
      </c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13" t="s">
        <v>900</v>
      </c>
      <c r="B336" s="13" t="s">
        <v>411</v>
      </c>
      <c r="C336" s="13" t="s">
        <v>55</v>
      </c>
      <c r="D336" s="13" t="s">
        <v>1474</v>
      </c>
      <c r="E336" s="13">
        <v>-0.0711660073307188</v>
      </c>
      <c r="F336" s="13">
        <v>0.00731039470405904</v>
      </c>
      <c r="G336" s="13">
        <v>-9.73490628231118</v>
      </c>
      <c r="H336" s="63">
        <v>2.14014877961088E-22</v>
      </c>
      <c r="I336" s="13">
        <v>2812888.0</v>
      </c>
      <c r="J336" s="31" t="s">
        <v>1796</v>
      </c>
      <c r="K336" s="31" t="s">
        <v>1793</v>
      </c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13" t="s">
        <v>900</v>
      </c>
      <c r="B337" s="13" t="s">
        <v>411</v>
      </c>
      <c r="C337" s="13" t="s">
        <v>1797</v>
      </c>
      <c r="D337" s="13" t="s">
        <v>1474</v>
      </c>
      <c r="E337" s="13">
        <v>-0.00618135312755947</v>
      </c>
      <c r="F337" s="13">
        <v>0.00641609714451825</v>
      </c>
      <c r="G337" s="13">
        <v>-0.963413269520188</v>
      </c>
      <c r="H337" s="13">
        <v>0.335340169759789</v>
      </c>
      <c r="I337" s="13">
        <v>2819723.0</v>
      </c>
      <c r="J337" s="31" t="s">
        <v>1796</v>
      </c>
      <c r="K337" s="31" t="s">
        <v>1793</v>
      </c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13" t="s">
        <v>902</v>
      </c>
      <c r="B338" s="13" t="s">
        <v>411</v>
      </c>
      <c r="C338" s="13" t="s">
        <v>570</v>
      </c>
      <c r="D338" s="13" t="s">
        <v>1474</v>
      </c>
      <c r="E338" s="13">
        <v>-0.0854436906319003</v>
      </c>
      <c r="F338" s="13">
        <v>0.0137307902559782</v>
      </c>
      <c r="G338" s="13">
        <v>-6.22278026530186</v>
      </c>
      <c r="H338" s="63">
        <v>4.88421214061842E-10</v>
      </c>
      <c r="I338" s="13">
        <v>168885.0</v>
      </c>
      <c r="J338" s="31" t="s">
        <v>1796</v>
      </c>
      <c r="K338" s="31" t="s">
        <v>1793</v>
      </c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13" t="s">
        <v>902</v>
      </c>
      <c r="B339" s="13" t="s">
        <v>411</v>
      </c>
      <c r="C339" s="13" t="s">
        <v>42</v>
      </c>
      <c r="D339" s="13" t="s">
        <v>1474</v>
      </c>
      <c r="E339" s="13">
        <v>-0.00749429981593484</v>
      </c>
      <c r="F339" s="13">
        <v>0.0069905467855859</v>
      </c>
      <c r="G339" s="13">
        <v>-1.07206203546018</v>
      </c>
      <c r="H339" s="13">
        <v>0.283692169420781</v>
      </c>
      <c r="I339" s="13">
        <v>2819587.0</v>
      </c>
      <c r="J339" s="31" t="s">
        <v>1796</v>
      </c>
      <c r="K339" s="31" t="s">
        <v>1793</v>
      </c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13" t="s">
        <v>902</v>
      </c>
      <c r="B340" s="13" t="s">
        <v>411</v>
      </c>
      <c r="C340" s="13" t="s">
        <v>55</v>
      </c>
      <c r="D340" s="13" t="s">
        <v>1474</v>
      </c>
      <c r="E340" s="13">
        <v>-0.0656830143828975</v>
      </c>
      <c r="F340" s="13">
        <v>0.00690903257875361</v>
      </c>
      <c r="G340" s="13">
        <v>-9.50683234363134</v>
      </c>
      <c r="H340" s="63">
        <v>1.96556630283337E-21</v>
      </c>
      <c r="I340" s="13">
        <v>2813549.0</v>
      </c>
      <c r="J340" s="31" t="s">
        <v>1796</v>
      </c>
      <c r="K340" s="31" t="s">
        <v>1793</v>
      </c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13" t="s">
        <v>902</v>
      </c>
      <c r="B341" s="13" t="s">
        <v>411</v>
      </c>
      <c r="C341" s="13" t="s">
        <v>1797</v>
      </c>
      <c r="D341" s="13" t="s">
        <v>1474</v>
      </c>
      <c r="E341" s="13">
        <v>-0.00793029869380278</v>
      </c>
      <c r="F341" s="13">
        <v>0.00631541913683985</v>
      </c>
      <c r="G341" s="13">
        <v>-1.25570425683116</v>
      </c>
      <c r="H341" s="13">
        <v>0.209223215281867</v>
      </c>
      <c r="I341" s="13">
        <v>2820389.0</v>
      </c>
      <c r="J341" s="31" t="s">
        <v>1796</v>
      </c>
      <c r="K341" s="31" t="s">
        <v>1793</v>
      </c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13" t="s">
        <v>904</v>
      </c>
      <c r="B342" s="13" t="s">
        <v>411</v>
      </c>
      <c r="C342" s="13" t="s">
        <v>570</v>
      </c>
      <c r="D342" s="13" t="s">
        <v>1474</v>
      </c>
      <c r="E342" s="13">
        <v>-0.182314023777152</v>
      </c>
      <c r="F342" s="13">
        <v>0.0134652943652351</v>
      </c>
      <c r="G342" s="13">
        <v>-13.539549810946</v>
      </c>
      <c r="H342" s="63">
        <v>9.13470136155595E-42</v>
      </c>
      <c r="I342" s="13">
        <v>168779.0</v>
      </c>
      <c r="J342" s="31" t="s">
        <v>1796</v>
      </c>
      <c r="K342" s="31" t="s">
        <v>1793</v>
      </c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13" t="s">
        <v>904</v>
      </c>
      <c r="B343" s="13" t="s">
        <v>411</v>
      </c>
      <c r="C343" s="13" t="s">
        <v>42</v>
      </c>
      <c r="D343" s="13" t="s">
        <v>1474</v>
      </c>
      <c r="E343" s="13">
        <v>-0.152776684878126</v>
      </c>
      <c r="F343" s="13">
        <v>0.00836425927502552</v>
      </c>
      <c r="G343" s="13">
        <v>-18.2654171582528</v>
      </c>
      <c r="H343" s="63">
        <v>1.56016066994016E-74</v>
      </c>
      <c r="I343" s="13">
        <v>2817277.0</v>
      </c>
      <c r="J343" s="31" t="s">
        <v>1796</v>
      </c>
      <c r="K343" s="31" t="s">
        <v>1793</v>
      </c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13" t="s">
        <v>904</v>
      </c>
      <c r="B344" s="13" t="s">
        <v>411</v>
      </c>
      <c r="C344" s="13" t="s">
        <v>55</v>
      </c>
      <c r="D344" s="13" t="s">
        <v>1474</v>
      </c>
      <c r="E344" s="13">
        <v>-0.16180947360205</v>
      </c>
      <c r="F344" s="13">
        <v>0.00833522110862995</v>
      </c>
      <c r="G344" s="13">
        <v>-19.4127392055046</v>
      </c>
      <c r="H344" s="63">
        <v>6.02290108119937E-84</v>
      </c>
      <c r="I344" s="13">
        <v>2811250.0</v>
      </c>
      <c r="J344" s="31" t="s">
        <v>1796</v>
      </c>
      <c r="K344" s="31" t="s">
        <v>1793</v>
      </c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13" t="s">
        <v>904</v>
      </c>
      <c r="B345" s="13" t="s">
        <v>411</v>
      </c>
      <c r="C345" s="13" t="s">
        <v>1797</v>
      </c>
      <c r="D345" s="13" t="s">
        <v>1474</v>
      </c>
      <c r="E345" s="13">
        <v>0.067725481674159</v>
      </c>
      <c r="F345" s="13">
        <v>0.00675476100592071</v>
      </c>
      <c r="G345" s="13">
        <v>10.0263327769547</v>
      </c>
      <c r="H345" s="63">
        <v>1.16773373744074E-23</v>
      </c>
      <c r="I345" s="13">
        <v>2818081.0</v>
      </c>
      <c r="J345" s="31" t="s">
        <v>1796</v>
      </c>
      <c r="K345" s="31" t="s">
        <v>1793</v>
      </c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13" t="s">
        <v>907</v>
      </c>
      <c r="B346" s="13" t="s">
        <v>411</v>
      </c>
      <c r="C346" s="13" t="s">
        <v>570</v>
      </c>
      <c r="D346" s="13" t="s">
        <v>1474</v>
      </c>
      <c r="E346" s="13">
        <v>-0.770132085625033</v>
      </c>
      <c r="F346" s="13">
        <v>0.00496262744070225</v>
      </c>
      <c r="G346" s="13">
        <v>-155.186359408848</v>
      </c>
      <c r="H346" s="13">
        <v>0.0</v>
      </c>
      <c r="I346" s="13">
        <v>168826.0</v>
      </c>
      <c r="J346" s="31" t="s">
        <v>1796</v>
      </c>
      <c r="K346" s="31" t="s">
        <v>1793</v>
      </c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13" t="s">
        <v>907</v>
      </c>
      <c r="B347" s="13" t="s">
        <v>411</v>
      </c>
      <c r="C347" s="13" t="s">
        <v>42</v>
      </c>
      <c r="D347" s="13" t="s">
        <v>1474</v>
      </c>
      <c r="E347" s="13">
        <v>-0.776414593718876</v>
      </c>
      <c r="F347" s="13">
        <v>0.00221081960711654</v>
      </c>
      <c r="G347" s="13">
        <v>-351.188577855753</v>
      </c>
      <c r="H347" s="13">
        <v>0.0</v>
      </c>
      <c r="I347" s="13">
        <v>2816683.0</v>
      </c>
      <c r="J347" s="31" t="s">
        <v>1796</v>
      </c>
      <c r="K347" s="31" t="s">
        <v>1793</v>
      </c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13" t="s">
        <v>907</v>
      </c>
      <c r="B348" s="13" t="s">
        <v>411</v>
      </c>
      <c r="C348" s="13" t="s">
        <v>55</v>
      </c>
      <c r="D348" s="13" t="s">
        <v>1474</v>
      </c>
      <c r="E348" s="13">
        <v>-0.684822766836951</v>
      </c>
      <c r="F348" s="13">
        <v>0.0029400946083248</v>
      </c>
      <c r="G348" s="13">
        <v>-232.925418419492</v>
      </c>
      <c r="H348" s="13">
        <v>0.0</v>
      </c>
      <c r="I348" s="13">
        <v>2810962.0</v>
      </c>
      <c r="J348" s="31" t="s">
        <v>1796</v>
      </c>
      <c r="K348" s="31" t="s">
        <v>1793</v>
      </c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13" t="s">
        <v>907</v>
      </c>
      <c r="B349" s="13" t="s">
        <v>411</v>
      </c>
      <c r="C349" s="13" t="s">
        <v>1797</v>
      </c>
      <c r="D349" s="13" t="s">
        <v>1474</v>
      </c>
      <c r="E349" s="13">
        <v>0.28502468078533</v>
      </c>
      <c r="F349" s="13">
        <v>0.00603599490183981</v>
      </c>
      <c r="G349" s="13">
        <v>47.2208286157519</v>
      </c>
      <c r="H349" s="13">
        <v>0.0</v>
      </c>
      <c r="I349" s="13">
        <v>2817414.0</v>
      </c>
      <c r="J349" s="31" t="s">
        <v>1796</v>
      </c>
      <c r="K349" s="31" t="s">
        <v>1793</v>
      </c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13" t="s">
        <v>910</v>
      </c>
      <c r="B350" s="13" t="s">
        <v>411</v>
      </c>
      <c r="C350" s="13" t="s">
        <v>570</v>
      </c>
      <c r="D350" s="13" t="s">
        <v>1474</v>
      </c>
      <c r="E350" s="13">
        <v>-0.708094884624687</v>
      </c>
      <c r="F350" s="13">
        <v>0.00701597080550648</v>
      </c>
      <c r="G350" s="13">
        <v>-100.926144685342</v>
      </c>
      <c r="H350" s="13">
        <v>0.0</v>
      </c>
      <c r="I350" s="13">
        <v>168440.0</v>
      </c>
      <c r="J350" s="31" t="s">
        <v>1796</v>
      </c>
      <c r="K350" s="31" t="s">
        <v>1793</v>
      </c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13" t="s">
        <v>910</v>
      </c>
      <c r="B351" s="13" t="s">
        <v>411</v>
      </c>
      <c r="C351" s="13" t="s">
        <v>42</v>
      </c>
      <c r="D351" s="13" t="s">
        <v>1474</v>
      </c>
      <c r="E351" s="13">
        <v>-0.704758941366194</v>
      </c>
      <c r="F351" s="13">
        <v>0.00510564182174357</v>
      </c>
      <c r="G351" s="13">
        <v>-138.035327579152</v>
      </c>
      <c r="H351" s="13">
        <v>0.0</v>
      </c>
      <c r="I351" s="13">
        <v>2811853.0</v>
      </c>
      <c r="J351" s="31" t="s">
        <v>1796</v>
      </c>
      <c r="K351" s="31" t="s">
        <v>1793</v>
      </c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13" t="s">
        <v>910</v>
      </c>
      <c r="B352" s="13" t="s">
        <v>411</v>
      </c>
      <c r="C352" s="13" t="s">
        <v>55</v>
      </c>
      <c r="D352" s="13" t="s">
        <v>1474</v>
      </c>
      <c r="E352" s="13">
        <v>-0.642626216569047</v>
      </c>
      <c r="F352" s="13">
        <v>0.00556862733366249</v>
      </c>
      <c r="G352" s="13">
        <v>-115.401189209476</v>
      </c>
      <c r="H352" s="13">
        <v>0.0</v>
      </c>
      <c r="I352" s="13">
        <v>2805850.0</v>
      </c>
      <c r="J352" s="31" t="s">
        <v>1796</v>
      </c>
      <c r="K352" s="31" t="s">
        <v>1793</v>
      </c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13" t="s">
        <v>910</v>
      </c>
      <c r="B353" s="13" t="s">
        <v>411</v>
      </c>
      <c r="C353" s="13" t="s">
        <v>1797</v>
      </c>
      <c r="D353" s="13" t="s">
        <v>1474</v>
      </c>
      <c r="E353" s="13">
        <v>-0.0089243038181637</v>
      </c>
      <c r="F353" s="13">
        <v>0.0107229567187015</v>
      </c>
      <c r="G353" s="13">
        <v>-0.832261479019039</v>
      </c>
      <c r="H353" s="13">
        <v>0.405261368712159</v>
      </c>
      <c r="I353" s="13">
        <v>2812684.0</v>
      </c>
      <c r="J353" s="31" t="s">
        <v>1796</v>
      </c>
      <c r="K353" s="31" t="s">
        <v>1793</v>
      </c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13" t="s">
        <v>914</v>
      </c>
      <c r="B354" s="13" t="s">
        <v>411</v>
      </c>
      <c r="C354" s="13" t="s">
        <v>570</v>
      </c>
      <c r="D354" s="13" t="s">
        <v>1474</v>
      </c>
      <c r="E354" s="13">
        <v>-0.549249988314049</v>
      </c>
      <c r="F354" s="13">
        <v>0.010831062668906</v>
      </c>
      <c r="G354" s="13">
        <v>-50.7106278584133</v>
      </c>
      <c r="H354" s="13">
        <v>0.0</v>
      </c>
      <c r="I354" s="13">
        <v>168556.0</v>
      </c>
      <c r="J354" s="31" t="s">
        <v>1796</v>
      </c>
      <c r="K354" s="31" t="s">
        <v>1793</v>
      </c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13" t="s">
        <v>914</v>
      </c>
      <c r="B355" s="13" t="s">
        <v>411</v>
      </c>
      <c r="C355" s="13" t="s">
        <v>42</v>
      </c>
      <c r="D355" s="13" t="s">
        <v>1474</v>
      </c>
      <c r="E355" s="13">
        <v>-0.524145968829598</v>
      </c>
      <c r="F355" s="13">
        <v>0.00912194414181255</v>
      </c>
      <c r="G355" s="13">
        <v>-57.4598967808905</v>
      </c>
      <c r="H355" s="13">
        <v>0.0</v>
      </c>
      <c r="I355" s="13">
        <v>2814090.0</v>
      </c>
      <c r="J355" s="31" t="s">
        <v>1796</v>
      </c>
      <c r="K355" s="31" t="s">
        <v>1793</v>
      </c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13" t="s">
        <v>914</v>
      </c>
      <c r="B356" s="13" t="s">
        <v>411</v>
      </c>
      <c r="C356" s="13" t="s">
        <v>55</v>
      </c>
      <c r="D356" s="13" t="s">
        <v>1474</v>
      </c>
      <c r="E356" s="13">
        <v>-0.499926268518806</v>
      </c>
      <c r="F356" s="13">
        <v>0.00854546069947244</v>
      </c>
      <c r="G356" s="13">
        <v>-58.5019680155651</v>
      </c>
      <c r="H356" s="13">
        <v>0.0</v>
      </c>
      <c r="I356" s="13">
        <v>2808075.0</v>
      </c>
      <c r="J356" s="31" t="s">
        <v>1796</v>
      </c>
      <c r="K356" s="31" t="s">
        <v>1793</v>
      </c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13" t="s">
        <v>914</v>
      </c>
      <c r="B357" s="13" t="s">
        <v>411</v>
      </c>
      <c r="C357" s="13" t="s">
        <v>1797</v>
      </c>
      <c r="D357" s="13" t="s">
        <v>1474</v>
      </c>
      <c r="E357" s="13">
        <v>-0.00284393516571455</v>
      </c>
      <c r="F357" s="13">
        <v>0.0108332730498216</v>
      </c>
      <c r="G357" s="13">
        <v>-0.262518553038906</v>
      </c>
      <c r="H357" s="13">
        <v>0.792921683539678</v>
      </c>
      <c r="I357" s="13">
        <v>2814903.0</v>
      </c>
      <c r="J357" s="31" t="s">
        <v>1796</v>
      </c>
      <c r="K357" s="31" t="s">
        <v>1793</v>
      </c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13" t="s">
        <v>916</v>
      </c>
      <c r="B358" s="13" t="s">
        <v>411</v>
      </c>
      <c r="C358" s="13" t="s">
        <v>570</v>
      </c>
      <c r="D358" s="13" t="s">
        <v>1474</v>
      </c>
      <c r="E358" s="13">
        <v>-0.0420226828832572</v>
      </c>
      <c r="F358" s="13">
        <v>0.012969425264034</v>
      </c>
      <c r="G358" s="13">
        <v>-3.24013454935368</v>
      </c>
      <c r="H358" s="13">
        <v>0.00119473309581013</v>
      </c>
      <c r="I358" s="13">
        <v>168748.0</v>
      </c>
      <c r="J358" s="31" t="s">
        <v>1796</v>
      </c>
      <c r="K358" s="31" t="s">
        <v>1793</v>
      </c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13" t="s">
        <v>916</v>
      </c>
      <c r="B359" s="13" t="s">
        <v>411</v>
      </c>
      <c r="C359" s="13" t="s">
        <v>42</v>
      </c>
      <c r="D359" s="13" t="s">
        <v>1474</v>
      </c>
      <c r="E359" s="13">
        <v>0.0336243361354868</v>
      </c>
      <c r="F359" s="13">
        <v>0.00454324936441857</v>
      </c>
      <c r="G359" s="13">
        <v>7.40094444272043</v>
      </c>
      <c r="H359" s="63">
        <v>1.35219300787172E-13</v>
      </c>
      <c r="I359" s="13">
        <v>2817698.0</v>
      </c>
      <c r="J359" s="31" t="s">
        <v>1796</v>
      </c>
      <c r="K359" s="31" t="s">
        <v>1793</v>
      </c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13" t="s">
        <v>916</v>
      </c>
      <c r="B360" s="13" t="s">
        <v>411</v>
      </c>
      <c r="C360" s="13" t="s">
        <v>55</v>
      </c>
      <c r="D360" s="13" t="s">
        <v>1474</v>
      </c>
      <c r="E360" s="13">
        <v>-0.0400789575023801</v>
      </c>
      <c r="F360" s="13">
        <v>0.00503698191447052</v>
      </c>
      <c r="G360" s="13">
        <v>-7.95693893345914</v>
      </c>
      <c r="H360" s="63">
        <v>1.76347692437067E-15</v>
      </c>
      <c r="I360" s="13">
        <v>2811670.0</v>
      </c>
      <c r="J360" s="31" t="s">
        <v>1796</v>
      </c>
      <c r="K360" s="31" t="s">
        <v>1793</v>
      </c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13" t="s">
        <v>916</v>
      </c>
      <c r="B361" s="13" t="s">
        <v>411</v>
      </c>
      <c r="C361" s="13" t="s">
        <v>1797</v>
      </c>
      <c r="D361" s="13" t="s">
        <v>1474</v>
      </c>
      <c r="E361" s="13">
        <v>-0.0201978429873767</v>
      </c>
      <c r="F361" s="13">
        <v>0.00463910618880326</v>
      </c>
      <c r="G361" s="13">
        <v>-4.35382208670397</v>
      </c>
      <c r="H361" s="63">
        <v>1.33784295509597E-5</v>
      </c>
      <c r="I361" s="13">
        <v>2818502.0</v>
      </c>
      <c r="J361" s="31" t="s">
        <v>1796</v>
      </c>
      <c r="K361" s="31" t="s">
        <v>1793</v>
      </c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13" t="s">
        <v>919</v>
      </c>
      <c r="B362" s="13" t="s">
        <v>411</v>
      </c>
      <c r="C362" s="13" t="s">
        <v>570</v>
      </c>
      <c r="D362" s="13" t="s">
        <v>1474</v>
      </c>
      <c r="E362" s="13">
        <v>-0.0542545445098709</v>
      </c>
      <c r="F362" s="13">
        <v>0.0124546845580615</v>
      </c>
      <c r="G362" s="13">
        <v>-4.35615565026522</v>
      </c>
      <c r="H362" s="63">
        <v>1.32366666736021E-5</v>
      </c>
      <c r="I362" s="13">
        <v>168839.0</v>
      </c>
      <c r="J362" s="31" t="s">
        <v>1796</v>
      </c>
      <c r="K362" s="31" t="s">
        <v>1793</v>
      </c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13" t="s">
        <v>919</v>
      </c>
      <c r="B363" s="13" t="s">
        <v>411</v>
      </c>
      <c r="C363" s="13" t="s">
        <v>42</v>
      </c>
      <c r="D363" s="13" t="s">
        <v>1474</v>
      </c>
      <c r="E363" s="13">
        <v>0.0445387634344355</v>
      </c>
      <c r="F363" s="13">
        <v>0.00435402884353932</v>
      </c>
      <c r="G363" s="13">
        <v>10.2293220910844</v>
      </c>
      <c r="H363" s="63">
        <v>1.46541564702691E-24</v>
      </c>
      <c r="I363" s="13">
        <v>2819034.0</v>
      </c>
      <c r="J363" s="31" t="s">
        <v>1796</v>
      </c>
      <c r="K363" s="31" t="s">
        <v>1793</v>
      </c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13" t="s">
        <v>919</v>
      </c>
      <c r="B364" s="13" t="s">
        <v>411</v>
      </c>
      <c r="C364" s="13" t="s">
        <v>55</v>
      </c>
      <c r="D364" s="13" t="s">
        <v>1474</v>
      </c>
      <c r="E364" s="13">
        <v>-0.0384315103070751</v>
      </c>
      <c r="F364" s="13">
        <v>0.00495174605406489</v>
      </c>
      <c r="G364" s="13">
        <v>-7.76120380315681</v>
      </c>
      <c r="H364" s="63">
        <v>8.41270004645694E-15</v>
      </c>
      <c r="I364" s="13">
        <v>2813002.0</v>
      </c>
      <c r="J364" s="31" t="s">
        <v>1796</v>
      </c>
      <c r="K364" s="31" t="s">
        <v>1793</v>
      </c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13" t="s">
        <v>919</v>
      </c>
      <c r="B365" s="13" t="s">
        <v>411</v>
      </c>
      <c r="C365" s="13" t="s">
        <v>1797</v>
      </c>
      <c r="D365" s="13" t="s">
        <v>1474</v>
      </c>
      <c r="E365" s="13">
        <v>-0.0376286779230861</v>
      </c>
      <c r="F365" s="13">
        <v>0.0043666522542516</v>
      </c>
      <c r="G365" s="13">
        <v>-8.61728292800254</v>
      </c>
      <c r="H365" s="63">
        <v>6.85615756600709E-18</v>
      </c>
      <c r="I365" s="13">
        <v>2819838.0</v>
      </c>
      <c r="J365" s="31" t="s">
        <v>1796</v>
      </c>
      <c r="K365" s="31" t="s">
        <v>1793</v>
      </c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13" t="s">
        <v>923</v>
      </c>
      <c r="B366" s="13" t="s">
        <v>411</v>
      </c>
      <c r="C366" s="13" t="s">
        <v>570</v>
      </c>
      <c r="D366" s="13" t="s">
        <v>1474</v>
      </c>
      <c r="E366" s="13">
        <v>-0.0509448562988679</v>
      </c>
      <c r="F366" s="13">
        <v>0.012462107827101</v>
      </c>
      <c r="G366" s="13">
        <v>-4.08798070163374</v>
      </c>
      <c r="H366" s="63">
        <v>4.35144341823934E-5</v>
      </c>
      <c r="I366" s="13">
        <v>168856.0</v>
      </c>
      <c r="J366" s="31" t="s">
        <v>1796</v>
      </c>
      <c r="K366" s="31" t="s">
        <v>1793</v>
      </c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13" t="s">
        <v>923</v>
      </c>
      <c r="B367" s="13" t="s">
        <v>411</v>
      </c>
      <c r="C367" s="13" t="s">
        <v>42</v>
      </c>
      <c r="D367" s="13" t="s">
        <v>1474</v>
      </c>
      <c r="E367" s="13">
        <v>0.0270700026667755</v>
      </c>
      <c r="F367" s="13">
        <v>0.00604546757114632</v>
      </c>
      <c r="G367" s="13">
        <v>4.47773515417975</v>
      </c>
      <c r="H367" s="63">
        <v>7.54391096480632E-6</v>
      </c>
      <c r="I367" s="13">
        <v>2818717.0</v>
      </c>
      <c r="J367" s="31" t="s">
        <v>1796</v>
      </c>
      <c r="K367" s="31" t="s">
        <v>1793</v>
      </c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13" t="s">
        <v>923</v>
      </c>
      <c r="B368" s="13" t="s">
        <v>411</v>
      </c>
      <c r="C368" s="13" t="s">
        <v>55</v>
      </c>
      <c r="D368" s="13" t="s">
        <v>1474</v>
      </c>
      <c r="E368" s="13">
        <v>-0.0542881534031529</v>
      </c>
      <c r="F368" s="13">
        <v>0.00634901754572476</v>
      </c>
      <c r="G368" s="13">
        <v>-8.55063842746961</v>
      </c>
      <c r="H368" s="63">
        <v>1.22409526090813E-17</v>
      </c>
      <c r="I368" s="13">
        <v>2812685.0</v>
      </c>
      <c r="J368" s="31" t="s">
        <v>1796</v>
      </c>
      <c r="K368" s="31" t="s">
        <v>1793</v>
      </c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13" t="s">
        <v>923</v>
      </c>
      <c r="B369" s="13" t="s">
        <v>411</v>
      </c>
      <c r="C369" s="13" t="s">
        <v>1797</v>
      </c>
      <c r="D369" s="13" t="s">
        <v>1474</v>
      </c>
      <c r="E369" s="13">
        <v>-0.0273841612992286</v>
      </c>
      <c r="F369" s="13">
        <v>0.00516344181438924</v>
      </c>
      <c r="G369" s="13">
        <v>-5.3034704918947</v>
      </c>
      <c r="H369" s="63">
        <v>1.13621577518738E-7</v>
      </c>
      <c r="I369" s="13">
        <v>2819520.0</v>
      </c>
      <c r="J369" s="31" t="s">
        <v>1796</v>
      </c>
      <c r="K369" s="31" t="s">
        <v>1793</v>
      </c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13" t="s">
        <v>925</v>
      </c>
      <c r="B370" s="13" t="s">
        <v>411</v>
      </c>
      <c r="C370" s="13" t="s">
        <v>570</v>
      </c>
      <c r="D370" s="13" t="s">
        <v>1474</v>
      </c>
      <c r="E370" s="13">
        <v>-0.770622915606464</v>
      </c>
      <c r="F370" s="13">
        <v>0.00478334550355482</v>
      </c>
      <c r="G370" s="13">
        <v>-161.105426115207</v>
      </c>
      <c r="H370" s="13">
        <v>0.0</v>
      </c>
      <c r="I370" s="13">
        <v>168871.0</v>
      </c>
      <c r="J370" s="31" t="s">
        <v>1796</v>
      </c>
      <c r="K370" s="31" t="s">
        <v>1793</v>
      </c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13" t="s">
        <v>925</v>
      </c>
      <c r="B371" s="13" t="s">
        <v>411</v>
      </c>
      <c r="C371" s="13" t="s">
        <v>42</v>
      </c>
      <c r="D371" s="13" t="s">
        <v>1474</v>
      </c>
      <c r="E371" s="13">
        <v>-0.77872995047397</v>
      </c>
      <c r="F371" s="13">
        <v>0.00220625341307115</v>
      </c>
      <c r="G371" s="13">
        <v>-352.964870608386</v>
      </c>
      <c r="H371" s="13">
        <v>0.0</v>
      </c>
      <c r="I371" s="13">
        <v>2817820.0</v>
      </c>
      <c r="J371" s="31" t="s">
        <v>1796</v>
      </c>
      <c r="K371" s="31" t="s">
        <v>1793</v>
      </c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13" t="s">
        <v>925</v>
      </c>
      <c r="B372" s="13" t="s">
        <v>411</v>
      </c>
      <c r="C372" s="13" t="s">
        <v>55</v>
      </c>
      <c r="D372" s="13" t="s">
        <v>1474</v>
      </c>
      <c r="E372" s="13">
        <v>-0.6856039222889</v>
      </c>
      <c r="F372" s="13">
        <v>0.00297562698062216</v>
      </c>
      <c r="G372" s="13">
        <v>-230.406541798982</v>
      </c>
      <c r="H372" s="13">
        <v>0.0</v>
      </c>
      <c r="I372" s="13">
        <v>2812043.0</v>
      </c>
      <c r="J372" s="31" t="s">
        <v>1796</v>
      </c>
      <c r="K372" s="31" t="s">
        <v>1793</v>
      </c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13" t="s">
        <v>925</v>
      </c>
      <c r="B373" s="13" t="s">
        <v>411</v>
      </c>
      <c r="C373" s="13" t="s">
        <v>1797</v>
      </c>
      <c r="D373" s="13" t="s">
        <v>1474</v>
      </c>
      <c r="E373" s="13">
        <v>0.288268425268005</v>
      </c>
      <c r="F373" s="13">
        <v>0.00592901251678625</v>
      </c>
      <c r="G373" s="13">
        <v>48.6199724577842</v>
      </c>
      <c r="H373" s="13">
        <v>0.0</v>
      </c>
      <c r="I373" s="13">
        <v>2818550.0</v>
      </c>
      <c r="J373" s="31" t="s">
        <v>1796</v>
      </c>
      <c r="K373" s="31" t="s">
        <v>1793</v>
      </c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13" t="s">
        <v>941</v>
      </c>
      <c r="B374" s="13" t="s">
        <v>411</v>
      </c>
      <c r="C374" s="13" t="s">
        <v>570</v>
      </c>
      <c r="D374" s="13" t="s">
        <v>1474</v>
      </c>
      <c r="E374" s="13">
        <v>-0.0379968920251581</v>
      </c>
      <c r="F374" s="13">
        <v>0.0127943668191254</v>
      </c>
      <c r="G374" s="13">
        <v>-2.96981418168807</v>
      </c>
      <c r="H374" s="13">
        <v>0.0029797993225616</v>
      </c>
      <c r="I374" s="13">
        <v>168884.0</v>
      </c>
      <c r="J374" s="31" t="s">
        <v>1796</v>
      </c>
      <c r="K374" s="31" t="s">
        <v>1793</v>
      </c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13" t="s">
        <v>941</v>
      </c>
      <c r="B375" s="13" t="s">
        <v>411</v>
      </c>
      <c r="C375" s="13" t="s">
        <v>42</v>
      </c>
      <c r="D375" s="13" t="s">
        <v>1474</v>
      </c>
      <c r="E375" s="13">
        <v>0.0121472564420182</v>
      </c>
      <c r="F375" s="13">
        <v>0.00508637615128224</v>
      </c>
      <c r="G375" s="13">
        <v>2.38819467548738</v>
      </c>
      <c r="H375" s="13">
        <v>0.0169313704144891</v>
      </c>
      <c r="I375" s="13">
        <v>2819524.0</v>
      </c>
      <c r="J375" s="31" t="s">
        <v>1796</v>
      </c>
      <c r="K375" s="31" t="s">
        <v>1793</v>
      </c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13" t="s">
        <v>941</v>
      </c>
      <c r="B376" s="13" t="s">
        <v>411</v>
      </c>
      <c r="C376" s="13" t="s">
        <v>55</v>
      </c>
      <c r="D376" s="13" t="s">
        <v>1474</v>
      </c>
      <c r="E376" s="13">
        <v>-0.0450413126387473</v>
      </c>
      <c r="F376" s="13">
        <v>0.00542392871130089</v>
      </c>
      <c r="G376" s="13">
        <v>-8.30418595747812</v>
      </c>
      <c r="H376" s="63">
        <v>1.00506126623766E-16</v>
      </c>
      <c r="I376" s="13">
        <v>2813491.0</v>
      </c>
      <c r="J376" s="31" t="s">
        <v>1796</v>
      </c>
      <c r="K376" s="31" t="s">
        <v>1793</v>
      </c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13" t="s">
        <v>941</v>
      </c>
      <c r="B377" s="13" t="s">
        <v>411</v>
      </c>
      <c r="C377" s="13" t="s">
        <v>1797</v>
      </c>
      <c r="D377" s="13" t="s">
        <v>1474</v>
      </c>
      <c r="E377" s="13">
        <v>-0.0143164338126651</v>
      </c>
      <c r="F377" s="13">
        <v>0.00520367460575534</v>
      </c>
      <c r="G377" s="13">
        <v>-2.75121618804353</v>
      </c>
      <c r="H377" s="13">
        <v>0.005937444458998</v>
      </c>
      <c r="I377" s="13">
        <v>2820328.0</v>
      </c>
      <c r="J377" s="31" t="s">
        <v>1796</v>
      </c>
      <c r="K377" s="31" t="s">
        <v>1793</v>
      </c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13" t="s">
        <v>613</v>
      </c>
      <c r="B378" s="13" t="s">
        <v>411</v>
      </c>
      <c r="C378" s="13" t="s">
        <v>570</v>
      </c>
      <c r="D378" s="13" t="s">
        <v>1474</v>
      </c>
      <c r="E378" s="13">
        <v>0.061085670838042</v>
      </c>
      <c r="F378" s="13">
        <v>0.0743251129464085</v>
      </c>
      <c r="G378" s="13">
        <v>0.821871214404844</v>
      </c>
      <c r="H378" s="13">
        <v>0.41115019748689</v>
      </c>
      <c r="I378" s="13">
        <v>5120.0</v>
      </c>
      <c r="J378" s="31" t="s">
        <v>1796</v>
      </c>
      <c r="K378" s="31" t="s">
        <v>1793</v>
      </c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13" t="s">
        <v>613</v>
      </c>
      <c r="B379" s="13" t="s">
        <v>411</v>
      </c>
      <c r="C379" s="13" t="s">
        <v>42</v>
      </c>
      <c r="D379" s="13" t="s">
        <v>1474</v>
      </c>
      <c r="E379" s="13">
        <v>0.019594072253956</v>
      </c>
      <c r="F379" s="13">
        <v>0.0153160079160564</v>
      </c>
      <c r="G379" s="13">
        <v>1.27931980456962</v>
      </c>
      <c r="H379" s="13">
        <v>0.200784461296722</v>
      </c>
      <c r="I379" s="13">
        <v>75302.0</v>
      </c>
      <c r="J379" s="31" t="s">
        <v>1796</v>
      </c>
      <c r="K379" s="31" t="s">
        <v>1793</v>
      </c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13" t="s">
        <v>613</v>
      </c>
      <c r="B380" s="13" t="s">
        <v>411</v>
      </c>
      <c r="C380" s="13" t="s">
        <v>55</v>
      </c>
      <c r="D380" s="13" t="s">
        <v>1474</v>
      </c>
      <c r="E380" s="13">
        <v>0.0389212610534316</v>
      </c>
      <c r="F380" s="13">
        <v>0.0190193450386913</v>
      </c>
      <c r="G380" s="13">
        <v>2.04640385745426</v>
      </c>
      <c r="H380" s="13">
        <v>0.0407166528730039</v>
      </c>
      <c r="I380" s="13">
        <v>75269.0</v>
      </c>
      <c r="J380" s="31" t="s">
        <v>1796</v>
      </c>
      <c r="K380" s="31" t="s">
        <v>1793</v>
      </c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13" t="s">
        <v>613</v>
      </c>
      <c r="B381" s="13" t="s">
        <v>411</v>
      </c>
      <c r="C381" s="13" t="s">
        <v>1797</v>
      </c>
      <c r="D381" s="13" t="s">
        <v>1474</v>
      </c>
      <c r="E381" s="13">
        <v>0.0355409996675819</v>
      </c>
      <c r="F381" s="13">
        <v>0.0190037176651966</v>
      </c>
      <c r="G381" s="13">
        <v>1.87021299167539</v>
      </c>
      <c r="H381" s="13">
        <v>0.0614542463139294</v>
      </c>
      <c r="I381" s="13">
        <v>75298.0</v>
      </c>
      <c r="J381" s="31" t="s">
        <v>1796</v>
      </c>
      <c r="K381" s="31" t="s">
        <v>1793</v>
      </c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13" t="s">
        <v>944</v>
      </c>
      <c r="B382" s="13" t="s">
        <v>411</v>
      </c>
      <c r="C382" s="13" t="s">
        <v>570</v>
      </c>
      <c r="D382" s="13" t="s">
        <v>1474</v>
      </c>
      <c r="E382" s="13">
        <v>-0.0349348396910818</v>
      </c>
      <c r="F382" s="13">
        <v>0.0129063029583429</v>
      </c>
      <c r="G382" s="13">
        <v>-2.70680455927923</v>
      </c>
      <c r="H382" s="13">
        <v>0.00679342378440451</v>
      </c>
      <c r="I382" s="13">
        <v>168845.0</v>
      </c>
      <c r="J382" s="31" t="s">
        <v>1796</v>
      </c>
      <c r="K382" s="31" t="s">
        <v>1793</v>
      </c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13" t="s">
        <v>944</v>
      </c>
      <c r="B383" s="13" t="s">
        <v>411</v>
      </c>
      <c r="C383" s="13" t="s">
        <v>42</v>
      </c>
      <c r="D383" s="13" t="s">
        <v>1474</v>
      </c>
      <c r="E383" s="13">
        <v>0.0284574928303141</v>
      </c>
      <c r="F383" s="13">
        <v>0.00442220465775373</v>
      </c>
      <c r="G383" s="13">
        <v>6.43513700353461</v>
      </c>
      <c r="H383" s="63">
        <v>1.23362008115448E-10</v>
      </c>
      <c r="I383" s="13">
        <v>2818695.0</v>
      </c>
      <c r="J383" s="31" t="s">
        <v>1796</v>
      </c>
      <c r="K383" s="31" t="s">
        <v>1793</v>
      </c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13" t="s">
        <v>944</v>
      </c>
      <c r="B384" s="13" t="s">
        <v>411</v>
      </c>
      <c r="C384" s="13" t="s">
        <v>55</v>
      </c>
      <c r="D384" s="13" t="s">
        <v>1474</v>
      </c>
      <c r="E384" s="13">
        <v>-0.0234387594472531</v>
      </c>
      <c r="F384" s="13">
        <v>0.00487215720257576</v>
      </c>
      <c r="G384" s="13">
        <v>-4.8107559901519</v>
      </c>
      <c r="H384" s="63">
        <v>1.50360490507752E-6</v>
      </c>
      <c r="I384" s="13">
        <v>2812655.0</v>
      </c>
      <c r="J384" s="31" t="s">
        <v>1796</v>
      </c>
      <c r="K384" s="31" t="s">
        <v>1793</v>
      </c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13" t="s">
        <v>944</v>
      </c>
      <c r="B385" s="13" t="s">
        <v>411</v>
      </c>
      <c r="C385" s="13" t="s">
        <v>1797</v>
      </c>
      <c r="D385" s="13" t="s">
        <v>1474</v>
      </c>
      <c r="E385" s="13">
        <v>-0.022890472312738</v>
      </c>
      <c r="F385" s="13">
        <v>0.00431428019717159</v>
      </c>
      <c r="G385" s="13">
        <v>-5.30574540052934</v>
      </c>
      <c r="H385" s="63">
        <v>1.12213490277592E-7</v>
      </c>
      <c r="I385" s="13">
        <v>2819497.0</v>
      </c>
      <c r="J385" s="31" t="s">
        <v>1796</v>
      </c>
      <c r="K385" s="31" t="s">
        <v>1793</v>
      </c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13" t="s">
        <v>948</v>
      </c>
      <c r="B386" s="13" t="s">
        <v>411</v>
      </c>
      <c r="C386" s="13" t="s">
        <v>570</v>
      </c>
      <c r="D386" s="13" t="s">
        <v>1474</v>
      </c>
      <c r="E386" s="13">
        <v>-0.0186632179326073</v>
      </c>
      <c r="F386" s="13">
        <v>0.0125383246562761</v>
      </c>
      <c r="G386" s="13">
        <v>-1.48849375369023</v>
      </c>
      <c r="H386" s="13">
        <v>0.136620728217079</v>
      </c>
      <c r="I386" s="13">
        <v>168754.0</v>
      </c>
      <c r="J386" s="31" t="s">
        <v>1796</v>
      </c>
      <c r="K386" s="31" t="s">
        <v>1793</v>
      </c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13" t="s">
        <v>948</v>
      </c>
      <c r="B387" s="13" t="s">
        <v>411</v>
      </c>
      <c r="C387" s="13" t="s">
        <v>42</v>
      </c>
      <c r="D387" s="13" t="s">
        <v>1474</v>
      </c>
      <c r="E387" s="13">
        <v>0.018799294361112</v>
      </c>
      <c r="F387" s="13">
        <v>0.00462187379052068</v>
      </c>
      <c r="G387" s="13">
        <v>4.06746164286632</v>
      </c>
      <c r="H387" s="63">
        <v>4.75280287262856E-5</v>
      </c>
      <c r="I387" s="13">
        <v>2817625.0</v>
      </c>
      <c r="J387" s="31" t="s">
        <v>1796</v>
      </c>
      <c r="K387" s="31" t="s">
        <v>1793</v>
      </c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13" t="s">
        <v>948</v>
      </c>
      <c r="B388" s="13" t="s">
        <v>411</v>
      </c>
      <c r="C388" s="13" t="s">
        <v>55</v>
      </c>
      <c r="D388" s="13" t="s">
        <v>1474</v>
      </c>
      <c r="E388" s="13">
        <v>-0.0246789875957802</v>
      </c>
      <c r="F388" s="13">
        <v>0.00525373916620209</v>
      </c>
      <c r="G388" s="13">
        <v>-4.6974139398741</v>
      </c>
      <c r="H388" s="63">
        <v>2.63476140400069E-6</v>
      </c>
      <c r="I388" s="13">
        <v>2811601.0</v>
      </c>
      <c r="J388" s="31" t="s">
        <v>1796</v>
      </c>
      <c r="K388" s="31" t="s">
        <v>1793</v>
      </c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13" t="s">
        <v>948</v>
      </c>
      <c r="B389" s="13" t="s">
        <v>411</v>
      </c>
      <c r="C389" s="13" t="s">
        <v>1797</v>
      </c>
      <c r="D389" s="13" t="s">
        <v>1474</v>
      </c>
      <c r="E389" s="13">
        <v>-0.0192785174664044</v>
      </c>
      <c r="F389" s="13">
        <v>0.00482102565968125</v>
      </c>
      <c r="G389" s="13">
        <v>-3.99884149707659</v>
      </c>
      <c r="H389" s="63">
        <v>6.36532885930209E-5</v>
      </c>
      <c r="I389" s="13">
        <v>2818428.0</v>
      </c>
      <c r="J389" s="31" t="s">
        <v>1796</v>
      </c>
      <c r="K389" s="31" t="s">
        <v>1793</v>
      </c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13" t="s">
        <v>950</v>
      </c>
      <c r="B390" s="13" t="s">
        <v>411</v>
      </c>
      <c r="C390" s="13" t="s">
        <v>570</v>
      </c>
      <c r="D390" s="13" t="s">
        <v>1474</v>
      </c>
      <c r="E390" s="13">
        <v>-0.0555461031402157</v>
      </c>
      <c r="F390" s="13">
        <v>0.0130890597529842</v>
      </c>
      <c r="G390" s="13">
        <v>-4.24370460433961</v>
      </c>
      <c r="H390" s="63">
        <v>2.19859725978481E-5</v>
      </c>
      <c r="I390" s="13">
        <v>168706.0</v>
      </c>
      <c r="J390" s="31" t="s">
        <v>1796</v>
      </c>
      <c r="K390" s="31" t="s">
        <v>1793</v>
      </c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13" t="s">
        <v>950</v>
      </c>
      <c r="B391" s="13" t="s">
        <v>411</v>
      </c>
      <c r="C391" s="13" t="s">
        <v>42</v>
      </c>
      <c r="D391" s="13" t="s">
        <v>1474</v>
      </c>
      <c r="E391" s="13">
        <v>0.0231827918546672</v>
      </c>
      <c r="F391" s="13">
        <v>0.00509393325769778</v>
      </c>
      <c r="G391" s="13">
        <v>4.55105920746688</v>
      </c>
      <c r="H391" s="63">
        <v>5.33765239240897E-6</v>
      </c>
      <c r="I391" s="13">
        <v>2815793.0</v>
      </c>
      <c r="J391" s="31" t="s">
        <v>1796</v>
      </c>
      <c r="K391" s="31" t="s">
        <v>1793</v>
      </c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13" t="s">
        <v>950</v>
      </c>
      <c r="B392" s="13" t="s">
        <v>411</v>
      </c>
      <c r="C392" s="13" t="s">
        <v>55</v>
      </c>
      <c r="D392" s="13" t="s">
        <v>1474</v>
      </c>
      <c r="E392" s="13">
        <v>-0.0304013125804827</v>
      </c>
      <c r="F392" s="13">
        <v>0.00560229765696413</v>
      </c>
      <c r="G392" s="13">
        <v>-5.42657931477299</v>
      </c>
      <c r="H392" s="63">
        <v>5.74443048343679E-8</v>
      </c>
      <c r="I392" s="13">
        <v>2809788.0</v>
      </c>
      <c r="J392" s="31" t="s">
        <v>1796</v>
      </c>
      <c r="K392" s="31" t="s">
        <v>1793</v>
      </c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13" t="s">
        <v>950</v>
      </c>
      <c r="B393" s="13" t="s">
        <v>411</v>
      </c>
      <c r="C393" s="13" t="s">
        <v>1797</v>
      </c>
      <c r="D393" s="13" t="s">
        <v>1474</v>
      </c>
      <c r="E393" s="13">
        <v>-0.0317306217314562</v>
      </c>
      <c r="F393" s="13">
        <v>0.00461190977479798</v>
      </c>
      <c r="G393" s="13">
        <v>-6.8801479822632</v>
      </c>
      <c r="H393" s="63">
        <v>5.97904173543947E-12</v>
      </c>
      <c r="I393" s="13">
        <v>2816592.0</v>
      </c>
      <c r="J393" s="31" t="s">
        <v>1796</v>
      </c>
      <c r="K393" s="31" t="s">
        <v>1793</v>
      </c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13" t="s">
        <v>952</v>
      </c>
      <c r="B394" s="13" t="s">
        <v>411</v>
      </c>
      <c r="C394" s="13" t="s">
        <v>570</v>
      </c>
      <c r="D394" s="13" t="s">
        <v>1474</v>
      </c>
      <c r="E394" s="13">
        <v>-0.0622572559088665</v>
      </c>
      <c r="F394" s="13">
        <v>0.0122251475623782</v>
      </c>
      <c r="G394" s="13">
        <v>-5.09255660033564</v>
      </c>
      <c r="H394" s="63">
        <v>3.53267203841357E-7</v>
      </c>
      <c r="I394" s="13">
        <v>168794.0</v>
      </c>
      <c r="J394" s="31" t="s">
        <v>1796</v>
      </c>
      <c r="K394" s="31" t="s">
        <v>1793</v>
      </c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13" t="s">
        <v>952</v>
      </c>
      <c r="B395" s="13" t="s">
        <v>411</v>
      </c>
      <c r="C395" s="13" t="s">
        <v>42</v>
      </c>
      <c r="D395" s="13" t="s">
        <v>1474</v>
      </c>
      <c r="E395" s="13">
        <v>0.0280228353976716</v>
      </c>
      <c r="F395" s="13">
        <v>0.00472589243918456</v>
      </c>
      <c r="G395" s="13">
        <v>5.92963884774892</v>
      </c>
      <c r="H395" s="63">
        <v>3.03601693690471E-9</v>
      </c>
      <c r="I395" s="13">
        <v>2817814.0</v>
      </c>
      <c r="J395" s="31" t="s">
        <v>1796</v>
      </c>
      <c r="K395" s="31" t="s">
        <v>1793</v>
      </c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13" t="s">
        <v>952</v>
      </c>
      <c r="B396" s="13" t="s">
        <v>411</v>
      </c>
      <c r="C396" s="13" t="s">
        <v>55</v>
      </c>
      <c r="D396" s="13" t="s">
        <v>1474</v>
      </c>
      <c r="E396" s="13">
        <v>-0.02918566598455</v>
      </c>
      <c r="F396" s="13">
        <v>0.00497221265015982</v>
      </c>
      <c r="G396" s="13">
        <v>-5.86975417948223</v>
      </c>
      <c r="H396" s="63">
        <v>4.36441761703786E-9</v>
      </c>
      <c r="I396" s="13">
        <v>2811785.0</v>
      </c>
      <c r="J396" s="31" t="s">
        <v>1796</v>
      </c>
      <c r="K396" s="31" t="s">
        <v>1793</v>
      </c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13" t="s">
        <v>952</v>
      </c>
      <c r="B397" s="13" t="s">
        <v>411</v>
      </c>
      <c r="C397" s="13" t="s">
        <v>1797</v>
      </c>
      <c r="D397" s="13" t="s">
        <v>1474</v>
      </c>
      <c r="E397" s="13">
        <v>-0.0258077197578546</v>
      </c>
      <c r="F397" s="13">
        <v>0.00472965959337757</v>
      </c>
      <c r="G397" s="13">
        <v>-5.45657023477764</v>
      </c>
      <c r="H397" s="63">
        <v>4.85419321560931E-8</v>
      </c>
      <c r="I397" s="13">
        <v>2818611.0</v>
      </c>
      <c r="J397" s="31" t="s">
        <v>1796</v>
      </c>
      <c r="K397" s="31" t="s">
        <v>1793</v>
      </c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13" t="s">
        <v>954</v>
      </c>
      <c r="B398" s="13" t="s">
        <v>411</v>
      </c>
      <c r="C398" s="13" t="s">
        <v>570</v>
      </c>
      <c r="D398" s="13" t="s">
        <v>1474</v>
      </c>
      <c r="E398" s="13">
        <v>-0.0584456836777469</v>
      </c>
      <c r="F398" s="13">
        <v>0.0128394018685895</v>
      </c>
      <c r="G398" s="13">
        <v>-4.55205657365777</v>
      </c>
      <c r="H398" s="63">
        <v>5.31240448889124E-6</v>
      </c>
      <c r="I398" s="13">
        <v>168759.0</v>
      </c>
      <c r="J398" s="31" t="s">
        <v>1796</v>
      </c>
      <c r="K398" s="31" t="s">
        <v>1793</v>
      </c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13" t="s">
        <v>954</v>
      </c>
      <c r="B399" s="13" t="s">
        <v>411</v>
      </c>
      <c r="C399" s="13" t="s">
        <v>42</v>
      </c>
      <c r="D399" s="13" t="s">
        <v>1474</v>
      </c>
      <c r="E399" s="13">
        <v>0.0225561146913113</v>
      </c>
      <c r="F399" s="13">
        <v>0.00488890433059223</v>
      </c>
      <c r="G399" s="13">
        <v>4.61373615968855</v>
      </c>
      <c r="H399" s="63">
        <v>3.95494417165572E-6</v>
      </c>
      <c r="I399" s="13">
        <v>2817305.0</v>
      </c>
      <c r="J399" s="31" t="s">
        <v>1796</v>
      </c>
      <c r="K399" s="31" t="s">
        <v>1793</v>
      </c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13" t="s">
        <v>954</v>
      </c>
      <c r="B400" s="13" t="s">
        <v>411</v>
      </c>
      <c r="C400" s="13" t="s">
        <v>55</v>
      </c>
      <c r="D400" s="13" t="s">
        <v>1474</v>
      </c>
      <c r="E400" s="13">
        <v>-0.033142417858779</v>
      </c>
      <c r="F400" s="13">
        <v>0.00569485463401314</v>
      </c>
      <c r="G400" s="13">
        <v>-5.81971270361007</v>
      </c>
      <c r="H400" s="63">
        <v>5.89488634623047E-9</v>
      </c>
      <c r="I400" s="13">
        <v>2811286.0</v>
      </c>
      <c r="J400" s="31" t="s">
        <v>1796</v>
      </c>
      <c r="K400" s="31" t="s">
        <v>1793</v>
      </c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13" t="s">
        <v>954</v>
      </c>
      <c r="B401" s="13" t="s">
        <v>411</v>
      </c>
      <c r="C401" s="13" t="s">
        <v>1797</v>
      </c>
      <c r="D401" s="13" t="s">
        <v>1474</v>
      </c>
      <c r="E401" s="13">
        <v>-0.0239756487768562</v>
      </c>
      <c r="F401" s="13">
        <v>0.00496296665588392</v>
      </c>
      <c r="G401" s="13">
        <v>-4.83091071112306</v>
      </c>
      <c r="H401" s="63">
        <v>1.35909947931579E-6</v>
      </c>
      <c r="I401" s="13">
        <v>2818107.0</v>
      </c>
      <c r="J401" s="31" t="s">
        <v>1796</v>
      </c>
      <c r="K401" s="31" t="s">
        <v>1793</v>
      </c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13" t="s">
        <v>956</v>
      </c>
      <c r="B402" s="13" t="s">
        <v>411</v>
      </c>
      <c r="C402" s="13" t="s">
        <v>570</v>
      </c>
      <c r="D402" s="13" t="s">
        <v>1474</v>
      </c>
      <c r="E402" s="13">
        <v>-0.0415942410619015</v>
      </c>
      <c r="F402" s="13">
        <v>0.0126614742963181</v>
      </c>
      <c r="G402" s="13">
        <v>-3.28510251558911</v>
      </c>
      <c r="H402" s="13">
        <v>0.00101945271808866</v>
      </c>
      <c r="I402" s="13">
        <v>168327.0</v>
      </c>
      <c r="J402" s="31" t="s">
        <v>1796</v>
      </c>
      <c r="K402" s="31" t="s">
        <v>1793</v>
      </c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13" t="s">
        <v>956</v>
      </c>
      <c r="B403" s="13" t="s">
        <v>411</v>
      </c>
      <c r="C403" s="13" t="s">
        <v>42</v>
      </c>
      <c r="D403" s="13" t="s">
        <v>1474</v>
      </c>
      <c r="E403" s="13">
        <v>0.0250154520383638</v>
      </c>
      <c r="F403" s="13">
        <v>0.00437898994377566</v>
      </c>
      <c r="G403" s="13">
        <v>5.71260778388427</v>
      </c>
      <c r="H403" s="63">
        <v>1.11257903531815E-8</v>
      </c>
      <c r="I403" s="13">
        <v>2808607.0</v>
      </c>
      <c r="J403" s="31" t="s">
        <v>1796</v>
      </c>
      <c r="K403" s="31" t="s">
        <v>1793</v>
      </c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13" t="s">
        <v>956</v>
      </c>
      <c r="B404" s="13" t="s">
        <v>411</v>
      </c>
      <c r="C404" s="13" t="s">
        <v>55</v>
      </c>
      <c r="D404" s="13" t="s">
        <v>1474</v>
      </c>
      <c r="E404" s="13">
        <v>-0.0236868388690448</v>
      </c>
      <c r="F404" s="13">
        <v>0.00491334039110947</v>
      </c>
      <c r="G404" s="13">
        <v>-4.820923645328</v>
      </c>
      <c r="H404" s="63">
        <v>1.42895047677525E-6</v>
      </c>
      <c r="I404" s="13">
        <v>2802605.0</v>
      </c>
      <c r="J404" s="31" t="s">
        <v>1796</v>
      </c>
      <c r="K404" s="31" t="s">
        <v>1793</v>
      </c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13" t="s">
        <v>956</v>
      </c>
      <c r="B405" s="13" t="s">
        <v>411</v>
      </c>
      <c r="C405" s="13" t="s">
        <v>1797</v>
      </c>
      <c r="D405" s="13" t="s">
        <v>1474</v>
      </c>
      <c r="E405" s="13">
        <v>-0.0257279621566459</v>
      </c>
      <c r="F405" s="13">
        <v>0.00421336861464195</v>
      </c>
      <c r="G405" s="13">
        <v>-6.10626899987772</v>
      </c>
      <c r="H405" s="63">
        <v>1.01987064641293E-9</v>
      </c>
      <c r="I405" s="13">
        <v>2809403.0</v>
      </c>
      <c r="J405" s="31" t="s">
        <v>1796</v>
      </c>
      <c r="K405" s="31" t="s">
        <v>1793</v>
      </c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13" t="s">
        <v>958</v>
      </c>
      <c r="B406" s="13" t="s">
        <v>411</v>
      </c>
      <c r="C406" s="13" t="s">
        <v>570</v>
      </c>
      <c r="D406" s="13" t="s">
        <v>1474</v>
      </c>
      <c r="E406" s="13">
        <v>-0.0453495306781407</v>
      </c>
      <c r="F406" s="13">
        <v>0.0127255468083777</v>
      </c>
      <c r="G406" s="13">
        <v>-3.56366067101221</v>
      </c>
      <c r="H406" s="63">
        <v>3.65718667092907E-4</v>
      </c>
      <c r="I406" s="13">
        <v>168692.0</v>
      </c>
      <c r="J406" s="31" t="s">
        <v>1796</v>
      </c>
      <c r="K406" s="31" t="s">
        <v>1793</v>
      </c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13" t="s">
        <v>958</v>
      </c>
      <c r="B407" s="13" t="s">
        <v>411</v>
      </c>
      <c r="C407" s="13" t="s">
        <v>42</v>
      </c>
      <c r="D407" s="13" t="s">
        <v>1474</v>
      </c>
      <c r="E407" s="13">
        <v>0.0350832121711952</v>
      </c>
      <c r="F407" s="13">
        <v>0.00421238701404229</v>
      </c>
      <c r="G407" s="13">
        <v>8.3285823582313</v>
      </c>
      <c r="H407" s="63">
        <v>8.18161442081157E-17</v>
      </c>
      <c r="I407" s="13">
        <v>2816061.0</v>
      </c>
      <c r="J407" s="31" t="s">
        <v>1796</v>
      </c>
      <c r="K407" s="31" t="s">
        <v>1793</v>
      </c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13" t="s">
        <v>958</v>
      </c>
      <c r="B408" s="13" t="s">
        <v>411</v>
      </c>
      <c r="C408" s="13" t="s">
        <v>55</v>
      </c>
      <c r="D408" s="13" t="s">
        <v>1474</v>
      </c>
      <c r="E408" s="13">
        <v>-0.0264801372469765</v>
      </c>
      <c r="F408" s="13">
        <v>0.00516826954264724</v>
      </c>
      <c r="G408" s="13">
        <v>-5.12359833953497</v>
      </c>
      <c r="H408" s="63">
        <v>2.9975919132572E-7</v>
      </c>
      <c r="I408" s="13">
        <v>2810037.0</v>
      </c>
      <c r="J408" s="31" t="s">
        <v>1796</v>
      </c>
      <c r="K408" s="31" t="s">
        <v>1793</v>
      </c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13" t="s">
        <v>958</v>
      </c>
      <c r="B409" s="13" t="s">
        <v>411</v>
      </c>
      <c r="C409" s="13" t="s">
        <v>1797</v>
      </c>
      <c r="D409" s="13" t="s">
        <v>1474</v>
      </c>
      <c r="E409" s="13">
        <v>-0.0326431770591239</v>
      </c>
      <c r="F409" s="13">
        <v>0.00435871414787318</v>
      </c>
      <c r="G409" s="13">
        <v>-7.48917592475112</v>
      </c>
      <c r="H409" s="63">
        <v>6.930739037259E-14</v>
      </c>
      <c r="I409" s="13">
        <v>2816865.0</v>
      </c>
      <c r="J409" s="31" t="s">
        <v>1796</v>
      </c>
      <c r="K409" s="31" t="s">
        <v>1793</v>
      </c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13" t="s">
        <v>960</v>
      </c>
      <c r="B410" s="13" t="s">
        <v>411</v>
      </c>
      <c r="C410" s="13" t="s">
        <v>570</v>
      </c>
      <c r="D410" s="13" t="s">
        <v>1474</v>
      </c>
      <c r="E410" s="13">
        <v>-0.0401603556846725</v>
      </c>
      <c r="F410" s="13">
        <v>0.0121344052859897</v>
      </c>
      <c r="G410" s="13">
        <v>-3.30962702647167</v>
      </c>
      <c r="H410" s="63">
        <v>9.34203651773143E-4</v>
      </c>
      <c r="I410" s="13">
        <v>168722.0</v>
      </c>
      <c r="J410" s="31" t="s">
        <v>1796</v>
      </c>
      <c r="K410" s="31" t="s">
        <v>1793</v>
      </c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13" t="s">
        <v>960</v>
      </c>
      <c r="B411" s="13" t="s">
        <v>411</v>
      </c>
      <c r="C411" s="13" t="s">
        <v>42</v>
      </c>
      <c r="D411" s="13" t="s">
        <v>1474</v>
      </c>
      <c r="E411" s="13">
        <v>0.0326254481654511</v>
      </c>
      <c r="F411" s="13">
        <v>0.00418207391127645</v>
      </c>
      <c r="G411" s="13">
        <v>7.80126053666354</v>
      </c>
      <c r="H411" s="63">
        <v>6.12918228865697E-15</v>
      </c>
      <c r="I411" s="13">
        <v>2817032.0</v>
      </c>
      <c r="J411" s="31" t="s">
        <v>1796</v>
      </c>
      <c r="K411" s="31" t="s">
        <v>1793</v>
      </c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13" t="s">
        <v>960</v>
      </c>
      <c r="B412" s="13" t="s">
        <v>411</v>
      </c>
      <c r="C412" s="13" t="s">
        <v>55</v>
      </c>
      <c r="D412" s="13" t="s">
        <v>1474</v>
      </c>
      <c r="E412" s="13">
        <v>-0.0284540814724966</v>
      </c>
      <c r="F412" s="13">
        <v>0.00481539661715056</v>
      </c>
      <c r="G412" s="13">
        <v>-5.90897982757107</v>
      </c>
      <c r="H412" s="63">
        <v>3.44232848417393E-9</v>
      </c>
      <c r="I412" s="13">
        <v>2810999.0</v>
      </c>
      <c r="J412" s="31" t="s">
        <v>1796</v>
      </c>
      <c r="K412" s="31" t="s">
        <v>1793</v>
      </c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13" t="s">
        <v>960</v>
      </c>
      <c r="B413" s="13" t="s">
        <v>411</v>
      </c>
      <c r="C413" s="13" t="s">
        <v>1797</v>
      </c>
      <c r="D413" s="13" t="s">
        <v>1474</v>
      </c>
      <c r="E413" s="13">
        <v>-0.0229512909116611</v>
      </c>
      <c r="F413" s="13">
        <v>0.00423215770267171</v>
      </c>
      <c r="G413" s="13">
        <v>-5.42307081259572</v>
      </c>
      <c r="H413" s="63">
        <v>5.85837705896411E-8</v>
      </c>
      <c r="I413" s="13">
        <v>2817836.0</v>
      </c>
      <c r="J413" s="31" t="s">
        <v>1796</v>
      </c>
      <c r="K413" s="31" t="s">
        <v>1793</v>
      </c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13" t="s">
        <v>962</v>
      </c>
      <c r="B414" s="13" t="s">
        <v>411</v>
      </c>
      <c r="C414" s="13" t="s">
        <v>570</v>
      </c>
      <c r="D414" s="13" t="s">
        <v>1474</v>
      </c>
      <c r="E414" s="13">
        <v>-0.0409672262144314</v>
      </c>
      <c r="F414" s="13">
        <v>0.0125949359433981</v>
      </c>
      <c r="G414" s="13">
        <v>-3.2526744398335</v>
      </c>
      <c r="H414" s="13">
        <v>0.00114324399471365</v>
      </c>
      <c r="I414" s="13">
        <v>168696.0</v>
      </c>
      <c r="J414" s="31" t="s">
        <v>1796</v>
      </c>
      <c r="K414" s="31" t="s">
        <v>1793</v>
      </c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13" t="s">
        <v>962</v>
      </c>
      <c r="B415" s="13" t="s">
        <v>411</v>
      </c>
      <c r="C415" s="13" t="s">
        <v>42</v>
      </c>
      <c r="D415" s="13" t="s">
        <v>1474</v>
      </c>
      <c r="E415" s="13">
        <v>0.0364851372926473</v>
      </c>
      <c r="F415" s="13">
        <v>0.0043781249834387</v>
      </c>
      <c r="G415" s="13">
        <v>8.33350747880907</v>
      </c>
      <c r="H415" s="63">
        <v>7.84818926979757E-17</v>
      </c>
      <c r="I415" s="13">
        <v>2815705.0</v>
      </c>
      <c r="J415" s="31" t="s">
        <v>1796</v>
      </c>
      <c r="K415" s="31" t="s">
        <v>1793</v>
      </c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13" t="s">
        <v>962</v>
      </c>
      <c r="B416" s="13" t="s">
        <v>411</v>
      </c>
      <c r="C416" s="13" t="s">
        <v>55</v>
      </c>
      <c r="D416" s="13" t="s">
        <v>1474</v>
      </c>
      <c r="E416" s="13">
        <v>-0.0214470598238111</v>
      </c>
      <c r="F416" s="13">
        <v>0.00495687909831144</v>
      </c>
      <c r="G416" s="13">
        <v>-4.32672643379926</v>
      </c>
      <c r="H416" s="63">
        <v>1.51341732007534E-5</v>
      </c>
      <c r="I416" s="13">
        <v>2809677.0</v>
      </c>
      <c r="J416" s="31" t="s">
        <v>1796</v>
      </c>
      <c r="K416" s="31" t="s">
        <v>1793</v>
      </c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13" t="s">
        <v>962</v>
      </c>
      <c r="B417" s="13" t="s">
        <v>411</v>
      </c>
      <c r="C417" s="13" t="s">
        <v>1797</v>
      </c>
      <c r="D417" s="13" t="s">
        <v>1474</v>
      </c>
      <c r="E417" s="13">
        <v>-0.0324401049699525</v>
      </c>
      <c r="F417" s="13">
        <v>0.00450050079731585</v>
      </c>
      <c r="G417" s="13">
        <v>-7.20811003728744</v>
      </c>
      <c r="H417" s="63">
        <v>5.6733777511018E-13</v>
      </c>
      <c r="I417" s="13">
        <v>2816506.0</v>
      </c>
      <c r="J417" s="31" t="s">
        <v>1796</v>
      </c>
      <c r="K417" s="31" t="s">
        <v>1793</v>
      </c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13" t="s">
        <v>964</v>
      </c>
      <c r="B418" s="13" t="s">
        <v>411</v>
      </c>
      <c r="C418" s="13" t="s">
        <v>570</v>
      </c>
      <c r="D418" s="13" t="s">
        <v>1474</v>
      </c>
      <c r="E418" s="13">
        <v>-0.0587062477155361</v>
      </c>
      <c r="F418" s="13">
        <v>0.012786917107483</v>
      </c>
      <c r="G418" s="13">
        <v>-4.59111818916701</v>
      </c>
      <c r="H418" s="63">
        <v>4.40877574813273E-6</v>
      </c>
      <c r="I418" s="13">
        <v>168686.0</v>
      </c>
      <c r="J418" s="31" t="s">
        <v>1796</v>
      </c>
      <c r="K418" s="31" t="s">
        <v>1793</v>
      </c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13" t="s">
        <v>964</v>
      </c>
      <c r="B419" s="13" t="s">
        <v>411</v>
      </c>
      <c r="C419" s="13" t="s">
        <v>42</v>
      </c>
      <c r="D419" s="13" t="s">
        <v>1474</v>
      </c>
      <c r="E419" s="13">
        <v>0.0315362718747426</v>
      </c>
      <c r="F419" s="13">
        <v>0.0042406755660605</v>
      </c>
      <c r="G419" s="13">
        <v>7.4366150825443</v>
      </c>
      <c r="H419" s="63">
        <v>1.03297978043133E-13</v>
      </c>
      <c r="I419" s="13">
        <v>2815603.0</v>
      </c>
      <c r="J419" s="31" t="s">
        <v>1796</v>
      </c>
      <c r="K419" s="31" t="s">
        <v>1793</v>
      </c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13" t="s">
        <v>964</v>
      </c>
      <c r="B420" s="13" t="s">
        <v>411</v>
      </c>
      <c r="C420" s="13" t="s">
        <v>55</v>
      </c>
      <c r="D420" s="13" t="s">
        <v>1474</v>
      </c>
      <c r="E420" s="13">
        <v>-0.0257000060111801</v>
      </c>
      <c r="F420" s="13">
        <v>0.00504937852237837</v>
      </c>
      <c r="G420" s="13">
        <v>-5.08973646900903</v>
      </c>
      <c r="H420" s="63">
        <v>3.58561470105892E-7</v>
      </c>
      <c r="I420" s="13">
        <v>2809578.0</v>
      </c>
      <c r="J420" s="31" t="s">
        <v>1796</v>
      </c>
      <c r="K420" s="31" t="s">
        <v>1793</v>
      </c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13" t="s">
        <v>964</v>
      </c>
      <c r="B421" s="13" t="s">
        <v>411</v>
      </c>
      <c r="C421" s="13" t="s">
        <v>1797</v>
      </c>
      <c r="D421" s="13" t="s">
        <v>1474</v>
      </c>
      <c r="E421" s="13">
        <v>-0.0246887497204847</v>
      </c>
      <c r="F421" s="13">
        <v>0.0045109238334931</v>
      </c>
      <c r="G421" s="13">
        <v>-5.47310276825637</v>
      </c>
      <c r="H421" s="63">
        <v>4.42223482740126E-8</v>
      </c>
      <c r="I421" s="13">
        <v>2816408.0</v>
      </c>
      <c r="J421" s="31" t="s">
        <v>1796</v>
      </c>
      <c r="K421" s="31" t="s">
        <v>1793</v>
      </c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13" t="s">
        <v>966</v>
      </c>
      <c r="B422" s="13" t="s">
        <v>411</v>
      </c>
      <c r="C422" s="13" t="s">
        <v>570</v>
      </c>
      <c r="D422" s="13" t="s">
        <v>1474</v>
      </c>
      <c r="E422" s="13">
        <v>-0.755454398583163</v>
      </c>
      <c r="F422" s="13">
        <v>0.00513474293339421</v>
      </c>
      <c r="G422" s="13">
        <v>-147.126040852016</v>
      </c>
      <c r="H422" s="13">
        <v>0.0</v>
      </c>
      <c r="I422" s="13">
        <v>168842.0</v>
      </c>
      <c r="J422" s="31" t="s">
        <v>1796</v>
      </c>
      <c r="K422" s="31" t="s">
        <v>1793</v>
      </c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13" t="s">
        <v>966</v>
      </c>
      <c r="B423" s="13" t="s">
        <v>411</v>
      </c>
      <c r="C423" s="13" t="s">
        <v>42</v>
      </c>
      <c r="D423" s="13" t="s">
        <v>1474</v>
      </c>
      <c r="E423" s="13">
        <v>-0.766220006003723</v>
      </c>
      <c r="F423" s="13">
        <v>0.00251662715893406</v>
      </c>
      <c r="G423" s="13">
        <v>-304.463060125386</v>
      </c>
      <c r="H423" s="13">
        <v>0.0</v>
      </c>
      <c r="I423" s="13">
        <v>2816882.0</v>
      </c>
      <c r="J423" s="31" t="s">
        <v>1796</v>
      </c>
      <c r="K423" s="31" t="s">
        <v>1793</v>
      </c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13" t="s">
        <v>966</v>
      </c>
      <c r="B424" s="13" t="s">
        <v>411</v>
      </c>
      <c r="C424" s="13" t="s">
        <v>55</v>
      </c>
      <c r="D424" s="13" t="s">
        <v>1474</v>
      </c>
      <c r="E424" s="13">
        <v>-0.673479798326981</v>
      </c>
      <c r="F424" s="13">
        <v>0.00316428137559855</v>
      </c>
      <c r="G424" s="13">
        <v>-212.838151347898</v>
      </c>
      <c r="H424" s="13">
        <v>0.0</v>
      </c>
      <c r="I424" s="13">
        <v>2811153.0</v>
      </c>
      <c r="J424" s="31" t="s">
        <v>1796</v>
      </c>
      <c r="K424" s="31" t="s">
        <v>1793</v>
      </c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13" t="s">
        <v>966</v>
      </c>
      <c r="B425" s="13" t="s">
        <v>411</v>
      </c>
      <c r="C425" s="13" t="s">
        <v>1797</v>
      </c>
      <c r="D425" s="13" t="s">
        <v>1474</v>
      </c>
      <c r="E425" s="13">
        <v>0.277142518153901</v>
      </c>
      <c r="F425" s="13">
        <v>0.00607678836270825</v>
      </c>
      <c r="G425" s="13">
        <v>45.6067418530907</v>
      </c>
      <c r="H425" s="13">
        <v>0.0</v>
      </c>
      <c r="I425" s="13">
        <v>2817607.0</v>
      </c>
      <c r="J425" s="31" t="s">
        <v>1796</v>
      </c>
      <c r="K425" s="31" t="s">
        <v>1793</v>
      </c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13" t="s">
        <v>985</v>
      </c>
      <c r="B426" s="13" t="s">
        <v>411</v>
      </c>
      <c r="C426" s="13" t="s">
        <v>570</v>
      </c>
      <c r="D426" s="13" t="s">
        <v>1474</v>
      </c>
      <c r="E426" s="13">
        <v>-0.0618604706293265</v>
      </c>
      <c r="F426" s="13">
        <v>0.0129036961186273</v>
      </c>
      <c r="G426" s="13">
        <v>-4.79401173591083</v>
      </c>
      <c r="H426" s="63">
        <v>1.63478704177255E-6</v>
      </c>
      <c r="I426" s="13">
        <v>168751.0</v>
      </c>
      <c r="J426" s="31" t="s">
        <v>1796</v>
      </c>
      <c r="K426" s="31" t="s">
        <v>1793</v>
      </c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13" t="s">
        <v>985</v>
      </c>
      <c r="B427" s="13" t="s">
        <v>411</v>
      </c>
      <c r="C427" s="13" t="s">
        <v>42</v>
      </c>
      <c r="D427" s="13" t="s">
        <v>1474</v>
      </c>
      <c r="E427" s="13">
        <v>0.00849718121915207</v>
      </c>
      <c r="F427" s="13">
        <v>0.0049893578369776</v>
      </c>
      <c r="G427" s="13">
        <v>1.70306109459156</v>
      </c>
      <c r="H427" s="13">
        <v>0.0885566357289779</v>
      </c>
      <c r="I427" s="13">
        <v>2817209.0</v>
      </c>
      <c r="J427" s="31" t="s">
        <v>1796</v>
      </c>
      <c r="K427" s="31" t="s">
        <v>1793</v>
      </c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13" t="s">
        <v>985</v>
      </c>
      <c r="B428" s="13" t="s">
        <v>411</v>
      </c>
      <c r="C428" s="13" t="s">
        <v>55</v>
      </c>
      <c r="D428" s="13" t="s">
        <v>1474</v>
      </c>
      <c r="E428" s="13">
        <v>-0.0377654774370786</v>
      </c>
      <c r="F428" s="13">
        <v>0.00543409276940459</v>
      </c>
      <c r="G428" s="13">
        <v>-6.94972998063421</v>
      </c>
      <c r="H428" s="63">
        <v>3.65986034945971E-12</v>
      </c>
      <c r="I428" s="13">
        <v>2811180.0</v>
      </c>
      <c r="J428" s="31" t="s">
        <v>1796</v>
      </c>
      <c r="K428" s="31" t="s">
        <v>1793</v>
      </c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13" t="s">
        <v>985</v>
      </c>
      <c r="B429" s="13" t="s">
        <v>411</v>
      </c>
      <c r="C429" s="13" t="s">
        <v>1797</v>
      </c>
      <c r="D429" s="13" t="s">
        <v>1474</v>
      </c>
      <c r="E429" s="13">
        <v>-0.0126658247733248</v>
      </c>
      <c r="F429" s="13">
        <v>0.00495191695290114</v>
      </c>
      <c r="G429" s="13">
        <v>-2.55776195234945</v>
      </c>
      <c r="H429" s="13">
        <v>0.0105348180223559</v>
      </c>
      <c r="I429" s="13">
        <v>2818009.0</v>
      </c>
      <c r="J429" s="31" t="s">
        <v>1796</v>
      </c>
      <c r="K429" s="31" t="s">
        <v>1793</v>
      </c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13" t="s">
        <v>988</v>
      </c>
      <c r="B430" s="13" t="s">
        <v>411</v>
      </c>
      <c r="C430" s="13" t="s">
        <v>570</v>
      </c>
      <c r="D430" s="13" t="s">
        <v>1474</v>
      </c>
      <c r="E430" s="13">
        <v>-0.0663597096509031</v>
      </c>
      <c r="F430" s="13">
        <v>0.0131752961331117</v>
      </c>
      <c r="G430" s="13">
        <v>-5.03667689746495</v>
      </c>
      <c r="H430" s="63">
        <v>4.73683347312246E-7</v>
      </c>
      <c r="I430" s="13">
        <v>168866.0</v>
      </c>
      <c r="J430" s="31" t="s">
        <v>1796</v>
      </c>
      <c r="K430" s="31" t="s">
        <v>1793</v>
      </c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13" t="s">
        <v>988</v>
      </c>
      <c r="B431" s="13" t="s">
        <v>411</v>
      </c>
      <c r="C431" s="13" t="s">
        <v>42</v>
      </c>
      <c r="D431" s="13" t="s">
        <v>1474</v>
      </c>
      <c r="E431" s="13">
        <v>0.0109700488598441</v>
      </c>
      <c r="F431" s="13">
        <v>0.0051109449321007</v>
      </c>
      <c r="G431" s="13">
        <v>2.14638369334479</v>
      </c>
      <c r="H431" s="13">
        <v>0.031842379228392</v>
      </c>
      <c r="I431" s="13">
        <v>2819546.0</v>
      </c>
      <c r="J431" s="31" t="s">
        <v>1796</v>
      </c>
      <c r="K431" s="31" t="s">
        <v>1793</v>
      </c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13" t="s">
        <v>988</v>
      </c>
      <c r="B432" s="13" t="s">
        <v>411</v>
      </c>
      <c r="C432" s="13" t="s">
        <v>55</v>
      </c>
      <c r="D432" s="13" t="s">
        <v>1474</v>
      </c>
      <c r="E432" s="13">
        <v>-0.0447872622958157</v>
      </c>
      <c r="F432" s="13">
        <v>0.00558911746303878</v>
      </c>
      <c r="G432" s="13">
        <v>-8.01329773295997</v>
      </c>
      <c r="H432" s="63">
        <v>1.11672855891027E-15</v>
      </c>
      <c r="I432" s="13">
        <v>2813514.0</v>
      </c>
      <c r="J432" s="31" t="s">
        <v>1796</v>
      </c>
      <c r="K432" s="31" t="s">
        <v>1793</v>
      </c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13" t="s">
        <v>988</v>
      </c>
      <c r="B433" s="13" t="s">
        <v>411</v>
      </c>
      <c r="C433" s="13" t="s">
        <v>1797</v>
      </c>
      <c r="D433" s="13" t="s">
        <v>1474</v>
      </c>
      <c r="E433" s="13">
        <v>-0.0243614653474571</v>
      </c>
      <c r="F433" s="13">
        <v>0.00487250629574266</v>
      </c>
      <c r="G433" s="13">
        <v>-4.9997811944836</v>
      </c>
      <c r="H433" s="63">
        <v>5.73954104635162E-7</v>
      </c>
      <c r="I433" s="13">
        <v>2820347.0</v>
      </c>
      <c r="J433" s="31" t="s">
        <v>1796</v>
      </c>
      <c r="K433" s="31" t="s">
        <v>1793</v>
      </c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13" t="s">
        <v>990</v>
      </c>
      <c r="B434" s="13" t="s">
        <v>411</v>
      </c>
      <c r="C434" s="13" t="s">
        <v>570</v>
      </c>
      <c r="D434" s="13" t="s">
        <v>1474</v>
      </c>
      <c r="E434" s="13">
        <v>-0.0522134170079997</v>
      </c>
      <c r="F434" s="13">
        <v>0.0125253678069005</v>
      </c>
      <c r="G434" s="13">
        <v>-4.16861347410763</v>
      </c>
      <c r="H434" s="63">
        <v>3.06458180864752E-5</v>
      </c>
      <c r="I434" s="13">
        <v>168871.0</v>
      </c>
      <c r="J434" s="31" t="s">
        <v>1796</v>
      </c>
      <c r="K434" s="31" t="s">
        <v>1793</v>
      </c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13" t="s">
        <v>990</v>
      </c>
      <c r="B435" s="13" t="s">
        <v>411</v>
      </c>
      <c r="C435" s="13" t="s">
        <v>42</v>
      </c>
      <c r="D435" s="13" t="s">
        <v>1474</v>
      </c>
      <c r="E435" s="13">
        <v>0.0114164139268724</v>
      </c>
      <c r="F435" s="13">
        <v>0.00485918200003938</v>
      </c>
      <c r="G435" s="13">
        <v>2.34945180624637</v>
      </c>
      <c r="H435" s="13">
        <v>0.0188010778266588</v>
      </c>
      <c r="I435" s="13">
        <v>2819450.0</v>
      </c>
      <c r="J435" s="31" t="s">
        <v>1796</v>
      </c>
      <c r="K435" s="31" t="s">
        <v>1793</v>
      </c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13" t="s">
        <v>990</v>
      </c>
      <c r="B436" s="13" t="s">
        <v>411</v>
      </c>
      <c r="C436" s="13" t="s">
        <v>55</v>
      </c>
      <c r="D436" s="13" t="s">
        <v>1474</v>
      </c>
      <c r="E436" s="13">
        <v>-0.0470560552986845</v>
      </c>
      <c r="F436" s="13">
        <v>0.00524778412141868</v>
      </c>
      <c r="G436" s="13">
        <v>-8.96684280640024</v>
      </c>
      <c r="H436" s="63">
        <v>3.05135130283264E-19</v>
      </c>
      <c r="I436" s="13">
        <v>2813417.0</v>
      </c>
      <c r="J436" s="31" t="s">
        <v>1796</v>
      </c>
      <c r="K436" s="31" t="s">
        <v>1793</v>
      </c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13" t="s">
        <v>990</v>
      </c>
      <c r="B437" s="13" t="s">
        <v>411</v>
      </c>
      <c r="C437" s="13" t="s">
        <v>1797</v>
      </c>
      <c r="D437" s="13" t="s">
        <v>1474</v>
      </c>
      <c r="E437" s="13">
        <v>-0.0156142223520311</v>
      </c>
      <c r="F437" s="13">
        <v>0.00472457444761647</v>
      </c>
      <c r="G437" s="13">
        <v>-3.30489497523071</v>
      </c>
      <c r="H437" s="63">
        <v>9.50119960813756E-4</v>
      </c>
      <c r="I437" s="13">
        <v>2820254.0</v>
      </c>
      <c r="J437" s="31" t="s">
        <v>1796</v>
      </c>
      <c r="K437" s="31" t="s">
        <v>1793</v>
      </c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13" t="s">
        <v>992</v>
      </c>
      <c r="B438" s="13" t="s">
        <v>411</v>
      </c>
      <c r="C438" s="13" t="s">
        <v>570</v>
      </c>
      <c r="D438" s="13" t="s">
        <v>1474</v>
      </c>
      <c r="E438" s="13">
        <v>-0.0570734353084518</v>
      </c>
      <c r="F438" s="13">
        <v>0.0128112602345195</v>
      </c>
      <c r="G438" s="13">
        <v>-4.45494309409695</v>
      </c>
      <c r="H438" s="63">
        <v>8.39154496583716E-6</v>
      </c>
      <c r="I438" s="13">
        <v>168486.0</v>
      </c>
      <c r="J438" s="31" t="s">
        <v>1796</v>
      </c>
      <c r="K438" s="31" t="s">
        <v>1793</v>
      </c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13" t="s">
        <v>992</v>
      </c>
      <c r="B439" s="13" t="s">
        <v>411</v>
      </c>
      <c r="C439" s="13" t="s">
        <v>42</v>
      </c>
      <c r="D439" s="13" t="s">
        <v>1474</v>
      </c>
      <c r="E439" s="13">
        <v>0.0167572465294743</v>
      </c>
      <c r="F439" s="13">
        <v>0.0046998215146107</v>
      </c>
      <c r="G439" s="13">
        <v>3.56550700433617</v>
      </c>
      <c r="H439" s="63">
        <v>3.63153462326258E-4</v>
      </c>
      <c r="I439" s="13">
        <v>2809298.0</v>
      </c>
      <c r="J439" s="31" t="s">
        <v>1796</v>
      </c>
      <c r="K439" s="31" t="s">
        <v>1793</v>
      </c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13" t="s">
        <v>992</v>
      </c>
      <c r="B440" s="13" t="s">
        <v>411</v>
      </c>
      <c r="C440" s="13" t="s">
        <v>55</v>
      </c>
      <c r="D440" s="13" t="s">
        <v>1474</v>
      </c>
      <c r="E440" s="13">
        <v>-0.0391953248709849</v>
      </c>
      <c r="F440" s="13">
        <v>0.00521445021172692</v>
      </c>
      <c r="G440" s="13">
        <v>-7.51667448714679</v>
      </c>
      <c r="H440" s="63">
        <v>5.6187077302628E-14</v>
      </c>
      <c r="I440" s="13">
        <v>2803295.0</v>
      </c>
      <c r="J440" s="31" t="s">
        <v>1796</v>
      </c>
      <c r="K440" s="31" t="s">
        <v>1793</v>
      </c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13" t="s">
        <v>992</v>
      </c>
      <c r="B441" s="13" t="s">
        <v>411</v>
      </c>
      <c r="C441" s="13" t="s">
        <v>1797</v>
      </c>
      <c r="D441" s="13" t="s">
        <v>1474</v>
      </c>
      <c r="E441" s="13">
        <v>-0.0157767322718519</v>
      </c>
      <c r="F441" s="13">
        <v>0.00471925679470947</v>
      </c>
      <c r="G441" s="13">
        <v>-3.34305441686039</v>
      </c>
      <c r="H441" s="63">
        <v>8.28616491411662E-4</v>
      </c>
      <c r="I441" s="13">
        <v>2810096.0</v>
      </c>
      <c r="J441" s="31" t="s">
        <v>1796</v>
      </c>
      <c r="K441" s="31" t="s">
        <v>1793</v>
      </c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13" t="s">
        <v>994</v>
      </c>
      <c r="B442" s="13" t="s">
        <v>411</v>
      </c>
      <c r="C442" s="13" t="s">
        <v>570</v>
      </c>
      <c r="D442" s="13" t="s">
        <v>1474</v>
      </c>
      <c r="E442" s="13">
        <v>-0.0515360796609952</v>
      </c>
      <c r="F442" s="13">
        <v>0.0128594624851825</v>
      </c>
      <c r="G442" s="13">
        <v>-4.00763871121194</v>
      </c>
      <c r="H442" s="63">
        <v>6.1328842412417E-5</v>
      </c>
      <c r="I442" s="13">
        <v>168875.0</v>
      </c>
      <c r="J442" s="31" t="s">
        <v>1796</v>
      </c>
      <c r="K442" s="31" t="s">
        <v>1793</v>
      </c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13" t="s">
        <v>994</v>
      </c>
      <c r="B443" s="13" t="s">
        <v>411</v>
      </c>
      <c r="C443" s="13" t="s">
        <v>42</v>
      </c>
      <c r="D443" s="13" t="s">
        <v>1474</v>
      </c>
      <c r="E443" s="13">
        <v>0.0119183738695914</v>
      </c>
      <c r="F443" s="13">
        <v>0.00472451006112188</v>
      </c>
      <c r="G443" s="13">
        <v>2.52266874562677</v>
      </c>
      <c r="H443" s="13">
        <v>0.0116468055429168</v>
      </c>
      <c r="I443" s="13">
        <v>2819685.0</v>
      </c>
      <c r="J443" s="31" t="s">
        <v>1796</v>
      </c>
      <c r="K443" s="31" t="s">
        <v>1793</v>
      </c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13" t="s">
        <v>994</v>
      </c>
      <c r="B444" s="13" t="s">
        <v>411</v>
      </c>
      <c r="C444" s="13" t="s">
        <v>55</v>
      </c>
      <c r="D444" s="13" t="s">
        <v>1474</v>
      </c>
      <c r="E444" s="13">
        <v>-0.0385091592280347</v>
      </c>
      <c r="F444" s="13">
        <v>0.00554772730727582</v>
      </c>
      <c r="G444" s="13">
        <v>-6.94142972339864</v>
      </c>
      <c r="H444" s="63">
        <v>3.88151313653118E-12</v>
      </c>
      <c r="I444" s="13">
        <v>2813649.0</v>
      </c>
      <c r="J444" s="31" t="s">
        <v>1796</v>
      </c>
      <c r="K444" s="31" t="s">
        <v>1793</v>
      </c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13" t="s">
        <v>994</v>
      </c>
      <c r="B445" s="13" t="s">
        <v>411</v>
      </c>
      <c r="C445" s="13" t="s">
        <v>1797</v>
      </c>
      <c r="D445" s="13" t="s">
        <v>1474</v>
      </c>
      <c r="E445" s="13">
        <v>-0.0178663381378183</v>
      </c>
      <c r="F445" s="13">
        <v>0.0047172098582055</v>
      </c>
      <c r="G445" s="13">
        <v>-3.78748003053969</v>
      </c>
      <c r="H445" s="63">
        <v>1.5218291179428E-4</v>
      </c>
      <c r="I445" s="13">
        <v>2820489.0</v>
      </c>
      <c r="J445" s="31" t="s">
        <v>1796</v>
      </c>
      <c r="K445" s="31" t="s">
        <v>1793</v>
      </c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13" t="s">
        <v>1001</v>
      </c>
      <c r="B446" s="13" t="s">
        <v>411</v>
      </c>
      <c r="C446" s="13" t="s">
        <v>570</v>
      </c>
      <c r="D446" s="13" t="s">
        <v>1474</v>
      </c>
      <c r="E446" s="13">
        <v>-0.772005456904145</v>
      </c>
      <c r="F446" s="13">
        <v>0.00516391761655874</v>
      </c>
      <c r="G446" s="13">
        <v>-149.499956085398</v>
      </c>
      <c r="H446" s="13">
        <v>0.0</v>
      </c>
      <c r="I446" s="13">
        <v>151530.0</v>
      </c>
      <c r="J446" s="31" t="s">
        <v>1796</v>
      </c>
      <c r="K446" s="31" t="s">
        <v>1793</v>
      </c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13" t="s">
        <v>1001</v>
      </c>
      <c r="B447" s="13" t="s">
        <v>411</v>
      </c>
      <c r="C447" s="13" t="s">
        <v>42</v>
      </c>
      <c r="D447" s="13" t="s">
        <v>1474</v>
      </c>
      <c r="E447" s="13">
        <v>-0.777624645176754</v>
      </c>
      <c r="F447" s="13">
        <v>0.00259892498532995</v>
      </c>
      <c r="G447" s="13">
        <v>-299.210115554</v>
      </c>
      <c r="H447" s="13">
        <v>0.0</v>
      </c>
      <c r="I447" s="13">
        <v>2515948.0</v>
      </c>
      <c r="J447" s="31" t="s">
        <v>1796</v>
      </c>
      <c r="K447" s="31" t="s">
        <v>1793</v>
      </c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13" t="s">
        <v>1001</v>
      </c>
      <c r="B448" s="13" t="s">
        <v>411</v>
      </c>
      <c r="C448" s="13" t="s">
        <v>55</v>
      </c>
      <c r="D448" s="13" t="s">
        <v>1474</v>
      </c>
      <c r="E448" s="13">
        <v>-0.684647172791452</v>
      </c>
      <c r="F448" s="13">
        <v>0.00329129430288387</v>
      </c>
      <c r="G448" s="13">
        <v>-208.017609422395</v>
      </c>
      <c r="H448" s="13">
        <v>0.0</v>
      </c>
      <c r="I448" s="13">
        <v>2510731.0</v>
      </c>
      <c r="J448" s="31" t="s">
        <v>1796</v>
      </c>
      <c r="K448" s="31" t="s">
        <v>1793</v>
      </c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13" t="s">
        <v>1001</v>
      </c>
      <c r="B449" s="13" t="s">
        <v>411</v>
      </c>
      <c r="C449" s="13" t="s">
        <v>1797</v>
      </c>
      <c r="D449" s="13" t="s">
        <v>1474</v>
      </c>
      <c r="E449" s="13">
        <v>0.310621859907882</v>
      </c>
      <c r="F449" s="13">
        <v>0.00605062972587049</v>
      </c>
      <c r="G449" s="13">
        <v>51.3371126611443</v>
      </c>
      <c r="H449" s="13">
        <v>0.0</v>
      </c>
      <c r="I449" s="13">
        <v>2516736.0</v>
      </c>
      <c r="J449" s="31" t="s">
        <v>1796</v>
      </c>
      <c r="K449" s="31" t="s">
        <v>1793</v>
      </c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13" t="s">
        <v>1003</v>
      </c>
      <c r="B450" s="13" t="s">
        <v>411</v>
      </c>
      <c r="C450" s="13" t="s">
        <v>570</v>
      </c>
      <c r="D450" s="13" t="s">
        <v>1474</v>
      </c>
      <c r="E450" s="13">
        <v>-0.768840127266472</v>
      </c>
      <c r="F450" s="13">
        <v>0.00510742942676048</v>
      </c>
      <c r="G450" s="13">
        <v>-150.533676145992</v>
      </c>
      <c r="H450" s="13">
        <v>0.0</v>
      </c>
      <c r="I450" s="13">
        <v>167333.0</v>
      </c>
      <c r="J450" s="31" t="s">
        <v>1796</v>
      </c>
      <c r="K450" s="31" t="s">
        <v>1793</v>
      </c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13" t="s">
        <v>1003</v>
      </c>
      <c r="B451" s="13" t="s">
        <v>411</v>
      </c>
      <c r="C451" s="13" t="s">
        <v>42</v>
      </c>
      <c r="D451" s="13" t="s">
        <v>1474</v>
      </c>
      <c r="E451" s="13">
        <v>-0.782723257773271</v>
      </c>
      <c r="F451" s="13">
        <v>0.00251848028022933</v>
      </c>
      <c r="G451" s="13">
        <v>-310.791894587316</v>
      </c>
      <c r="H451" s="13">
        <v>0.0</v>
      </c>
      <c r="I451" s="13">
        <v>2789922.0</v>
      </c>
      <c r="J451" s="31" t="s">
        <v>1796</v>
      </c>
      <c r="K451" s="31" t="s">
        <v>1793</v>
      </c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13" t="s">
        <v>1003</v>
      </c>
      <c r="B452" s="13" t="s">
        <v>411</v>
      </c>
      <c r="C452" s="13" t="s">
        <v>55</v>
      </c>
      <c r="D452" s="13" t="s">
        <v>1474</v>
      </c>
      <c r="E452" s="13">
        <v>-0.691366391797914</v>
      </c>
      <c r="F452" s="13">
        <v>0.00322159788489455</v>
      </c>
      <c r="G452" s="13">
        <v>-214.60356521824</v>
      </c>
      <c r="H452" s="13">
        <v>0.0</v>
      </c>
      <c r="I452" s="13">
        <v>2784046.0</v>
      </c>
      <c r="J452" s="31" t="s">
        <v>1796</v>
      </c>
      <c r="K452" s="31" t="s">
        <v>1793</v>
      </c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13" t="s">
        <v>1003</v>
      </c>
      <c r="B453" s="13" t="s">
        <v>411</v>
      </c>
      <c r="C453" s="13" t="s">
        <v>1797</v>
      </c>
      <c r="D453" s="13" t="s">
        <v>1474</v>
      </c>
      <c r="E453" s="13">
        <v>0.30798957728315</v>
      </c>
      <c r="F453" s="13">
        <v>0.0062850293959889</v>
      </c>
      <c r="G453" s="13">
        <v>49.003681268334</v>
      </c>
      <c r="H453" s="13">
        <v>0.0</v>
      </c>
      <c r="I453" s="13">
        <v>2790816.0</v>
      </c>
      <c r="J453" s="31" t="s">
        <v>1796</v>
      </c>
      <c r="K453" s="31" t="s">
        <v>1793</v>
      </c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13" t="s">
        <v>1005</v>
      </c>
      <c r="B454" s="13" t="s">
        <v>411</v>
      </c>
      <c r="C454" s="13" t="s">
        <v>570</v>
      </c>
      <c r="D454" s="13" t="s">
        <v>1474</v>
      </c>
      <c r="E454" s="13">
        <v>-0.524892525295378</v>
      </c>
      <c r="F454" s="13">
        <v>0.0101401026973347</v>
      </c>
      <c r="G454" s="13">
        <v>-51.7640245826447</v>
      </c>
      <c r="H454" s="13">
        <v>0.0</v>
      </c>
      <c r="I454" s="13">
        <v>168817.0</v>
      </c>
      <c r="J454" s="31" t="s">
        <v>1796</v>
      </c>
      <c r="K454" s="31" t="s">
        <v>1793</v>
      </c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13" t="s">
        <v>1005</v>
      </c>
      <c r="B455" s="13" t="s">
        <v>411</v>
      </c>
      <c r="C455" s="13" t="s">
        <v>42</v>
      </c>
      <c r="D455" s="13" t="s">
        <v>1474</v>
      </c>
      <c r="E455" s="13">
        <v>-0.554802520038785</v>
      </c>
      <c r="F455" s="13">
        <v>0.00650666095731496</v>
      </c>
      <c r="G455" s="13">
        <v>-85.2668555620778</v>
      </c>
      <c r="H455" s="13">
        <v>0.0</v>
      </c>
      <c r="I455" s="13">
        <v>2818877.0</v>
      </c>
      <c r="J455" s="31" t="s">
        <v>1796</v>
      </c>
      <c r="K455" s="31" t="s">
        <v>1793</v>
      </c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13" t="s">
        <v>1005</v>
      </c>
      <c r="B456" s="13" t="s">
        <v>411</v>
      </c>
      <c r="C456" s="13" t="s">
        <v>55</v>
      </c>
      <c r="D456" s="13" t="s">
        <v>1474</v>
      </c>
      <c r="E456" s="13">
        <v>-0.4839676337625</v>
      </c>
      <c r="F456" s="13">
        <v>0.00655630930333074</v>
      </c>
      <c r="G456" s="13">
        <v>-73.8170838762343</v>
      </c>
      <c r="H456" s="13">
        <v>0.0</v>
      </c>
      <c r="I456" s="13">
        <v>2812850.0</v>
      </c>
      <c r="J456" s="31" t="s">
        <v>1796</v>
      </c>
      <c r="K456" s="31" t="s">
        <v>1793</v>
      </c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13" t="s">
        <v>1005</v>
      </c>
      <c r="B457" s="13" t="s">
        <v>411</v>
      </c>
      <c r="C457" s="13" t="s">
        <v>1797</v>
      </c>
      <c r="D457" s="13" t="s">
        <v>1474</v>
      </c>
      <c r="E457" s="13">
        <v>0.226254812685567</v>
      </c>
      <c r="F457" s="13">
        <v>0.0071867900762429</v>
      </c>
      <c r="G457" s="13">
        <v>31.4820400046871</v>
      </c>
      <c r="H457" s="63">
        <v>1.53009334866316E-217</v>
      </c>
      <c r="I457" s="13">
        <v>2819688.0</v>
      </c>
      <c r="J457" s="31" t="s">
        <v>1796</v>
      </c>
      <c r="K457" s="31" t="s">
        <v>1793</v>
      </c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13" t="s">
        <v>1009</v>
      </c>
      <c r="B458" s="13" t="s">
        <v>411</v>
      </c>
      <c r="C458" s="13" t="s">
        <v>570</v>
      </c>
      <c r="D458" s="13" t="s">
        <v>1474</v>
      </c>
      <c r="E458" s="13">
        <v>-0.154850013795226</v>
      </c>
      <c r="F458" s="13">
        <v>0.014714187170033</v>
      </c>
      <c r="G458" s="13">
        <v>-10.5238578255001</v>
      </c>
      <c r="H458" s="63">
        <v>6.70699163413172E-26</v>
      </c>
      <c r="I458" s="13">
        <v>168850.0</v>
      </c>
      <c r="J458" s="31" t="s">
        <v>1796</v>
      </c>
      <c r="K458" s="31" t="s">
        <v>1793</v>
      </c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13" t="s">
        <v>1009</v>
      </c>
      <c r="B459" s="13" t="s">
        <v>411</v>
      </c>
      <c r="C459" s="13" t="s">
        <v>42</v>
      </c>
      <c r="D459" s="13" t="s">
        <v>1474</v>
      </c>
      <c r="E459" s="13">
        <v>-0.271411470326101</v>
      </c>
      <c r="F459" s="13">
        <v>0.00867338419302612</v>
      </c>
      <c r="G459" s="13">
        <v>-31.2924533591318</v>
      </c>
      <c r="H459" s="63">
        <v>5.91084874854356E-215</v>
      </c>
      <c r="I459" s="13">
        <v>2819168.0</v>
      </c>
      <c r="J459" s="31" t="s">
        <v>1796</v>
      </c>
      <c r="K459" s="31" t="s">
        <v>1793</v>
      </c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13" t="s">
        <v>1009</v>
      </c>
      <c r="B460" s="13" t="s">
        <v>411</v>
      </c>
      <c r="C460" s="13" t="s">
        <v>55</v>
      </c>
      <c r="D460" s="13" t="s">
        <v>1474</v>
      </c>
      <c r="E460" s="13">
        <v>-0.201327972733375</v>
      </c>
      <c r="F460" s="13">
        <v>0.00904128280324878</v>
      </c>
      <c r="G460" s="13">
        <v>-22.2676335996295</v>
      </c>
      <c r="H460" s="63">
        <v>7.61161154601817E-110</v>
      </c>
      <c r="I460" s="13">
        <v>2813145.0</v>
      </c>
      <c r="J460" s="31" t="s">
        <v>1796</v>
      </c>
      <c r="K460" s="31" t="s">
        <v>1793</v>
      </c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13" t="s">
        <v>1009</v>
      </c>
      <c r="B461" s="13" t="s">
        <v>411</v>
      </c>
      <c r="C461" s="13" t="s">
        <v>1797</v>
      </c>
      <c r="D461" s="13" t="s">
        <v>1474</v>
      </c>
      <c r="E461" s="13">
        <v>0.0834587804780962</v>
      </c>
      <c r="F461" s="13">
        <v>0.00823547450531012</v>
      </c>
      <c r="G461" s="13">
        <v>10.1340585080171</v>
      </c>
      <c r="H461" s="63">
        <v>3.90113396584202E-24</v>
      </c>
      <c r="I461" s="13">
        <v>2819976.0</v>
      </c>
      <c r="J461" s="31" t="s">
        <v>1796</v>
      </c>
      <c r="K461" s="31" t="s">
        <v>1793</v>
      </c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13" t="s">
        <v>1011</v>
      </c>
      <c r="B462" s="13" t="s">
        <v>411</v>
      </c>
      <c r="C462" s="13" t="s">
        <v>570</v>
      </c>
      <c r="D462" s="13" t="s">
        <v>1474</v>
      </c>
      <c r="E462" s="13">
        <v>-0.311978838430706</v>
      </c>
      <c r="F462" s="13">
        <v>0.0137613000165279</v>
      </c>
      <c r="G462" s="13">
        <v>-22.6707388150833</v>
      </c>
      <c r="H462" s="63">
        <v>8.71197652148248E-114</v>
      </c>
      <c r="I462" s="13">
        <v>168878.0</v>
      </c>
      <c r="J462" s="31" t="s">
        <v>1796</v>
      </c>
      <c r="K462" s="31" t="s">
        <v>1793</v>
      </c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13" t="s">
        <v>1011</v>
      </c>
      <c r="B463" s="13" t="s">
        <v>411</v>
      </c>
      <c r="C463" s="13" t="s">
        <v>42</v>
      </c>
      <c r="D463" s="13" t="s">
        <v>1474</v>
      </c>
      <c r="E463" s="13">
        <v>-0.397971363497805</v>
      </c>
      <c r="F463" s="13">
        <v>0.00846259709698126</v>
      </c>
      <c r="G463" s="13">
        <v>-47.0270956937992</v>
      </c>
      <c r="H463" s="13">
        <v>0.0</v>
      </c>
      <c r="I463" s="13">
        <v>2819499.0</v>
      </c>
      <c r="J463" s="31" t="s">
        <v>1796</v>
      </c>
      <c r="K463" s="31" t="s">
        <v>1793</v>
      </c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13" t="s">
        <v>1011</v>
      </c>
      <c r="B464" s="13" t="s">
        <v>411</v>
      </c>
      <c r="C464" s="13" t="s">
        <v>55</v>
      </c>
      <c r="D464" s="13" t="s">
        <v>1474</v>
      </c>
      <c r="E464" s="13">
        <v>-0.331515544320255</v>
      </c>
      <c r="F464" s="13">
        <v>0.00862516206688538</v>
      </c>
      <c r="G464" s="13">
        <v>-38.4358626248943</v>
      </c>
      <c r="H464" s="13">
        <v>0.0</v>
      </c>
      <c r="I464" s="13">
        <v>2813469.0</v>
      </c>
      <c r="J464" s="31" t="s">
        <v>1796</v>
      </c>
      <c r="K464" s="31" t="s">
        <v>1793</v>
      </c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13" t="s">
        <v>1011</v>
      </c>
      <c r="B465" s="13" t="s">
        <v>411</v>
      </c>
      <c r="C465" s="13" t="s">
        <v>1797</v>
      </c>
      <c r="D465" s="13" t="s">
        <v>1474</v>
      </c>
      <c r="E465" s="13">
        <v>0.147491804138248</v>
      </c>
      <c r="F465" s="13">
        <v>0.00776116666659275</v>
      </c>
      <c r="G465" s="13">
        <v>19.0038186878673</v>
      </c>
      <c r="H465" s="63">
        <v>1.58575990048027E-80</v>
      </c>
      <c r="I465" s="13">
        <v>2820311.0</v>
      </c>
      <c r="J465" s="31" t="s">
        <v>1796</v>
      </c>
      <c r="K465" s="31" t="s">
        <v>1793</v>
      </c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13" t="s">
        <v>1013</v>
      </c>
      <c r="B466" s="13" t="s">
        <v>411</v>
      </c>
      <c r="C466" s="13" t="s">
        <v>570</v>
      </c>
      <c r="D466" s="13" t="s">
        <v>1474</v>
      </c>
      <c r="E466" s="13">
        <v>-0.0983709542320537</v>
      </c>
      <c r="F466" s="13">
        <v>0.0132190283323119</v>
      </c>
      <c r="G466" s="13">
        <v>-7.44161762567679</v>
      </c>
      <c r="H466" s="63">
        <v>9.94597655201049E-14</v>
      </c>
      <c r="I466" s="13">
        <v>168783.0</v>
      </c>
      <c r="J466" s="31" t="s">
        <v>1796</v>
      </c>
      <c r="K466" s="31" t="s">
        <v>1793</v>
      </c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13" t="s">
        <v>1013</v>
      </c>
      <c r="B467" s="13" t="s">
        <v>411</v>
      </c>
      <c r="C467" s="13" t="s">
        <v>42</v>
      </c>
      <c r="D467" s="13" t="s">
        <v>1474</v>
      </c>
      <c r="E467" s="13">
        <v>-0.0787447051341316</v>
      </c>
      <c r="F467" s="13">
        <v>0.00602236909869138</v>
      </c>
      <c r="G467" s="13">
        <v>-13.0753701481435</v>
      </c>
      <c r="H467" s="63">
        <v>4.55342055370551E-39</v>
      </c>
      <c r="I467" s="13">
        <v>2817604.0</v>
      </c>
      <c r="J467" s="31" t="s">
        <v>1796</v>
      </c>
      <c r="K467" s="31" t="s">
        <v>1793</v>
      </c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13" t="s">
        <v>1013</v>
      </c>
      <c r="B468" s="13" t="s">
        <v>411</v>
      </c>
      <c r="C468" s="13" t="s">
        <v>55</v>
      </c>
      <c r="D468" s="13" t="s">
        <v>1474</v>
      </c>
      <c r="E468" s="13">
        <v>-0.0073533417758986</v>
      </c>
      <c r="F468" s="13">
        <v>0.00666228122388676</v>
      </c>
      <c r="G468" s="13">
        <v>-1.10372731633335</v>
      </c>
      <c r="H468" s="13">
        <v>0.269711442396036</v>
      </c>
      <c r="I468" s="13">
        <v>2811580.0</v>
      </c>
      <c r="J468" s="31" t="s">
        <v>1796</v>
      </c>
      <c r="K468" s="31" t="s">
        <v>1793</v>
      </c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13" t="s">
        <v>1013</v>
      </c>
      <c r="B469" s="13" t="s">
        <v>411</v>
      </c>
      <c r="C469" s="13" t="s">
        <v>1797</v>
      </c>
      <c r="D469" s="13" t="s">
        <v>1474</v>
      </c>
      <c r="E469" s="13">
        <v>-0.0122675541053767</v>
      </c>
      <c r="F469" s="13">
        <v>0.00570212884366163</v>
      </c>
      <c r="G469" s="13">
        <v>-2.15139896724941</v>
      </c>
      <c r="H469" s="13">
        <v>0.0314447226437546</v>
      </c>
      <c r="I469" s="13">
        <v>2818405.0</v>
      </c>
      <c r="J469" s="31" t="s">
        <v>1796</v>
      </c>
      <c r="K469" s="31" t="s">
        <v>1793</v>
      </c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13" t="s">
        <v>1017</v>
      </c>
      <c r="B470" s="13" t="s">
        <v>411</v>
      </c>
      <c r="C470" s="13" t="s">
        <v>570</v>
      </c>
      <c r="D470" s="13" t="s">
        <v>1474</v>
      </c>
      <c r="E470" s="13">
        <v>-0.0897106341530069</v>
      </c>
      <c r="F470" s="13">
        <v>0.0125822018932736</v>
      </c>
      <c r="G470" s="13">
        <v>-7.12996301553272</v>
      </c>
      <c r="H470" s="63">
        <v>1.00395900035059E-12</v>
      </c>
      <c r="I470" s="13">
        <v>168843.0</v>
      </c>
      <c r="J470" s="31" t="s">
        <v>1796</v>
      </c>
      <c r="K470" s="31" t="s">
        <v>1793</v>
      </c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13" t="s">
        <v>1017</v>
      </c>
      <c r="B471" s="13" t="s">
        <v>411</v>
      </c>
      <c r="C471" s="13" t="s">
        <v>42</v>
      </c>
      <c r="D471" s="13" t="s">
        <v>1474</v>
      </c>
      <c r="E471" s="13">
        <v>-0.0726287723013447</v>
      </c>
      <c r="F471" s="13">
        <v>0.00599764883089848</v>
      </c>
      <c r="G471" s="13">
        <v>-12.1095406465243</v>
      </c>
      <c r="H471" s="63">
        <v>9.40192072561048E-34</v>
      </c>
      <c r="I471" s="13">
        <v>2818907.0</v>
      </c>
      <c r="J471" s="31" t="s">
        <v>1796</v>
      </c>
      <c r="K471" s="31" t="s">
        <v>1793</v>
      </c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13" t="s">
        <v>1017</v>
      </c>
      <c r="B472" s="13" t="s">
        <v>411</v>
      </c>
      <c r="C472" s="13" t="s">
        <v>55</v>
      </c>
      <c r="D472" s="13" t="s">
        <v>1474</v>
      </c>
      <c r="E472" s="13">
        <v>-0.013949057818555</v>
      </c>
      <c r="F472" s="13">
        <v>0.00646276390870533</v>
      </c>
      <c r="G472" s="13">
        <v>-2.15837341663768</v>
      </c>
      <c r="H472" s="13">
        <v>0.0308988108325768</v>
      </c>
      <c r="I472" s="13">
        <v>2812879.0</v>
      </c>
      <c r="J472" s="31" t="s">
        <v>1796</v>
      </c>
      <c r="K472" s="31" t="s">
        <v>1793</v>
      </c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13" t="s">
        <v>1017</v>
      </c>
      <c r="B473" s="13" t="s">
        <v>411</v>
      </c>
      <c r="C473" s="13" t="s">
        <v>1797</v>
      </c>
      <c r="D473" s="13" t="s">
        <v>1474</v>
      </c>
      <c r="E473" s="13">
        <v>-0.00590327975739084</v>
      </c>
      <c r="F473" s="13">
        <v>0.00593339402158188</v>
      </c>
      <c r="G473" s="13">
        <v>-0.994924614127849</v>
      </c>
      <c r="H473" s="13">
        <v>0.319772930484504</v>
      </c>
      <c r="I473" s="13">
        <v>2819710.0</v>
      </c>
      <c r="J473" s="31" t="s">
        <v>1796</v>
      </c>
      <c r="K473" s="31" t="s">
        <v>1793</v>
      </c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13" t="s">
        <v>1019</v>
      </c>
      <c r="B474" s="13" t="s">
        <v>411</v>
      </c>
      <c r="C474" s="13" t="s">
        <v>570</v>
      </c>
      <c r="D474" s="13" t="s">
        <v>1474</v>
      </c>
      <c r="E474" s="13">
        <v>-0.106827091746414</v>
      </c>
      <c r="F474" s="13">
        <v>0.0136844964070618</v>
      </c>
      <c r="G474" s="13">
        <v>-7.80643207968446</v>
      </c>
      <c r="H474" s="63">
        <v>5.88296503482244E-15</v>
      </c>
      <c r="I474" s="13">
        <v>168815.0</v>
      </c>
      <c r="J474" s="31" t="s">
        <v>1796</v>
      </c>
      <c r="K474" s="31" t="s">
        <v>1793</v>
      </c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13" t="s">
        <v>1019</v>
      </c>
      <c r="B475" s="13" t="s">
        <v>411</v>
      </c>
      <c r="C475" s="13" t="s">
        <v>42</v>
      </c>
      <c r="D475" s="13" t="s">
        <v>1474</v>
      </c>
      <c r="E475" s="13">
        <v>-0.0748759157180986</v>
      </c>
      <c r="F475" s="13">
        <v>0.00586676203021481</v>
      </c>
      <c r="G475" s="13">
        <v>-12.7627327190833</v>
      </c>
      <c r="H475" s="63">
        <v>2.64747596026374E-37</v>
      </c>
      <c r="I475" s="13">
        <v>2818016.0</v>
      </c>
      <c r="J475" s="31" t="s">
        <v>1796</v>
      </c>
      <c r="K475" s="31" t="s">
        <v>1793</v>
      </c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13" t="s">
        <v>1019</v>
      </c>
      <c r="B476" s="13" t="s">
        <v>411</v>
      </c>
      <c r="C476" s="13" t="s">
        <v>55</v>
      </c>
      <c r="D476" s="13" t="s">
        <v>1474</v>
      </c>
      <c r="E476" s="13">
        <v>-0.00649651151332847</v>
      </c>
      <c r="F476" s="13">
        <v>0.00675331268952291</v>
      </c>
      <c r="G476" s="13">
        <v>-0.961974043258378</v>
      </c>
      <c r="H476" s="13">
        <v>0.336062642748185</v>
      </c>
      <c r="I476" s="13">
        <v>2811999.0</v>
      </c>
      <c r="J476" s="31" t="s">
        <v>1796</v>
      </c>
      <c r="K476" s="31" t="s">
        <v>1793</v>
      </c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13" t="s">
        <v>1019</v>
      </c>
      <c r="B477" s="13" t="s">
        <v>411</v>
      </c>
      <c r="C477" s="13" t="s">
        <v>1797</v>
      </c>
      <c r="D477" s="13" t="s">
        <v>1474</v>
      </c>
      <c r="E477" s="13">
        <v>-0.00379896901038146</v>
      </c>
      <c r="F477" s="13">
        <v>0.00532349475938674</v>
      </c>
      <c r="G477" s="13">
        <v>-0.71362313331536</v>
      </c>
      <c r="H477" s="13">
        <v>0.475460248949718</v>
      </c>
      <c r="I477" s="13">
        <v>2818820.0</v>
      </c>
      <c r="J477" s="31" t="s">
        <v>1796</v>
      </c>
      <c r="K477" s="31" t="s">
        <v>1793</v>
      </c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13" t="s">
        <v>1021</v>
      </c>
      <c r="B478" s="13" t="s">
        <v>411</v>
      </c>
      <c r="C478" s="13" t="s">
        <v>570</v>
      </c>
      <c r="D478" s="13" t="s">
        <v>1474</v>
      </c>
      <c r="E478" s="13">
        <v>-0.107396903229498</v>
      </c>
      <c r="F478" s="13">
        <v>0.0128655071517923</v>
      </c>
      <c r="G478" s="13">
        <v>-8.34766184981186</v>
      </c>
      <c r="H478" s="63">
        <v>6.96275809109575E-17</v>
      </c>
      <c r="I478" s="13">
        <v>168727.0</v>
      </c>
      <c r="J478" s="31" t="s">
        <v>1796</v>
      </c>
      <c r="K478" s="31" t="s">
        <v>1793</v>
      </c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13" t="s">
        <v>1021</v>
      </c>
      <c r="B479" s="13" t="s">
        <v>411</v>
      </c>
      <c r="C479" s="13" t="s">
        <v>42</v>
      </c>
      <c r="D479" s="13" t="s">
        <v>1474</v>
      </c>
      <c r="E479" s="13">
        <v>-0.077470707504045</v>
      </c>
      <c r="F479" s="13">
        <v>0.00570360691325017</v>
      </c>
      <c r="G479" s="13">
        <v>-13.5827571363782</v>
      </c>
      <c r="H479" s="63">
        <v>5.06820624594335E-42</v>
      </c>
      <c r="I479" s="13">
        <v>2816697.0</v>
      </c>
      <c r="J479" s="31" t="s">
        <v>1796</v>
      </c>
      <c r="K479" s="31" t="s">
        <v>1793</v>
      </c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13" t="s">
        <v>1021</v>
      </c>
      <c r="B480" s="13" t="s">
        <v>411</v>
      </c>
      <c r="C480" s="13" t="s">
        <v>55</v>
      </c>
      <c r="D480" s="13" t="s">
        <v>1474</v>
      </c>
      <c r="E480" s="13">
        <v>-0.00658012824172302</v>
      </c>
      <c r="F480" s="13">
        <v>0.00621346393068896</v>
      </c>
      <c r="G480" s="13">
        <v>-1.05901125606009</v>
      </c>
      <c r="H480" s="13">
        <v>0.289594653498337</v>
      </c>
      <c r="I480" s="13">
        <v>2810668.0</v>
      </c>
      <c r="J480" s="31" t="s">
        <v>1796</v>
      </c>
      <c r="K480" s="31" t="s">
        <v>1793</v>
      </c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13" t="s">
        <v>1021</v>
      </c>
      <c r="B481" s="13" t="s">
        <v>411</v>
      </c>
      <c r="C481" s="13" t="s">
        <v>1797</v>
      </c>
      <c r="D481" s="13" t="s">
        <v>1474</v>
      </c>
      <c r="E481" s="13">
        <v>-0.0077626748685481</v>
      </c>
      <c r="F481" s="13">
        <v>0.00564591720934793</v>
      </c>
      <c r="G481" s="13">
        <v>-1.37491829594941</v>
      </c>
      <c r="H481" s="13">
        <v>0.169156776385494</v>
      </c>
      <c r="I481" s="13">
        <v>2817501.0</v>
      </c>
      <c r="J481" s="31" t="s">
        <v>1796</v>
      </c>
      <c r="K481" s="31" t="s">
        <v>1793</v>
      </c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13" t="s">
        <v>1023</v>
      </c>
      <c r="B482" s="13" t="s">
        <v>411</v>
      </c>
      <c r="C482" s="13" t="s">
        <v>570</v>
      </c>
      <c r="D482" s="13" t="s">
        <v>1474</v>
      </c>
      <c r="E482" s="13">
        <v>-0.104176983673795</v>
      </c>
      <c r="F482" s="13">
        <v>0.0133907298456307</v>
      </c>
      <c r="G482" s="13">
        <v>-7.77978384111655</v>
      </c>
      <c r="H482" s="63">
        <v>7.26485720169908E-15</v>
      </c>
      <c r="I482" s="13">
        <v>168810.0</v>
      </c>
      <c r="J482" s="31" t="s">
        <v>1796</v>
      </c>
      <c r="K482" s="31" t="s">
        <v>1793</v>
      </c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13" t="s">
        <v>1023</v>
      </c>
      <c r="B483" s="13" t="s">
        <v>411</v>
      </c>
      <c r="C483" s="13" t="s">
        <v>42</v>
      </c>
      <c r="D483" s="13" t="s">
        <v>1474</v>
      </c>
      <c r="E483" s="13">
        <v>-0.076717518278392</v>
      </c>
      <c r="F483" s="13">
        <v>0.0066538074166979</v>
      </c>
      <c r="G483" s="13">
        <v>-11.5298675591162</v>
      </c>
      <c r="H483" s="63">
        <v>9.32871131449173E-31</v>
      </c>
      <c r="I483" s="13">
        <v>2818399.0</v>
      </c>
      <c r="J483" s="31" t="s">
        <v>1796</v>
      </c>
      <c r="K483" s="31" t="s">
        <v>1793</v>
      </c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13" t="s">
        <v>1023</v>
      </c>
      <c r="B484" s="13" t="s">
        <v>411</v>
      </c>
      <c r="C484" s="13" t="s">
        <v>55</v>
      </c>
      <c r="D484" s="13" t="s">
        <v>1474</v>
      </c>
      <c r="E484" s="63">
        <v>-6.01376651416809E-4</v>
      </c>
      <c r="F484" s="13">
        <v>0.00734218633474083</v>
      </c>
      <c r="G484" s="13">
        <v>-0.0819070265993237</v>
      </c>
      <c r="H484" s="13">
        <v>0.934720646798612</v>
      </c>
      <c r="I484" s="13">
        <v>2812384.0</v>
      </c>
      <c r="J484" s="31" t="s">
        <v>1796</v>
      </c>
      <c r="K484" s="31" t="s">
        <v>1793</v>
      </c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13" t="s">
        <v>1023</v>
      </c>
      <c r="B485" s="13" t="s">
        <v>411</v>
      </c>
      <c r="C485" s="13" t="s">
        <v>1797</v>
      </c>
      <c r="D485" s="13" t="s">
        <v>1474</v>
      </c>
      <c r="E485" s="13">
        <v>-0.00132620745075382</v>
      </c>
      <c r="F485" s="13">
        <v>0.00544920036797805</v>
      </c>
      <c r="G485" s="13">
        <v>-0.243376525214087</v>
      </c>
      <c r="H485" s="13">
        <v>0.807713727344916</v>
      </c>
      <c r="I485" s="13">
        <v>2819201.0</v>
      </c>
      <c r="J485" s="31" t="s">
        <v>1796</v>
      </c>
      <c r="K485" s="31" t="s">
        <v>1793</v>
      </c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13" t="s">
        <v>1025</v>
      </c>
      <c r="B486" s="13" t="s">
        <v>411</v>
      </c>
      <c r="C486" s="13" t="s">
        <v>570</v>
      </c>
      <c r="D486" s="13" t="s">
        <v>1474</v>
      </c>
      <c r="E486" s="13">
        <v>-0.0939161575543826</v>
      </c>
      <c r="F486" s="13">
        <v>0.0135549108162208</v>
      </c>
      <c r="G486" s="13">
        <v>-6.92857067285129</v>
      </c>
      <c r="H486" s="63">
        <v>4.25113785683486E-12</v>
      </c>
      <c r="I486" s="13">
        <v>168836.0</v>
      </c>
      <c r="J486" s="31" t="s">
        <v>1796</v>
      </c>
      <c r="K486" s="31" t="s">
        <v>1793</v>
      </c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13" t="s">
        <v>1025</v>
      </c>
      <c r="B487" s="13" t="s">
        <v>411</v>
      </c>
      <c r="C487" s="13" t="s">
        <v>42</v>
      </c>
      <c r="D487" s="13" t="s">
        <v>1474</v>
      </c>
      <c r="E487" s="13">
        <v>-0.0670275416826524</v>
      </c>
      <c r="F487" s="13">
        <v>0.00602511676834357</v>
      </c>
      <c r="G487" s="13">
        <v>-11.1246875803005</v>
      </c>
      <c r="H487" s="63">
        <v>9.51385871224849E-29</v>
      </c>
      <c r="I487" s="13">
        <v>2818519.0</v>
      </c>
      <c r="J487" s="31" t="s">
        <v>1796</v>
      </c>
      <c r="K487" s="31" t="s">
        <v>1793</v>
      </c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13" t="s">
        <v>1025</v>
      </c>
      <c r="B488" s="13" t="s">
        <v>411</v>
      </c>
      <c r="C488" s="13" t="s">
        <v>55</v>
      </c>
      <c r="D488" s="13" t="s">
        <v>1474</v>
      </c>
      <c r="E488" s="13">
        <v>0.00554979218928744</v>
      </c>
      <c r="F488" s="13">
        <v>0.006798761949553</v>
      </c>
      <c r="G488" s="13">
        <v>0.816294529866916</v>
      </c>
      <c r="H488" s="13">
        <v>0.41433170223519</v>
      </c>
      <c r="I488" s="13">
        <v>2812492.0</v>
      </c>
      <c r="J488" s="31" t="s">
        <v>1796</v>
      </c>
      <c r="K488" s="31" t="s">
        <v>1793</v>
      </c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13" t="s">
        <v>1025</v>
      </c>
      <c r="B489" s="13" t="s">
        <v>411</v>
      </c>
      <c r="C489" s="13" t="s">
        <v>1797</v>
      </c>
      <c r="D489" s="13" t="s">
        <v>1474</v>
      </c>
      <c r="E489" s="63">
        <v>-5.46447210778162E-4</v>
      </c>
      <c r="F489" s="13">
        <v>0.00531976586369561</v>
      </c>
      <c r="G489" s="13">
        <v>-0.10272016189798</v>
      </c>
      <c r="H489" s="13">
        <v>0.91818507140838</v>
      </c>
      <c r="I489" s="13">
        <v>2819322.0</v>
      </c>
      <c r="J489" s="31" t="s">
        <v>1796</v>
      </c>
      <c r="K489" s="31" t="s">
        <v>1793</v>
      </c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13" t="s">
        <v>1027</v>
      </c>
      <c r="B490" s="13" t="s">
        <v>411</v>
      </c>
      <c r="C490" s="13" t="s">
        <v>570</v>
      </c>
      <c r="D490" s="13" t="s">
        <v>1474</v>
      </c>
      <c r="E490" s="13">
        <v>-0.102279599699982</v>
      </c>
      <c r="F490" s="13">
        <v>0.0131133763137137</v>
      </c>
      <c r="G490" s="13">
        <v>-7.79963887660419</v>
      </c>
      <c r="H490" s="63">
        <v>6.20845818599386E-15</v>
      </c>
      <c r="I490" s="13">
        <v>168863.0</v>
      </c>
      <c r="J490" s="31" t="s">
        <v>1796</v>
      </c>
      <c r="K490" s="31" t="s">
        <v>1793</v>
      </c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13" t="s">
        <v>1027</v>
      </c>
      <c r="B491" s="13" t="s">
        <v>411</v>
      </c>
      <c r="C491" s="13" t="s">
        <v>42</v>
      </c>
      <c r="D491" s="13" t="s">
        <v>1474</v>
      </c>
      <c r="E491" s="13">
        <v>-0.0710157556991847</v>
      </c>
      <c r="F491" s="13">
        <v>0.00603308172254096</v>
      </c>
      <c r="G491" s="13">
        <v>-11.771058136649</v>
      </c>
      <c r="H491" s="63">
        <v>5.50298999893188E-32</v>
      </c>
      <c r="I491" s="13">
        <v>2818996.0</v>
      </c>
      <c r="J491" s="31" t="s">
        <v>1796</v>
      </c>
      <c r="K491" s="31" t="s">
        <v>1793</v>
      </c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13" t="s">
        <v>1027</v>
      </c>
      <c r="B492" s="13" t="s">
        <v>411</v>
      </c>
      <c r="C492" s="13" t="s">
        <v>55</v>
      </c>
      <c r="D492" s="13" t="s">
        <v>1474</v>
      </c>
      <c r="E492" s="63">
        <v>9.50659535499621E-4</v>
      </c>
      <c r="F492" s="13">
        <v>0.00675655855010834</v>
      </c>
      <c r="G492" s="13">
        <v>0.140701738680911</v>
      </c>
      <c r="H492" s="13">
        <v>0.888105571493129</v>
      </c>
      <c r="I492" s="13">
        <v>2812971.0</v>
      </c>
      <c r="J492" s="31" t="s">
        <v>1796</v>
      </c>
      <c r="K492" s="31" t="s">
        <v>1793</v>
      </c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13" t="s">
        <v>1027</v>
      </c>
      <c r="B493" s="13" t="s">
        <v>411</v>
      </c>
      <c r="C493" s="13" t="s">
        <v>1797</v>
      </c>
      <c r="D493" s="13" t="s">
        <v>1474</v>
      </c>
      <c r="E493" s="63">
        <v>-9.68837750314234E-4</v>
      </c>
      <c r="F493" s="13">
        <v>0.00591063906362739</v>
      </c>
      <c r="G493" s="13">
        <v>-0.163914212978461</v>
      </c>
      <c r="H493" s="13">
        <v>0.869798678097125</v>
      </c>
      <c r="I493" s="13">
        <v>2819800.0</v>
      </c>
      <c r="J493" s="31" t="s">
        <v>1796</v>
      </c>
      <c r="K493" s="31" t="s">
        <v>1793</v>
      </c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13" t="s">
        <v>1029</v>
      </c>
      <c r="B494" s="13" t="s">
        <v>411</v>
      </c>
      <c r="C494" s="13" t="s">
        <v>570</v>
      </c>
      <c r="D494" s="13" t="s">
        <v>1474</v>
      </c>
      <c r="E494" s="13">
        <v>-0.101619724419955</v>
      </c>
      <c r="F494" s="13">
        <v>0.0130997039454854</v>
      </c>
      <c r="G494" s="13">
        <v>-7.75740618588382</v>
      </c>
      <c r="H494" s="63">
        <v>8.66839559103703E-15</v>
      </c>
      <c r="I494" s="13">
        <v>168808.0</v>
      </c>
      <c r="J494" s="31" t="s">
        <v>1796</v>
      </c>
      <c r="K494" s="31" t="s">
        <v>1793</v>
      </c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13" t="s">
        <v>1029</v>
      </c>
      <c r="B495" s="13" t="s">
        <v>411</v>
      </c>
      <c r="C495" s="13" t="s">
        <v>42</v>
      </c>
      <c r="D495" s="13" t="s">
        <v>1474</v>
      </c>
      <c r="E495" s="13">
        <v>-0.0747088077049496</v>
      </c>
      <c r="F495" s="13">
        <v>0.00574057268668353</v>
      </c>
      <c r="G495" s="13">
        <v>-13.0141732859253</v>
      </c>
      <c r="H495" s="63">
        <v>1.01636287193483E-38</v>
      </c>
      <c r="I495" s="13">
        <v>2817883.0</v>
      </c>
      <c r="J495" s="31" t="s">
        <v>1796</v>
      </c>
      <c r="K495" s="31" t="s">
        <v>1793</v>
      </c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13" t="s">
        <v>1029</v>
      </c>
      <c r="B496" s="13" t="s">
        <v>411</v>
      </c>
      <c r="C496" s="13" t="s">
        <v>55</v>
      </c>
      <c r="D496" s="13" t="s">
        <v>1474</v>
      </c>
      <c r="E496" s="13">
        <v>0.00260706127454247</v>
      </c>
      <c r="F496" s="13">
        <v>0.00655878584186487</v>
      </c>
      <c r="G496" s="13">
        <v>0.397491446953725</v>
      </c>
      <c r="H496" s="13">
        <v>0.691005092500607</v>
      </c>
      <c r="I496" s="13">
        <v>2811864.0</v>
      </c>
      <c r="J496" s="31" t="s">
        <v>1796</v>
      </c>
      <c r="K496" s="31" t="s">
        <v>1793</v>
      </c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13" t="s">
        <v>1029</v>
      </c>
      <c r="B497" s="13" t="s">
        <v>411</v>
      </c>
      <c r="C497" s="13" t="s">
        <v>1797</v>
      </c>
      <c r="D497" s="13" t="s">
        <v>1474</v>
      </c>
      <c r="E497" s="13">
        <v>-0.00899577587679908</v>
      </c>
      <c r="F497" s="13">
        <v>0.00582631465477387</v>
      </c>
      <c r="G497" s="13">
        <v>-1.54399074025778</v>
      </c>
      <c r="H497" s="13">
        <v>0.122590575867321</v>
      </c>
      <c r="I497" s="13">
        <v>2818686.0</v>
      </c>
      <c r="J497" s="31" t="s">
        <v>1796</v>
      </c>
      <c r="K497" s="31" t="s">
        <v>1793</v>
      </c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13" t="s">
        <v>1031</v>
      </c>
      <c r="B498" s="13" t="s">
        <v>411</v>
      </c>
      <c r="C498" s="13" t="s">
        <v>570</v>
      </c>
      <c r="D498" s="13" t="s">
        <v>1474</v>
      </c>
      <c r="E498" s="13">
        <v>-0.103279462641377</v>
      </c>
      <c r="F498" s="13">
        <v>0.0133215668469818</v>
      </c>
      <c r="G498" s="13">
        <v>-7.75280144052847</v>
      </c>
      <c r="H498" s="63">
        <v>8.98871129568106E-15</v>
      </c>
      <c r="I498" s="13">
        <v>168804.0</v>
      </c>
      <c r="J498" s="31" t="s">
        <v>1796</v>
      </c>
      <c r="K498" s="31" t="s">
        <v>1793</v>
      </c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13" t="s">
        <v>1031</v>
      </c>
      <c r="B499" s="13" t="s">
        <v>411</v>
      </c>
      <c r="C499" s="13" t="s">
        <v>42</v>
      </c>
      <c r="D499" s="13" t="s">
        <v>1474</v>
      </c>
      <c r="E499" s="13">
        <v>-0.0679375837880396</v>
      </c>
      <c r="F499" s="13">
        <v>0.0066636323628102</v>
      </c>
      <c r="G499" s="13">
        <v>-10.1952779038651</v>
      </c>
      <c r="H499" s="63">
        <v>2.08148370133596E-24</v>
      </c>
      <c r="I499" s="13">
        <v>2818032.0</v>
      </c>
      <c r="J499" s="31" t="s">
        <v>1796</v>
      </c>
      <c r="K499" s="31" t="s">
        <v>1793</v>
      </c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13" t="s">
        <v>1031</v>
      </c>
      <c r="B500" s="13" t="s">
        <v>411</v>
      </c>
      <c r="C500" s="13" t="s">
        <v>55</v>
      </c>
      <c r="D500" s="13" t="s">
        <v>1474</v>
      </c>
      <c r="E500" s="63">
        <v>8.70287463862772E-4</v>
      </c>
      <c r="F500" s="13">
        <v>0.00722612814794409</v>
      </c>
      <c r="G500" s="13">
        <v>0.120436206782518</v>
      </c>
      <c r="H500" s="13">
        <v>0.904137611263784</v>
      </c>
      <c r="I500" s="13">
        <v>2812000.0</v>
      </c>
      <c r="J500" s="31" t="s">
        <v>1796</v>
      </c>
      <c r="K500" s="31" t="s">
        <v>1793</v>
      </c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13" t="s">
        <v>1031</v>
      </c>
      <c r="B501" s="13" t="s">
        <v>411</v>
      </c>
      <c r="C501" s="13" t="s">
        <v>1797</v>
      </c>
      <c r="D501" s="13" t="s">
        <v>1474</v>
      </c>
      <c r="E501" s="13">
        <v>-0.0102507309845367</v>
      </c>
      <c r="F501" s="13">
        <v>0.00637813020150179</v>
      </c>
      <c r="G501" s="13">
        <v>-1.60716866239624</v>
      </c>
      <c r="H501" s="13">
        <v>0.10801737440557</v>
      </c>
      <c r="I501" s="13">
        <v>2818833.0</v>
      </c>
      <c r="J501" s="31" t="s">
        <v>1796</v>
      </c>
      <c r="K501" s="31" t="s">
        <v>1793</v>
      </c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13" t="s">
        <v>1033</v>
      </c>
      <c r="B502" s="13" t="s">
        <v>411</v>
      </c>
      <c r="C502" s="13" t="s">
        <v>570</v>
      </c>
      <c r="D502" s="13" t="s">
        <v>1474</v>
      </c>
      <c r="E502" s="13">
        <v>-0.103426483953875</v>
      </c>
      <c r="F502" s="13">
        <v>0.0128707560940519</v>
      </c>
      <c r="G502" s="13">
        <v>-8.0357737492728</v>
      </c>
      <c r="H502" s="63">
        <v>9.29901966794538E-16</v>
      </c>
      <c r="I502" s="13">
        <v>168768.0</v>
      </c>
      <c r="J502" s="31" t="s">
        <v>1796</v>
      </c>
      <c r="K502" s="31" t="s">
        <v>1793</v>
      </c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13" t="s">
        <v>1033</v>
      </c>
      <c r="B503" s="13" t="s">
        <v>411</v>
      </c>
      <c r="C503" s="13" t="s">
        <v>42</v>
      </c>
      <c r="D503" s="13" t="s">
        <v>1474</v>
      </c>
      <c r="E503" s="13">
        <v>-0.0643239796412923</v>
      </c>
      <c r="F503" s="13">
        <v>0.00676154894151229</v>
      </c>
      <c r="G503" s="13">
        <v>-9.5132018118478</v>
      </c>
      <c r="H503" s="63">
        <v>1.84882617187742E-21</v>
      </c>
      <c r="I503" s="13">
        <v>2817068.0</v>
      </c>
      <c r="J503" s="31" t="s">
        <v>1796</v>
      </c>
      <c r="K503" s="31" t="s">
        <v>1793</v>
      </c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13" t="s">
        <v>1033</v>
      </c>
      <c r="B504" s="13" t="s">
        <v>411</v>
      </c>
      <c r="C504" s="13" t="s">
        <v>55</v>
      </c>
      <c r="D504" s="13" t="s">
        <v>1474</v>
      </c>
      <c r="E504" s="13">
        <v>-0.0193031584859402</v>
      </c>
      <c r="F504" s="13">
        <v>0.00733409241265037</v>
      </c>
      <c r="G504" s="13">
        <v>-2.63197644641683</v>
      </c>
      <c r="H504" s="13">
        <v>0.0084889747783841</v>
      </c>
      <c r="I504" s="13">
        <v>2811036.0</v>
      </c>
      <c r="J504" s="31" t="s">
        <v>1796</v>
      </c>
      <c r="K504" s="31" t="s">
        <v>1793</v>
      </c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13" t="s">
        <v>1033</v>
      </c>
      <c r="B505" s="13" t="s">
        <v>411</v>
      </c>
      <c r="C505" s="13" t="s">
        <v>1797</v>
      </c>
      <c r="D505" s="13" t="s">
        <v>1474</v>
      </c>
      <c r="E505" s="13">
        <v>-0.0113115516817495</v>
      </c>
      <c r="F505" s="13">
        <v>0.0064482090052839</v>
      </c>
      <c r="G505" s="13">
        <v>-1.7542160423895</v>
      </c>
      <c r="H505" s="13">
        <v>0.0793934953817919</v>
      </c>
      <c r="I505" s="13">
        <v>2817870.0</v>
      </c>
      <c r="J505" s="31" t="s">
        <v>1796</v>
      </c>
      <c r="K505" s="31" t="s">
        <v>1793</v>
      </c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13" t="s">
        <v>617</v>
      </c>
      <c r="B506" s="13" t="s">
        <v>411</v>
      </c>
      <c r="C506" s="13" t="s">
        <v>570</v>
      </c>
      <c r="D506" s="13" t="s">
        <v>1474</v>
      </c>
      <c r="E506" s="13">
        <v>-0.106245231307246</v>
      </c>
      <c r="F506" s="13">
        <v>0.0603050610191491</v>
      </c>
      <c r="G506" s="13">
        <v>-1.7617962657149</v>
      </c>
      <c r="H506" s="13">
        <v>0.0781037259138837</v>
      </c>
      <c r="I506" s="13">
        <v>6027.0</v>
      </c>
      <c r="J506" s="31" t="s">
        <v>1796</v>
      </c>
      <c r="K506" s="31" t="s">
        <v>1793</v>
      </c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13" t="s">
        <v>617</v>
      </c>
      <c r="B507" s="13" t="s">
        <v>411</v>
      </c>
      <c r="C507" s="13" t="s">
        <v>42</v>
      </c>
      <c r="D507" s="13" t="s">
        <v>1474</v>
      </c>
      <c r="E507" s="13">
        <v>-0.0458753355281217</v>
      </c>
      <c r="F507" s="13">
        <v>0.0158359486970773</v>
      </c>
      <c r="G507" s="13">
        <v>-2.8969110980126</v>
      </c>
      <c r="H507" s="13">
        <v>0.00376856531871282</v>
      </c>
      <c r="I507" s="13">
        <v>87902.0</v>
      </c>
      <c r="J507" s="31" t="s">
        <v>1796</v>
      </c>
      <c r="K507" s="31" t="s">
        <v>1793</v>
      </c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13" t="s">
        <v>617</v>
      </c>
      <c r="B508" s="13" t="s">
        <v>411</v>
      </c>
      <c r="C508" s="13" t="s">
        <v>55</v>
      </c>
      <c r="D508" s="13" t="s">
        <v>1474</v>
      </c>
      <c r="E508" s="13">
        <v>-0.0328053941385513</v>
      </c>
      <c r="F508" s="13">
        <v>0.0173846066368815</v>
      </c>
      <c r="G508" s="13">
        <v>-1.88703689555761</v>
      </c>
      <c r="H508" s="13">
        <v>0.0591553632950677</v>
      </c>
      <c r="I508" s="13">
        <v>87866.0</v>
      </c>
      <c r="J508" s="31" t="s">
        <v>1796</v>
      </c>
      <c r="K508" s="31" t="s">
        <v>1793</v>
      </c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13" t="s">
        <v>617</v>
      </c>
      <c r="B509" s="13" t="s">
        <v>411</v>
      </c>
      <c r="C509" s="13" t="s">
        <v>1797</v>
      </c>
      <c r="D509" s="13" t="s">
        <v>1474</v>
      </c>
      <c r="E509" s="13">
        <v>0.0656783132621835</v>
      </c>
      <c r="F509" s="13">
        <v>0.01733933052463</v>
      </c>
      <c r="G509" s="13">
        <v>3.78782290174868</v>
      </c>
      <c r="H509" s="63">
        <v>1.51973109198217E-4</v>
      </c>
      <c r="I509" s="13">
        <v>87899.0</v>
      </c>
      <c r="J509" s="31" t="s">
        <v>1796</v>
      </c>
      <c r="K509" s="31" t="s">
        <v>1793</v>
      </c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13" t="s">
        <v>482</v>
      </c>
      <c r="B510" s="13" t="s">
        <v>411</v>
      </c>
      <c r="C510" s="13" t="s">
        <v>570</v>
      </c>
      <c r="D510" s="13" t="s">
        <v>1474</v>
      </c>
      <c r="E510" s="13">
        <v>-0.0245862483349637</v>
      </c>
      <c r="F510" s="13">
        <v>0.0152981216303451</v>
      </c>
      <c r="G510" s="13">
        <v>-1.60714164320637</v>
      </c>
      <c r="H510" s="13">
        <v>0.108023300006794</v>
      </c>
      <c r="I510" s="13">
        <v>119560.0</v>
      </c>
      <c r="J510" s="31" t="s">
        <v>1796</v>
      </c>
      <c r="K510" s="31" t="s">
        <v>1793</v>
      </c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13" t="s">
        <v>482</v>
      </c>
      <c r="B511" s="13" t="s">
        <v>411</v>
      </c>
      <c r="C511" s="13" t="s">
        <v>42</v>
      </c>
      <c r="D511" s="13" t="s">
        <v>1474</v>
      </c>
      <c r="E511" s="13">
        <v>0.00269488451638305</v>
      </c>
      <c r="F511" s="13">
        <v>0.00473839499012349</v>
      </c>
      <c r="G511" s="13">
        <v>0.568733615918503</v>
      </c>
      <c r="H511" s="13">
        <v>0.569536931203451</v>
      </c>
      <c r="I511" s="13">
        <v>1840444.0</v>
      </c>
      <c r="J511" s="31" t="s">
        <v>1796</v>
      </c>
      <c r="K511" s="31" t="s">
        <v>1793</v>
      </c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13" t="s">
        <v>482</v>
      </c>
      <c r="B512" s="13" t="s">
        <v>411</v>
      </c>
      <c r="C512" s="13" t="s">
        <v>55</v>
      </c>
      <c r="D512" s="13" t="s">
        <v>1474</v>
      </c>
      <c r="E512" s="13">
        <v>0.0127854080800693</v>
      </c>
      <c r="F512" s="13">
        <v>0.00527127604646353</v>
      </c>
      <c r="G512" s="13">
        <v>2.42548634664029</v>
      </c>
      <c r="H512" s="13">
        <v>0.0152878907886316</v>
      </c>
      <c r="I512" s="13">
        <v>1839716.0</v>
      </c>
      <c r="J512" s="31" t="s">
        <v>1796</v>
      </c>
      <c r="K512" s="31" t="s">
        <v>1793</v>
      </c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13" t="s">
        <v>482</v>
      </c>
      <c r="B513" s="13" t="s">
        <v>411</v>
      </c>
      <c r="C513" s="13" t="s">
        <v>1797</v>
      </c>
      <c r="D513" s="13" t="s">
        <v>1474</v>
      </c>
      <c r="E513" s="63">
        <v>-6.3230304109661E-4</v>
      </c>
      <c r="F513" s="13">
        <v>0.00475376085560252</v>
      </c>
      <c r="G513" s="13">
        <v>-0.133011116945736</v>
      </c>
      <c r="H513" s="13">
        <v>0.894184588572141</v>
      </c>
      <c r="I513" s="13">
        <v>1840372.0</v>
      </c>
      <c r="J513" s="31" t="s">
        <v>1796</v>
      </c>
      <c r="K513" s="31" t="s">
        <v>1793</v>
      </c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13" t="s">
        <v>470</v>
      </c>
      <c r="B514" s="13" t="s">
        <v>411</v>
      </c>
      <c r="C514" s="13" t="s">
        <v>570</v>
      </c>
      <c r="D514" s="13" t="s">
        <v>1474</v>
      </c>
      <c r="E514" s="13">
        <v>-0.157290047367485</v>
      </c>
      <c r="F514" s="13">
        <v>0.0195567975994125</v>
      </c>
      <c r="G514" s="13">
        <v>-8.04273023576261</v>
      </c>
      <c r="H514" s="63">
        <v>8.78586019281947E-16</v>
      </c>
      <c r="I514" s="13">
        <v>82613.0</v>
      </c>
      <c r="J514" s="31" t="s">
        <v>1796</v>
      </c>
      <c r="K514" s="31" t="s">
        <v>1793</v>
      </c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13" t="s">
        <v>470</v>
      </c>
      <c r="B515" s="13" t="s">
        <v>411</v>
      </c>
      <c r="C515" s="13" t="s">
        <v>42</v>
      </c>
      <c r="D515" s="13" t="s">
        <v>1474</v>
      </c>
      <c r="E515" s="13">
        <v>-0.118091602082229</v>
      </c>
      <c r="F515" s="13">
        <v>0.0120039602820604</v>
      </c>
      <c r="G515" s="13">
        <v>-9.83772016129658</v>
      </c>
      <c r="H515" s="63">
        <v>7.74458891406589E-23</v>
      </c>
      <c r="I515" s="13">
        <v>1234350.0</v>
      </c>
      <c r="J515" s="31" t="s">
        <v>1796</v>
      </c>
      <c r="K515" s="31" t="s">
        <v>1793</v>
      </c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13" t="s">
        <v>470</v>
      </c>
      <c r="B516" s="13" t="s">
        <v>411</v>
      </c>
      <c r="C516" s="13" t="s">
        <v>55</v>
      </c>
      <c r="D516" s="13" t="s">
        <v>1474</v>
      </c>
      <c r="E516" s="13">
        <v>-0.106680405606547</v>
      </c>
      <c r="F516" s="13">
        <v>0.0121705620026193</v>
      </c>
      <c r="G516" s="13">
        <v>-8.76544613006265</v>
      </c>
      <c r="H516" s="63">
        <v>1.86038472427572E-18</v>
      </c>
      <c r="I516" s="13">
        <v>1233889.0</v>
      </c>
      <c r="J516" s="31" t="s">
        <v>1796</v>
      </c>
      <c r="K516" s="31" t="s">
        <v>1793</v>
      </c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13" t="s">
        <v>470</v>
      </c>
      <c r="B517" s="13" t="s">
        <v>411</v>
      </c>
      <c r="C517" s="13" t="s">
        <v>1797</v>
      </c>
      <c r="D517" s="13" t="s">
        <v>1474</v>
      </c>
      <c r="E517" s="13">
        <v>0.0719667092047448</v>
      </c>
      <c r="F517" s="13">
        <v>0.0096498001709127</v>
      </c>
      <c r="G517" s="13">
        <v>7.45784450766902</v>
      </c>
      <c r="H517" s="63">
        <v>8.79493724708571E-14</v>
      </c>
      <c r="I517" s="13">
        <v>1234290.0</v>
      </c>
      <c r="J517" s="31" t="s">
        <v>1796</v>
      </c>
      <c r="K517" s="31" t="s">
        <v>1793</v>
      </c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13" t="s">
        <v>598</v>
      </c>
      <c r="B518" s="13" t="s">
        <v>411</v>
      </c>
      <c r="C518" s="13" t="s">
        <v>570</v>
      </c>
      <c r="D518" s="13" t="s">
        <v>1474</v>
      </c>
      <c r="E518" s="13">
        <v>-0.0317253976838004</v>
      </c>
      <c r="F518" s="13">
        <v>0.0564406939663501</v>
      </c>
      <c r="G518" s="13">
        <v>-0.562101481294951</v>
      </c>
      <c r="H518" s="13">
        <v>0.574046879165645</v>
      </c>
      <c r="I518" s="13">
        <v>6256.0</v>
      </c>
      <c r="J518" s="31" t="s">
        <v>1796</v>
      </c>
      <c r="K518" s="31" t="s">
        <v>1793</v>
      </c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13" t="s">
        <v>598</v>
      </c>
      <c r="B519" s="13" t="s">
        <v>411</v>
      </c>
      <c r="C519" s="13" t="s">
        <v>42</v>
      </c>
      <c r="D519" s="13" t="s">
        <v>1474</v>
      </c>
      <c r="E519" s="13">
        <v>-0.0500040685750461</v>
      </c>
      <c r="F519" s="13">
        <v>0.0143260648044852</v>
      </c>
      <c r="G519" s="13">
        <v>-3.49042596536283</v>
      </c>
      <c r="H519" s="63">
        <v>4.822512104367E-4</v>
      </c>
      <c r="I519" s="13">
        <v>91413.0</v>
      </c>
      <c r="J519" s="31" t="s">
        <v>1796</v>
      </c>
      <c r="K519" s="31" t="s">
        <v>1793</v>
      </c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13" t="s">
        <v>598</v>
      </c>
      <c r="B520" s="13" t="s">
        <v>411</v>
      </c>
      <c r="C520" s="13" t="s">
        <v>55</v>
      </c>
      <c r="D520" s="13" t="s">
        <v>1474</v>
      </c>
      <c r="E520" s="13">
        <v>-0.0569795595444172</v>
      </c>
      <c r="F520" s="13">
        <v>0.0168731011062703</v>
      </c>
      <c r="G520" s="13">
        <v>-3.37694648929962</v>
      </c>
      <c r="H520" s="63">
        <v>7.32953076513898E-4</v>
      </c>
      <c r="I520" s="13">
        <v>91394.0</v>
      </c>
      <c r="J520" s="31" t="s">
        <v>1796</v>
      </c>
      <c r="K520" s="31" t="s">
        <v>1793</v>
      </c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13" t="s">
        <v>598</v>
      </c>
      <c r="B521" s="13" t="s">
        <v>411</v>
      </c>
      <c r="C521" s="13" t="s">
        <v>1797</v>
      </c>
      <c r="D521" s="13" t="s">
        <v>1474</v>
      </c>
      <c r="E521" s="13">
        <v>0.0630341107554331</v>
      </c>
      <c r="F521" s="13">
        <v>0.0162237922771642</v>
      </c>
      <c r="G521" s="13">
        <v>3.88528832707976</v>
      </c>
      <c r="H521" s="63">
        <v>1.0220851313786E-4</v>
      </c>
      <c r="I521" s="13">
        <v>91412.0</v>
      </c>
      <c r="J521" s="31" t="s">
        <v>1796</v>
      </c>
      <c r="K521" s="31" t="s">
        <v>1793</v>
      </c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13" t="s">
        <v>1039</v>
      </c>
      <c r="B522" s="13" t="s">
        <v>411</v>
      </c>
      <c r="C522" s="13" t="s">
        <v>570</v>
      </c>
      <c r="D522" s="13" t="s">
        <v>1474</v>
      </c>
      <c r="E522" s="13">
        <v>-0.059662813979953</v>
      </c>
      <c r="F522" s="13">
        <v>0.0125044666502036</v>
      </c>
      <c r="G522" s="13">
        <v>-4.77132017293845</v>
      </c>
      <c r="H522" s="63">
        <v>1.83022340250069E-6</v>
      </c>
      <c r="I522" s="13">
        <v>168820.0</v>
      </c>
      <c r="J522" s="31" t="s">
        <v>1796</v>
      </c>
      <c r="K522" s="31" t="s">
        <v>1793</v>
      </c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13" t="s">
        <v>1039</v>
      </c>
      <c r="B523" s="13" t="s">
        <v>411</v>
      </c>
      <c r="C523" s="13" t="s">
        <v>42</v>
      </c>
      <c r="D523" s="13" t="s">
        <v>1474</v>
      </c>
      <c r="E523" s="13">
        <v>0.036165905474812</v>
      </c>
      <c r="F523" s="13">
        <v>0.00428587175303321</v>
      </c>
      <c r="G523" s="13">
        <v>8.43840123055867</v>
      </c>
      <c r="H523" s="63">
        <v>3.2170764366638E-17</v>
      </c>
      <c r="I523" s="13">
        <v>2818277.0</v>
      </c>
      <c r="J523" s="31" t="s">
        <v>1796</v>
      </c>
      <c r="K523" s="31" t="s">
        <v>1793</v>
      </c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13" t="s">
        <v>1039</v>
      </c>
      <c r="B524" s="13" t="s">
        <v>411</v>
      </c>
      <c r="C524" s="13" t="s">
        <v>55</v>
      </c>
      <c r="D524" s="13" t="s">
        <v>1474</v>
      </c>
      <c r="E524" s="13">
        <v>-0.053573533861915</v>
      </c>
      <c r="F524" s="13">
        <v>0.00480977153066721</v>
      </c>
      <c r="G524" s="13">
        <v>-11.1384778924173</v>
      </c>
      <c r="H524" s="63">
        <v>8.15003266210869E-29</v>
      </c>
      <c r="I524" s="13">
        <v>2812244.0</v>
      </c>
      <c r="J524" s="31" t="s">
        <v>1796</v>
      </c>
      <c r="K524" s="31" t="s">
        <v>1793</v>
      </c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13" t="s">
        <v>1039</v>
      </c>
      <c r="B525" s="13" t="s">
        <v>411</v>
      </c>
      <c r="C525" s="13" t="s">
        <v>1797</v>
      </c>
      <c r="D525" s="13" t="s">
        <v>1474</v>
      </c>
      <c r="E525" s="13">
        <v>-0.0426906047198232</v>
      </c>
      <c r="F525" s="13">
        <v>0.00454624419175018</v>
      </c>
      <c r="G525" s="13">
        <v>-9.39030173462558</v>
      </c>
      <c r="H525" s="63">
        <v>5.98286157715107E-21</v>
      </c>
      <c r="I525" s="13">
        <v>2819081.0</v>
      </c>
      <c r="J525" s="31" t="s">
        <v>1796</v>
      </c>
      <c r="K525" s="31" t="s">
        <v>1793</v>
      </c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13" t="s">
        <v>1042</v>
      </c>
      <c r="B526" s="13" t="s">
        <v>411</v>
      </c>
      <c r="C526" s="13" t="s">
        <v>570</v>
      </c>
      <c r="D526" s="13" t="s">
        <v>1474</v>
      </c>
      <c r="E526" s="13">
        <v>-0.065574821781069</v>
      </c>
      <c r="F526" s="13">
        <v>0.0128427694378282</v>
      </c>
      <c r="G526" s="13">
        <v>-5.10597204898182</v>
      </c>
      <c r="H526" s="63">
        <v>3.29098337524648E-7</v>
      </c>
      <c r="I526" s="13">
        <v>168850.0</v>
      </c>
      <c r="J526" s="31" t="s">
        <v>1796</v>
      </c>
      <c r="K526" s="31" t="s">
        <v>1793</v>
      </c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13" t="s">
        <v>1042</v>
      </c>
      <c r="B527" s="13" t="s">
        <v>411</v>
      </c>
      <c r="C527" s="13" t="s">
        <v>42</v>
      </c>
      <c r="D527" s="13" t="s">
        <v>1474</v>
      </c>
      <c r="E527" s="13">
        <v>0.0315166974103522</v>
      </c>
      <c r="F527" s="13">
        <v>0.00475952664309077</v>
      </c>
      <c r="G527" s="13">
        <v>6.62181342258138</v>
      </c>
      <c r="H527" s="63">
        <v>3.5481873811549E-11</v>
      </c>
      <c r="I527" s="13">
        <v>2818832.0</v>
      </c>
      <c r="J527" s="31" t="s">
        <v>1796</v>
      </c>
      <c r="K527" s="31" t="s">
        <v>1793</v>
      </c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13" t="s">
        <v>1042</v>
      </c>
      <c r="B528" s="13" t="s">
        <v>411</v>
      </c>
      <c r="C528" s="13" t="s">
        <v>55</v>
      </c>
      <c r="D528" s="13" t="s">
        <v>1474</v>
      </c>
      <c r="E528" s="13">
        <v>-0.0515444757498994</v>
      </c>
      <c r="F528" s="13">
        <v>0.00520733046869565</v>
      </c>
      <c r="G528" s="13">
        <v>-9.8984452897245</v>
      </c>
      <c r="H528" s="63">
        <v>4.22796353310781E-23</v>
      </c>
      <c r="I528" s="13">
        <v>2812806.0</v>
      </c>
      <c r="J528" s="31" t="s">
        <v>1796</v>
      </c>
      <c r="K528" s="31" t="s">
        <v>1793</v>
      </c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13" t="s">
        <v>1042</v>
      </c>
      <c r="B529" s="13" t="s">
        <v>411</v>
      </c>
      <c r="C529" s="13" t="s">
        <v>1797</v>
      </c>
      <c r="D529" s="13" t="s">
        <v>1474</v>
      </c>
      <c r="E529" s="13">
        <v>-0.0428846037750711</v>
      </c>
      <c r="F529" s="13">
        <v>0.00459151410357919</v>
      </c>
      <c r="G529" s="13">
        <v>-9.33996995493089</v>
      </c>
      <c r="H529" s="63">
        <v>9.6361458528431E-21</v>
      </c>
      <c r="I529" s="13">
        <v>2819636.0</v>
      </c>
      <c r="J529" s="31" t="s">
        <v>1796</v>
      </c>
      <c r="K529" s="31" t="s">
        <v>1793</v>
      </c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13" t="s">
        <v>1044</v>
      </c>
      <c r="B530" s="13" t="s">
        <v>411</v>
      </c>
      <c r="C530" s="13" t="s">
        <v>570</v>
      </c>
      <c r="D530" s="13" t="s">
        <v>1474</v>
      </c>
      <c r="E530" s="13">
        <v>-0.0694217273615016</v>
      </c>
      <c r="F530" s="13">
        <v>0.012753309026024</v>
      </c>
      <c r="G530" s="13">
        <v>-5.44342862074787</v>
      </c>
      <c r="H530" s="63">
        <v>5.2264682345151E-8</v>
      </c>
      <c r="I530" s="13">
        <v>168856.0</v>
      </c>
      <c r="J530" s="31" t="s">
        <v>1796</v>
      </c>
      <c r="K530" s="31" t="s">
        <v>1793</v>
      </c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13" t="s">
        <v>1044</v>
      </c>
      <c r="B531" s="13" t="s">
        <v>411</v>
      </c>
      <c r="C531" s="13" t="s">
        <v>42</v>
      </c>
      <c r="D531" s="13" t="s">
        <v>1474</v>
      </c>
      <c r="E531" s="13">
        <v>0.0279859857396</v>
      </c>
      <c r="F531" s="13">
        <v>0.00447645447527055</v>
      </c>
      <c r="G531" s="13">
        <v>6.2518195804747</v>
      </c>
      <c r="H531" s="63">
        <v>4.05697911357489E-10</v>
      </c>
      <c r="I531" s="13">
        <v>2819093.0</v>
      </c>
      <c r="J531" s="31" t="s">
        <v>1796</v>
      </c>
      <c r="K531" s="31" t="s">
        <v>1793</v>
      </c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13" t="s">
        <v>1044</v>
      </c>
      <c r="B532" s="13" t="s">
        <v>411</v>
      </c>
      <c r="C532" s="13" t="s">
        <v>55</v>
      </c>
      <c r="D532" s="13" t="s">
        <v>1474</v>
      </c>
      <c r="E532" s="13">
        <v>-0.0662266792964675</v>
      </c>
      <c r="F532" s="13">
        <v>0.00507963809566142</v>
      </c>
      <c r="G532" s="13">
        <v>-13.0376767102822</v>
      </c>
      <c r="H532" s="63">
        <v>7.46987303718223E-39</v>
      </c>
      <c r="I532" s="13">
        <v>2813065.0</v>
      </c>
      <c r="J532" s="31" t="s">
        <v>1796</v>
      </c>
      <c r="K532" s="31" t="s">
        <v>1793</v>
      </c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13" t="s">
        <v>1044</v>
      </c>
      <c r="B533" s="13" t="s">
        <v>411</v>
      </c>
      <c r="C533" s="13" t="s">
        <v>1797</v>
      </c>
      <c r="D533" s="13" t="s">
        <v>1474</v>
      </c>
      <c r="E533" s="13">
        <v>-0.0486626879078771</v>
      </c>
      <c r="F533" s="13">
        <v>0.00524235539518905</v>
      </c>
      <c r="G533" s="13">
        <v>-9.28259994592033</v>
      </c>
      <c r="H533" s="63">
        <v>1.65392528512388E-20</v>
      </c>
      <c r="I533" s="13">
        <v>2819893.0</v>
      </c>
      <c r="J533" s="31" t="s">
        <v>1796</v>
      </c>
      <c r="K533" s="31" t="s">
        <v>1793</v>
      </c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13" t="s">
        <v>1046</v>
      </c>
      <c r="B534" s="13" t="s">
        <v>411</v>
      </c>
      <c r="C534" s="13" t="s">
        <v>570</v>
      </c>
      <c r="D534" s="13" t="s">
        <v>1474</v>
      </c>
      <c r="E534" s="13">
        <v>-0.065531615008641</v>
      </c>
      <c r="F534" s="13">
        <v>0.0126871198856329</v>
      </c>
      <c r="G534" s="13">
        <v>-5.16520814805651</v>
      </c>
      <c r="H534" s="63">
        <v>2.4017150325986E-7</v>
      </c>
      <c r="I534" s="13">
        <v>168849.0</v>
      </c>
      <c r="J534" s="31" t="s">
        <v>1796</v>
      </c>
      <c r="K534" s="31" t="s">
        <v>1793</v>
      </c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13" t="s">
        <v>1046</v>
      </c>
      <c r="B535" s="13" t="s">
        <v>411</v>
      </c>
      <c r="C535" s="13" t="s">
        <v>42</v>
      </c>
      <c r="D535" s="13" t="s">
        <v>1474</v>
      </c>
      <c r="E535" s="13">
        <v>0.0308471060540576</v>
      </c>
      <c r="F535" s="13">
        <v>0.00452805925171085</v>
      </c>
      <c r="G535" s="13">
        <v>6.81243427687095</v>
      </c>
      <c r="H535" s="63">
        <v>9.59609010858935E-12</v>
      </c>
      <c r="I535" s="13">
        <v>2819071.0</v>
      </c>
      <c r="J535" s="31" t="s">
        <v>1796</v>
      </c>
      <c r="K535" s="31" t="s">
        <v>1793</v>
      </c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13" t="s">
        <v>1046</v>
      </c>
      <c r="B536" s="13" t="s">
        <v>411</v>
      </c>
      <c r="C536" s="13" t="s">
        <v>55</v>
      </c>
      <c r="D536" s="13" t="s">
        <v>1474</v>
      </c>
      <c r="E536" s="13">
        <v>-0.0643164791507921</v>
      </c>
      <c r="F536" s="13">
        <v>0.00488878549365265</v>
      </c>
      <c r="G536" s="13">
        <v>-13.1559216975867</v>
      </c>
      <c r="H536" s="63">
        <v>1.57352901735739E-39</v>
      </c>
      <c r="I536" s="13">
        <v>2813034.0</v>
      </c>
      <c r="J536" s="31" t="s">
        <v>1796</v>
      </c>
      <c r="K536" s="31" t="s">
        <v>1793</v>
      </c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13" t="s">
        <v>1046</v>
      </c>
      <c r="B537" s="13" t="s">
        <v>411</v>
      </c>
      <c r="C537" s="13" t="s">
        <v>1797</v>
      </c>
      <c r="D537" s="13" t="s">
        <v>1474</v>
      </c>
      <c r="E537" s="13">
        <v>-0.0502595533863307</v>
      </c>
      <c r="F537" s="13">
        <v>0.00478145348102753</v>
      </c>
      <c r="G537" s="13">
        <v>-10.5113546719124</v>
      </c>
      <c r="H537" s="63">
        <v>7.65854454024065E-26</v>
      </c>
      <c r="I537" s="13">
        <v>2819872.0</v>
      </c>
      <c r="J537" s="31" t="s">
        <v>1796</v>
      </c>
      <c r="K537" s="31" t="s">
        <v>1793</v>
      </c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13" t="s">
        <v>1048</v>
      </c>
      <c r="B538" s="13" t="s">
        <v>411</v>
      </c>
      <c r="C538" s="13" t="s">
        <v>570</v>
      </c>
      <c r="D538" s="13" t="s">
        <v>1474</v>
      </c>
      <c r="E538" s="13">
        <v>-0.0635129501418507</v>
      </c>
      <c r="F538" s="13">
        <v>0.0132818460925431</v>
      </c>
      <c r="G538" s="13">
        <v>-4.78193691594639</v>
      </c>
      <c r="H538" s="63">
        <v>1.73614167746166E-6</v>
      </c>
      <c r="I538" s="13">
        <v>168847.0</v>
      </c>
      <c r="J538" s="31" t="s">
        <v>1796</v>
      </c>
      <c r="K538" s="31" t="s">
        <v>1793</v>
      </c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13" t="s">
        <v>1048</v>
      </c>
      <c r="B539" s="13" t="s">
        <v>411</v>
      </c>
      <c r="C539" s="13" t="s">
        <v>42</v>
      </c>
      <c r="D539" s="13" t="s">
        <v>1474</v>
      </c>
      <c r="E539" s="13">
        <v>0.0242979636117744</v>
      </c>
      <c r="F539" s="13">
        <v>0.00461854747057981</v>
      </c>
      <c r="G539" s="13">
        <v>5.26095352847462</v>
      </c>
      <c r="H539" s="63">
        <v>1.43310254547965E-7</v>
      </c>
      <c r="I539" s="13">
        <v>2819066.0</v>
      </c>
      <c r="J539" s="31" t="s">
        <v>1796</v>
      </c>
      <c r="K539" s="31" t="s">
        <v>1793</v>
      </c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13" t="s">
        <v>1048</v>
      </c>
      <c r="B540" s="13" t="s">
        <v>411</v>
      </c>
      <c r="C540" s="13" t="s">
        <v>55</v>
      </c>
      <c r="D540" s="13" t="s">
        <v>1474</v>
      </c>
      <c r="E540" s="13">
        <v>-0.0622677796559493</v>
      </c>
      <c r="F540" s="13">
        <v>0.00520913010735419</v>
      </c>
      <c r="G540" s="13">
        <v>-11.9535850271891</v>
      </c>
      <c r="H540" s="63">
        <v>6.21837064826544E-33</v>
      </c>
      <c r="I540" s="13">
        <v>2813024.0</v>
      </c>
      <c r="J540" s="31" t="s">
        <v>1796</v>
      </c>
      <c r="K540" s="31" t="s">
        <v>1793</v>
      </c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13" t="s">
        <v>1048</v>
      </c>
      <c r="B541" s="13" t="s">
        <v>411</v>
      </c>
      <c r="C541" s="13" t="s">
        <v>1797</v>
      </c>
      <c r="D541" s="13" t="s">
        <v>1474</v>
      </c>
      <c r="E541" s="13">
        <v>-0.0464972510960882</v>
      </c>
      <c r="F541" s="13">
        <v>0.00481367289688531</v>
      </c>
      <c r="G541" s="13">
        <v>-9.65941228083326</v>
      </c>
      <c r="H541" s="63">
        <v>4.48429145608417E-22</v>
      </c>
      <c r="I541" s="13">
        <v>2819868.0</v>
      </c>
      <c r="J541" s="31" t="s">
        <v>1796</v>
      </c>
      <c r="K541" s="31" t="s">
        <v>1793</v>
      </c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13" t="s">
        <v>1050</v>
      </c>
      <c r="B542" s="13" t="s">
        <v>411</v>
      </c>
      <c r="C542" s="13" t="s">
        <v>570</v>
      </c>
      <c r="D542" s="13" t="s">
        <v>1474</v>
      </c>
      <c r="E542" s="13">
        <v>-0.0619545829740224</v>
      </c>
      <c r="F542" s="13">
        <v>0.012442914001265</v>
      </c>
      <c r="G542" s="13">
        <v>-4.97910561527016</v>
      </c>
      <c r="H542" s="63">
        <v>6.38787787882899E-7</v>
      </c>
      <c r="I542" s="13">
        <v>168857.0</v>
      </c>
      <c r="J542" s="31" t="s">
        <v>1796</v>
      </c>
      <c r="K542" s="31" t="s">
        <v>1793</v>
      </c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13" t="s">
        <v>1050</v>
      </c>
      <c r="B543" s="13" t="s">
        <v>411</v>
      </c>
      <c r="C543" s="13" t="s">
        <v>42</v>
      </c>
      <c r="D543" s="13" t="s">
        <v>1474</v>
      </c>
      <c r="E543" s="13">
        <v>0.0293603139748017</v>
      </c>
      <c r="F543" s="13">
        <v>0.00481572610060257</v>
      </c>
      <c r="G543" s="13">
        <v>6.09675744871121</v>
      </c>
      <c r="H543" s="63">
        <v>1.08241564059777E-9</v>
      </c>
      <c r="I543" s="13">
        <v>2819396.0</v>
      </c>
      <c r="J543" s="31" t="s">
        <v>1796</v>
      </c>
      <c r="K543" s="31" t="s">
        <v>1793</v>
      </c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13" t="s">
        <v>1050</v>
      </c>
      <c r="B544" s="13" t="s">
        <v>411</v>
      </c>
      <c r="C544" s="13" t="s">
        <v>55</v>
      </c>
      <c r="D544" s="13" t="s">
        <v>1474</v>
      </c>
      <c r="E544" s="13">
        <v>-0.0597285802173305</v>
      </c>
      <c r="F544" s="13">
        <v>0.00521095302417151</v>
      </c>
      <c r="G544" s="13">
        <v>-11.4621221761688</v>
      </c>
      <c r="H544" s="63">
        <v>2.04443067499033E-30</v>
      </c>
      <c r="I544" s="13">
        <v>2813374.0</v>
      </c>
      <c r="J544" s="31" t="s">
        <v>1796</v>
      </c>
      <c r="K544" s="31" t="s">
        <v>1793</v>
      </c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13" t="s">
        <v>1050</v>
      </c>
      <c r="B545" s="13" t="s">
        <v>411</v>
      </c>
      <c r="C545" s="13" t="s">
        <v>1797</v>
      </c>
      <c r="D545" s="13" t="s">
        <v>1474</v>
      </c>
      <c r="E545" s="13">
        <v>-0.0512253071307995</v>
      </c>
      <c r="F545" s="13">
        <v>0.00476156285696043</v>
      </c>
      <c r="G545" s="13">
        <v>-10.7580869285215</v>
      </c>
      <c r="H545" s="63">
        <v>5.42853907099478E-27</v>
      </c>
      <c r="I545" s="13">
        <v>2820199.0</v>
      </c>
      <c r="J545" s="31" t="s">
        <v>1796</v>
      </c>
      <c r="K545" s="31" t="s">
        <v>1793</v>
      </c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13" t="s">
        <v>1052</v>
      </c>
      <c r="B546" s="13" t="s">
        <v>411</v>
      </c>
      <c r="C546" s="13" t="s">
        <v>570</v>
      </c>
      <c r="D546" s="13" t="s">
        <v>1474</v>
      </c>
      <c r="E546" s="13">
        <v>-0.0647055220325542</v>
      </c>
      <c r="F546" s="13">
        <v>0.0119156427886852</v>
      </c>
      <c r="G546" s="13">
        <v>-5.43030058722446</v>
      </c>
      <c r="H546" s="63">
        <v>5.62592119594715E-8</v>
      </c>
      <c r="I546" s="13">
        <v>168886.0</v>
      </c>
      <c r="J546" s="31" t="s">
        <v>1796</v>
      </c>
      <c r="K546" s="31" t="s">
        <v>1793</v>
      </c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13" t="s">
        <v>1052</v>
      </c>
      <c r="B547" s="13" t="s">
        <v>411</v>
      </c>
      <c r="C547" s="13" t="s">
        <v>42</v>
      </c>
      <c r="D547" s="13" t="s">
        <v>1474</v>
      </c>
      <c r="E547" s="13">
        <v>0.027848627450846</v>
      </c>
      <c r="F547" s="13">
        <v>0.00462783608387342</v>
      </c>
      <c r="G547" s="13">
        <v>6.01763479650671</v>
      </c>
      <c r="H547" s="63">
        <v>1.76983922752328E-9</v>
      </c>
      <c r="I547" s="13">
        <v>2819693.0</v>
      </c>
      <c r="J547" s="31" t="s">
        <v>1796</v>
      </c>
      <c r="K547" s="31" t="s">
        <v>1793</v>
      </c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13" t="s">
        <v>1052</v>
      </c>
      <c r="B548" s="13" t="s">
        <v>411</v>
      </c>
      <c r="C548" s="13" t="s">
        <v>55</v>
      </c>
      <c r="D548" s="13" t="s">
        <v>1474</v>
      </c>
      <c r="E548" s="13">
        <v>-0.0557439248047034</v>
      </c>
      <c r="F548" s="13">
        <v>0.00515935261354394</v>
      </c>
      <c r="G548" s="13">
        <v>-10.8044417546435</v>
      </c>
      <c r="H548" s="63">
        <v>3.27945687939066E-27</v>
      </c>
      <c r="I548" s="13">
        <v>2813659.0</v>
      </c>
      <c r="J548" s="31" t="s">
        <v>1796</v>
      </c>
      <c r="K548" s="31" t="s">
        <v>1793</v>
      </c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13" t="s">
        <v>1052</v>
      </c>
      <c r="B549" s="13" t="s">
        <v>411</v>
      </c>
      <c r="C549" s="13" t="s">
        <v>1797</v>
      </c>
      <c r="D549" s="13" t="s">
        <v>1474</v>
      </c>
      <c r="E549" s="13">
        <v>-0.0479563486455402</v>
      </c>
      <c r="F549" s="13">
        <v>0.00481975844657522</v>
      </c>
      <c r="G549" s="13">
        <v>-9.9499485663263</v>
      </c>
      <c r="H549" s="63">
        <v>2.52313583809958E-23</v>
      </c>
      <c r="I549" s="13">
        <v>2820495.0</v>
      </c>
      <c r="J549" s="31" t="s">
        <v>1796</v>
      </c>
      <c r="K549" s="31" t="s">
        <v>1793</v>
      </c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13" t="s">
        <v>1054</v>
      </c>
      <c r="B550" s="13" t="s">
        <v>411</v>
      </c>
      <c r="C550" s="13" t="s">
        <v>570</v>
      </c>
      <c r="D550" s="13" t="s">
        <v>1474</v>
      </c>
      <c r="E550" s="13">
        <v>-0.0590402782880742</v>
      </c>
      <c r="F550" s="13">
        <v>0.0128309706781035</v>
      </c>
      <c r="G550" s="13">
        <v>-4.60138829471635</v>
      </c>
      <c r="H550" s="63">
        <v>4.19684214767872E-6</v>
      </c>
      <c r="I550" s="13">
        <v>168861.0</v>
      </c>
      <c r="J550" s="31" t="s">
        <v>1796</v>
      </c>
      <c r="K550" s="31" t="s">
        <v>1793</v>
      </c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13" t="s">
        <v>1054</v>
      </c>
      <c r="B551" s="13" t="s">
        <v>411</v>
      </c>
      <c r="C551" s="13" t="s">
        <v>42</v>
      </c>
      <c r="D551" s="13" t="s">
        <v>1474</v>
      </c>
      <c r="E551" s="13">
        <v>0.0308026425942488</v>
      </c>
      <c r="F551" s="13">
        <v>0.0046323832705976</v>
      </c>
      <c r="G551" s="13">
        <v>6.64941581793492</v>
      </c>
      <c r="H551" s="63">
        <v>2.94258589228234E-11</v>
      </c>
      <c r="I551" s="13">
        <v>2819138.0</v>
      </c>
      <c r="J551" s="31" t="s">
        <v>1796</v>
      </c>
      <c r="K551" s="31" t="s">
        <v>1793</v>
      </c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13" t="s">
        <v>1054</v>
      </c>
      <c r="B552" s="13" t="s">
        <v>411</v>
      </c>
      <c r="C552" s="13" t="s">
        <v>55</v>
      </c>
      <c r="D552" s="13" t="s">
        <v>1474</v>
      </c>
      <c r="E552" s="13">
        <v>-0.0564806168891395</v>
      </c>
      <c r="F552" s="13">
        <v>0.00503692004405259</v>
      </c>
      <c r="G552" s="13">
        <v>-11.2133240939231</v>
      </c>
      <c r="H552" s="63">
        <v>3.50767789438772E-29</v>
      </c>
      <c r="I552" s="13">
        <v>2813104.0</v>
      </c>
      <c r="J552" s="31" t="s">
        <v>1796</v>
      </c>
      <c r="K552" s="31" t="s">
        <v>1793</v>
      </c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13" t="s">
        <v>1054</v>
      </c>
      <c r="B553" s="13" t="s">
        <v>411</v>
      </c>
      <c r="C553" s="13" t="s">
        <v>1797</v>
      </c>
      <c r="D553" s="13" t="s">
        <v>1474</v>
      </c>
      <c r="E553" s="13">
        <v>-0.0422551034518607</v>
      </c>
      <c r="F553" s="13">
        <v>0.00486940361692594</v>
      </c>
      <c r="G553" s="13">
        <v>-8.6776752916893</v>
      </c>
      <c r="H553" s="63">
        <v>4.03940344646686E-18</v>
      </c>
      <c r="I553" s="13">
        <v>2819939.0</v>
      </c>
      <c r="J553" s="31" t="s">
        <v>1796</v>
      </c>
      <c r="K553" s="31" t="s">
        <v>1793</v>
      </c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13" t="s">
        <v>1056</v>
      </c>
      <c r="B554" s="13" t="s">
        <v>411</v>
      </c>
      <c r="C554" s="13" t="s">
        <v>570</v>
      </c>
      <c r="D554" s="13" t="s">
        <v>1474</v>
      </c>
      <c r="E554" s="13">
        <v>-0.0531110883994879</v>
      </c>
      <c r="F554" s="13">
        <v>0.0126210397649421</v>
      </c>
      <c r="G554" s="13">
        <v>-4.20813890049028</v>
      </c>
      <c r="H554" s="63">
        <v>2.5748258414473E-5</v>
      </c>
      <c r="I554" s="13">
        <v>168866.0</v>
      </c>
      <c r="J554" s="31" t="s">
        <v>1796</v>
      </c>
      <c r="K554" s="31" t="s">
        <v>1793</v>
      </c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13" t="s">
        <v>1056</v>
      </c>
      <c r="B555" s="13" t="s">
        <v>411</v>
      </c>
      <c r="C555" s="13" t="s">
        <v>42</v>
      </c>
      <c r="D555" s="13" t="s">
        <v>1474</v>
      </c>
      <c r="E555" s="13">
        <v>0.0293812687926264</v>
      </c>
      <c r="F555" s="13">
        <v>0.00483553465348067</v>
      </c>
      <c r="G555" s="13">
        <v>6.07611585855918</v>
      </c>
      <c r="H555" s="63">
        <v>1.23128463779609E-9</v>
      </c>
      <c r="I555" s="13">
        <v>2819248.0</v>
      </c>
      <c r="J555" s="31" t="s">
        <v>1796</v>
      </c>
      <c r="K555" s="31" t="s">
        <v>1793</v>
      </c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13" t="s">
        <v>1056</v>
      </c>
      <c r="B556" s="13" t="s">
        <v>411</v>
      </c>
      <c r="C556" s="13" t="s">
        <v>55</v>
      </c>
      <c r="D556" s="13" t="s">
        <v>1474</v>
      </c>
      <c r="E556" s="13">
        <v>-0.0621156367197238</v>
      </c>
      <c r="F556" s="13">
        <v>0.00533840354689293</v>
      </c>
      <c r="G556" s="13">
        <v>-11.6356203074749</v>
      </c>
      <c r="H556" s="63">
        <v>2.71608340920941E-31</v>
      </c>
      <c r="I556" s="13">
        <v>2813212.0</v>
      </c>
      <c r="J556" s="31" t="s">
        <v>1796</v>
      </c>
      <c r="K556" s="31" t="s">
        <v>1793</v>
      </c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13" t="s">
        <v>1056</v>
      </c>
      <c r="B557" s="13" t="s">
        <v>411</v>
      </c>
      <c r="C557" s="13" t="s">
        <v>1797</v>
      </c>
      <c r="D557" s="13" t="s">
        <v>1474</v>
      </c>
      <c r="E557" s="13">
        <v>-0.0481660579244213</v>
      </c>
      <c r="F557" s="13">
        <v>0.00525035289417712</v>
      </c>
      <c r="G557" s="13">
        <v>-9.17387057503118</v>
      </c>
      <c r="H557" s="63">
        <v>4.56332841746855E-20</v>
      </c>
      <c r="I557" s="13">
        <v>2820052.0</v>
      </c>
      <c r="J557" s="31" t="s">
        <v>1796</v>
      </c>
      <c r="K557" s="31" t="s">
        <v>1793</v>
      </c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13" t="s">
        <v>1058</v>
      </c>
      <c r="B558" s="13" t="s">
        <v>411</v>
      </c>
      <c r="C558" s="13" t="s">
        <v>570</v>
      </c>
      <c r="D558" s="13" t="s">
        <v>1474</v>
      </c>
      <c r="E558" s="13">
        <v>-0.062927713013025</v>
      </c>
      <c r="F558" s="13">
        <v>0.0129121460918784</v>
      </c>
      <c r="G558" s="13">
        <v>-4.87352858039652</v>
      </c>
      <c r="H558" s="63">
        <v>1.09622400208028E-6</v>
      </c>
      <c r="I558" s="13">
        <v>168824.0</v>
      </c>
      <c r="J558" s="31" t="s">
        <v>1796</v>
      </c>
      <c r="K558" s="31" t="s">
        <v>1793</v>
      </c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13" t="s">
        <v>1058</v>
      </c>
      <c r="B559" s="13" t="s">
        <v>411</v>
      </c>
      <c r="C559" s="13" t="s">
        <v>42</v>
      </c>
      <c r="D559" s="13" t="s">
        <v>1474</v>
      </c>
      <c r="E559" s="13">
        <v>0.0337192672227732</v>
      </c>
      <c r="F559" s="13">
        <v>0.00468757642963341</v>
      </c>
      <c r="G559" s="13">
        <v>7.19332638708789</v>
      </c>
      <c r="H559" s="63">
        <v>6.32315417845819E-13</v>
      </c>
      <c r="I559" s="13">
        <v>2818341.0</v>
      </c>
      <c r="J559" s="31" t="s">
        <v>1796</v>
      </c>
      <c r="K559" s="31" t="s">
        <v>1793</v>
      </c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13" t="s">
        <v>1058</v>
      </c>
      <c r="B560" s="13" t="s">
        <v>411</v>
      </c>
      <c r="C560" s="13" t="s">
        <v>55</v>
      </c>
      <c r="D560" s="13" t="s">
        <v>1474</v>
      </c>
      <c r="E560" s="13">
        <v>-0.0518139138816443</v>
      </c>
      <c r="F560" s="13">
        <v>0.00526841127980119</v>
      </c>
      <c r="G560" s="13">
        <v>-9.83482707211869</v>
      </c>
      <c r="H560" s="63">
        <v>7.97044199398058E-23</v>
      </c>
      <c r="I560" s="13">
        <v>2812308.0</v>
      </c>
      <c r="J560" s="31" t="s">
        <v>1796</v>
      </c>
      <c r="K560" s="31" t="s">
        <v>1793</v>
      </c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13" t="s">
        <v>1058</v>
      </c>
      <c r="B561" s="13" t="s">
        <v>411</v>
      </c>
      <c r="C561" s="13" t="s">
        <v>1797</v>
      </c>
      <c r="D561" s="13" t="s">
        <v>1474</v>
      </c>
      <c r="E561" s="13">
        <v>-0.0480891768375123</v>
      </c>
      <c r="F561" s="13">
        <v>0.00487923549768425</v>
      </c>
      <c r="G561" s="13">
        <v>-9.85588354166057</v>
      </c>
      <c r="H561" s="63">
        <v>6.46455910936772E-23</v>
      </c>
      <c r="I561" s="13">
        <v>2819146.0</v>
      </c>
      <c r="J561" s="31" t="s">
        <v>1796</v>
      </c>
      <c r="K561" s="31" t="s">
        <v>1793</v>
      </c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13" t="s">
        <v>1060</v>
      </c>
      <c r="B562" s="13" t="s">
        <v>411</v>
      </c>
      <c r="C562" s="13" t="s">
        <v>570</v>
      </c>
      <c r="D562" s="13" t="s">
        <v>1474</v>
      </c>
      <c r="E562" s="13">
        <v>-0.038617231234862</v>
      </c>
      <c r="F562" s="13">
        <v>0.0126361141659206</v>
      </c>
      <c r="G562" s="13">
        <v>-3.05610021623672</v>
      </c>
      <c r="H562" s="13">
        <v>0.0022423629342866</v>
      </c>
      <c r="I562" s="13">
        <v>168881.0</v>
      </c>
      <c r="J562" s="31" t="s">
        <v>1796</v>
      </c>
      <c r="K562" s="31" t="s">
        <v>1793</v>
      </c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13" t="s">
        <v>1060</v>
      </c>
      <c r="B563" s="13" t="s">
        <v>411</v>
      </c>
      <c r="C563" s="13" t="s">
        <v>42</v>
      </c>
      <c r="D563" s="13" t="s">
        <v>1474</v>
      </c>
      <c r="E563" s="13">
        <v>0.0350204330527531</v>
      </c>
      <c r="F563" s="13">
        <v>0.00460276073294597</v>
      </c>
      <c r="G563" s="13">
        <v>7.60857126508475</v>
      </c>
      <c r="H563" s="63">
        <v>2.77142428032854E-14</v>
      </c>
      <c r="I563" s="13">
        <v>2819479.0</v>
      </c>
      <c r="J563" s="31" t="s">
        <v>1796</v>
      </c>
      <c r="K563" s="31" t="s">
        <v>1793</v>
      </c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13" t="s">
        <v>1060</v>
      </c>
      <c r="B564" s="13" t="s">
        <v>411</v>
      </c>
      <c r="C564" s="13" t="s">
        <v>55</v>
      </c>
      <c r="D564" s="13" t="s">
        <v>1474</v>
      </c>
      <c r="E564" s="13">
        <v>-0.0377640732854889</v>
      </c>
      <c r="F564" s="13">
        <v>0.00507723195344292</v>
      </c>
      <c r="G564" s="13">
        <v>-7.43792555309211</v>
      </c>
      <c r="H564" s="63">
        <v>1.0227866895924E-13</v>
      </c>
      <c r="I564" s="13">
        <v>2813444.0</v>
      </c>
      <c r="J564" s="31" t="s">
        <v>1796</v>
      </c>
      <c r="K564" s="31" t="s">
        <v>1793</v>
      </c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13" t="s">
        <v>1060</v>
      </c>
      <c r="B565" s="13" t="s">
        <v>411</v>
      </c>
      <c r="C565" s="13" t="s">
        <v>1797</v>
      </c>
      <c r="D565" s="13" t="s">
        <v>1474</v>
      </c>
      <c r="E565" s="13">
        <v>-0.0294740105928526</v>
      </c>
      <c r="F565" s="13">
        <v>0.00457741304283818</v>
      </c>
      <c r="G565" s="13">
        <v>-6.43901048846088</v>
      </c>
      <c r="H565" s="63">
        <v>1.2025489151808E-10</v>
      </c>
      <c r="I565" s="13">
        <v>2820283.0</v>
      </c>
      <c r="J565" s="31" t="s">
        <v>1796</v>
      </c>
      <c r="K565" s="31" t="s">
        <v>1793</v>
      </c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13" t="s">
        <v>1064</v>
      </c>
      <c r="B566" s="13" t="s">
        <v>411</v>
      </c>
      <c r="C566" s="13" t="s">
        <v>570</v>
      </c>
      <c r="D566" s="13" t="s">
        <v>1474</v>
      </c>
      <c r="E566" s="13">
        <v>-0.0508490072520959</v>
      </c>
      <c r="F566" s="13">
        <v>0.0126149691417198</v>
      </c>
      <c r="G566" s="13">
        <v>-4.03084674095076</v>
      </c>
      <c r="H566" s="63">
        <v>5.55762749382533E-5</v>
      </c>
      <c r="I566" s="13">
        <v>168869.0</v>
      </c>
      <c r="J566" s="31" t="s">
        <v>1796</v>
      </c>
      <c r="K566" s="31" t="s">
        <v>1793</v>
      </c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13" t="s">
        <v>1064</v>
      </c>
      <c r="B567" s="13" t="s">
        <v>411</v>
      </c>
      <c r="C567" s="13" t="s">
        <v>42</v>
      </c>
      <c r="D567" s="13" t="s">
        <v>1474</v>
      </c>
      <c r="E567" s="13">
        <v>0.0346004460399723</v>
      </c>
      <c r="F567" s="13">
        <v>0.00437137336955442</v>
      </c>
      <c r="G567" s="13">
        <v>7.91523466765757</v>
      </c>
      <c r="H567" s="63">
        <v>2.46787165669744E-15</v>
      </c>
      <c r="I567" s="13">
        <v>2819524.0</v>
      </c>
      <c r="J567" s="31" t="s">
        <v>1796</v>
      </c>
      <c r="K567" s="31" t="s">
        <v>1793</v>
      </c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13" t="s">
        <v>1064</v>
      </c>
      <c r="B568" s="13" t="s">
        <v>411</v>
      </c>
      <c r="C568" s="13" t="s">
        <v>55</v>
      </c>
      <c r="D568" s="13" t="s">
        <v>1474</v>
      </c>
      <c r="E568" s="13">
        <v>-0.0319265378636459</v>
      </c>
      <c r="F568" s="13">
        <v>0.00497105585617129</v>
      </c>
      <c r="G568" s="13">
        <v>-6.42248624585677</v>
      </c>
      <c r="H568" s="63">
        <v>1.34066367287472E-10</v>
      </c>
      <c r="I568" s="13">
        <v>2813491.0</v>
      </c>
      <c r="J568" s="31" t="s">
        <v>1796</v>
      </c>
      <c r="K568" s="31" t="s">
        <v>1793</v>
      </c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13" t="s">
        <v>1064</v>
      </c>
      <c r="B569" s="13" t="s">
        <v>411</v>
      </c>
      <c r="C569" s="13" t="s">
        <v>1797</v>
      </c>
      <c r="D569" s="13" t="s">
        <v>1474</v>
      </c>
      <c r="E569" s="13">
        <v>-0.02420805180618</v>
      </c>
      <c r="F569" s="13">
        <v>0.00458621000774516</v>
      </c>
      <c r="G569" s="13">
        <v>-5.27844380551644</v>
      </c>
      <c r="H569" s="63">
        <v>1.30285607378783E-7</v>
      </c>
      <c r="I569" s="13">
        <v>2820328.0</v>
      </c>
      <c r="J569" s="31" t="s">
        <v>1796</v>
      </c>
      <c r="K569" s="31" t="s">
        <v>1793</v>
      </c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13" t="s">
        <v>1066</v>
      </c>
      <c r="B570" s="13" t="s">
        <v>411</v>
      </c>
      <c r="C570" s="13" t="s">
        <v>570</v>
      </c>
      <c r="D570" s="13" t="s">
        <v>1474</v>
      </c>
      <c r="E570" s="13">
        <v>-0.056030535196296</v>
      </c>
      <c r="F570" s="13">
        <v>0.0123267452150458</v>
      </c>
      <c r="G570" s="13">
        <v>-4.54544441527891</v>
      </c>
      <c r="H570" s="63">
        <v>5.48194631848481E-6</v>
      </c>
      <c r="I570" s="13">
        <v>168849.0</v>
      </c>
      <c r="J570" s="31" t="s">
        <v>1796</v>
      </c>
      <c r="K570" s="31" t="s">
        <v>1793</v>
      </c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13" t="s">
        <v>1066</v>
      </c>
      <c r="B571" s="13" t="s">
        <v>411</v>
      </c>
      <c r="C571" s="13" t="s">
        <v>42</v>
      </c>
      <c r="D571" s="13" t="s">
        <v>1474</v>
      </c>
      <c r="E571" s="13">
        <v>0.037687045788499</v>
      </c>
      <c r="F571" s="13">
        <v>0.00451470878742124</v>
      </c>
      <c r="G571" s="13">
        <v>8.34761389117757</v>
      </c>
      <c r="H571" s="63">
        <v>6.96558507334921E-17</v>
      </c>
      <c r="I571" s="13">
        <v>2818956.0</v>
      </c>
      <c r="J571" s="31" t="s">
        <v>1796</v>
      </c>
      <c r="K571" s="31" t="s">
        <v>1793</v>
      </c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13" t="s">
        <v>1066</v>
      </c>
      <c r="B572" s="13" t="s">
        <v>411</v>
      </c>
      <c r="C572" s="13" t="s">
        <v>55</v>
      </c>
      <c r="D572" s="13" t="s">
        <v>1474</v>
      </c>
      <c r="E572" s="13">
        <v>-0.0312011876525828</v>
      </c>
      <c r="F572" s="13">
        <v>0.00506207825729358</v>
      </c>
      <c r="G572" s="13">
        <v>-6.1637110425204</v>
      </c>
      <c r="H572" s="63">
        <v>7.10595631936856E-10</v>
      </c>
      <c r="I572" s="13">
        <v>2812923.0</v>
      </c>
      <c r="J572" s="31" t="s">
        <v>1796</v>
      </c>
      <c r="K572" s="31" t="s">
        <v>1793</v>
      </c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13" t="s">
        <v>1066</v>
      </c>
      <c r="B573" s="13" t="s">
        <v>411</v>
      </c>
      <c r="C573" s="13" t="s">
        <v>1797</v>
      </c>
      <c r="D573" s="13" t="s">
        <v>1474</v>
      </c>
      <c r="E573" s="13">
        <v>-0.0312679311205524</v>
      </c>
      <c r="F573" s="13">
        <v>0.00454284135786835</v>
      </c>
      <c r="G573" s="13">
        <v>-6.88290183552092</v>
      </c>
      <c r="H573" s="63">
        <v>5.8645442352115E-12</v>
      </c>
      <c r="I573" s="13">
        <v>2819758.0</v>
      </c>
      <c r="J573" s="31" t="s">
        <v>1796</v>
      </c>
      <c r="K573" s="31" t="s">
        <v>1793</v>
      </c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13" t="s">
        <v>1068</v>
      </c>
      <c r="B574" s="13" t="s">
        <v>411</v>
      </c>
      <c r="C574" s="13" t="s">
        <v>570</v>
      </c>
      <c r="D574" s="13" t="s">
        <v>1474</v>
      </c>
      <c r="E574" s="13">
        <v>-0.0292898270764485</v>
      </c>
      <c r="F574" s="13">
        <v>0.0121429356102029</v>
      </c>
      <c r="G574" s="13">
        <v>-2.41208781934395</v>
      </c>
      <c r="H574" s="13">
        <v>0.0158614605261466</v>
      </c>
      <c r="I574" s="13">
        <v>168841.0</v>
      </c>
      <c r="J574" s="31" t="s">
        <v>1796</v>
      </c>
      <c r="K574" s="31" t="s">
        <v>1793</v>
      </c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13" t="s">
        <v>1068</v>
      </c>
      <c r="B575" s="13" t="s">
        <v>411</v>
      </c>
      <c r="C575" s="13" t="s">
        <v>42</v>
      </c>
      <c r="D575" s="13" t="s">
        <v>1474</v>
      </c>
      <c r="E575" s="13">
        <v>0.0335466478788532</v>
      </c>
      <c r="F575" s="13">
        <v>0.00445995750305787</v>
      </c>
      <c r="G575" s="13">
        <v>7.52174159862571</v>
      </c>
      <c r="H575" s="63">
        <v>5.40513327773648E-14</v>
      </c>
      <c r="I575" s="13">
        <v>2819039.0</v>
      </c>
      <c r="J575" s="31" t="s">
        <v>1796</v>
      </c>
      <c r="K575" s="31" t="s">
        <v>1793</v>
      </c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13" t="s">
        <v>1068</v>
      </c>
      <c r="B576" s="13" t="s">
        <v>411</v>
      </c>
      <c r="C576" s="13" t="s">
        <v>55</v>
      </c>
      <c r="D576" s="13" t="s">
        <v>1474</v>
      </c>
      <c r="E576" s="13">
        <v>-0.0351327241061936</v>
      </c>
      <c r="F576" s="13">
        <v>0.00503295648471171</v>
      </c>
      <c r="G576" s="13">
        <v>-6.98053404850886</v>
      </c>
      <c r="H576" s="63">
        <v>2.94060081237345E-12</v>
      </c>
      <c r="I576" s="13">
        <v>2813006.0</v>
      </c>
      <c r="J576" s="31" t="s">
        <v>1796</v>
      </c>
      <c r="K576" s="31" t="s">
        <v>1793</v>
      </c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13" t="s">
        <v>1068</v>
      </c>
      <c r="B577" s="13" t="s">
        <v>411</v>
      </c>
      <c r="C577" s="13" t="s">
        <v>1797</v>
      </c>
      <c r="D577" s="13" t="s">
        <v>1474</v>
      </c>
      <c r="E577" s="13">
        <v>-0.0278914362203335</v>
      </c>
      <c r="F577" s="13">
        <v>0.00480313265496389</v>
      </c>
      <c r="G577" s="13">
        <v>-5.80692606761726</v>
      </c>
      <c r="H577" s="63">
        <v>6.36302162271265E-9</v>
      </c>
      <c r="I577" s="13">
        <v>2819841.0</v>
      </c>
      <c r="J577" s="31" t="s">
        <v>1796</v>
      </c>
      <c r="K577" s="31" t="s">
        <v>1793</v>
      </c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13" t="s">
        <v>1070</v>
      </c>
      <c r="B578" s="13" t="s">
        <v>411</v>
      </c>
      <c r="C578" s="13" t="s">
        <v>570</v>
      </c>
      <c r="D578" s="13" t="s">
        <v>1474</v>
      </c>
      <c r="E578" s="13">
        <v>-0.0433825770476667</v>
      </c>
      <c r="F578" s="13">
        <v>0.0122959156352082</v>
      </c>
      <c r="G578" s="13">
        <v>-3.52821036958358</v>
      </c>
      <c r="H578" s="63">
        <v>4.18379514670081E-4</v>
      </c>
      <c r="I578" s="13">
        <v>168881.0</v>
      </c>
      <c r="J578" s="31" t="s">
        <v>1796</v>
      </c>
      <c r="K578" s="31" t="s">
        <v>1793</v>
      </c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13" t="s">
        <v>1070</v>
      </c>
      <c r="B579" s="13" t="s">
        <v>411</v>
      </c>
      <c r="C579" s="13" t="s">
        <v>42</v>
      </c>
      <c r="D579" s="13" t="s">
        <v>1474</v>
      </c>
      <c r="E579" s="13">
        <v>0.0331284285407515</v>
      </c>
      <c r="F579" s="13">
        <v>0.00465653753935126</v>
      </c>
      <c r="G579" s="13">
        <v>7.11439095267487</v>
      </c>
      <c r="H579" s="63">
        <v>1.12408102375441E-12</v>
      </c>
      <c r="I579" s="13">
        <v>2819638.0</v>
      </c>
      <c r="J579" s="31" t="s">
        <v>1796</v>
      </c>
      <c r="K579" s="31" t="s">
        <v>1793</v>
      </c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13" t="s">
        <v>1070</v>
      </c>
      <c r="B580" s="13" t="s">
        <v>411</v>
      </c>
      <c r="C580" s="13" t="s">
        <v>55</v>
      </c>
      <c r="D580" s="13" t="s">
        <v>1474</v>
      </c>
      <c r="E580" s="13">
        <v>-0.0390618837940851</v>
      </c>
      <c r="F580" s="13">
        <v>0.00525529727957818</v>
      </c>
      <c r="G580" s="13">
        <v>-7.43285902129222</v>
      </c>
      <c r="H580" s="63">
        <v>1.06275153510535E-13</v>
      </c>
      <c r="I580" s="13">
        <v>2813619.0</v>
      </c>
      <c r="J580" s="31" t="s">
        <v>1796</v>
      </c>
      <c r="K580" s="31" t="s">
        <v>1793</v>
      </c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13" t="s">
        <v>1070</v>
      </c>
      <c r="B581" s="13" t="s">
        <v>411</v>
      </c>
      <c r="C581" s="13" t="s">
        <v>1797</v>
      </c>
      <c r="D581" s="13" t="s">
        <v>1474</v>
      </c>
      <c r="E581" s="13">
        <v>-0.0288677267762158</v>
      </c>
      <c r="F581" s="13">
        <v>0.0045731869795768</v>
      </c>
      <c r="G581" s="13">
        <v>-6.31238716132426</v>
      </c>
      <c r="H581" s="63">
        <v>2.74763791353385E-10</v>
      </c>
      <c r="I581" s="13">
        <v>2820440.0</v>
      </c>
      <c r="J581" s="31" t="s">
        <v>1796</v>
      </c>
      <c r="K581" s="31" t="s">
        <v>1793</v>
      </c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13" t="s">
        <v>1072</v>
      </c>
      <c r="B582" s="13" t="s">
        <v>411</v>
      </c>
      <c r="C582" s="13" t="s">
        <v>570</v>
      </c>
      <c r="D582" s="13" t="s">
        <v>1474</v>
      </c>
      <c r="E582" s="13">
        <v>-0.0645683286976891</v>
      </c>
      <c r="F582" s="13">
        <v>0.012444336962683</v>
      </c>
      <c r="G582" s="13">
        <v>-5.18857122651941</v>
      </c>
      <c r="H582" s="63">
        <v>2.11913706501353E-7</v>
      </c>
      <c r="I582" s="13">
        <v>168813.0</v>
      </c>
      <c r="J582" s="31" t="s">
        <v>1796</v>
      </c>
      <c r="K582" s="31" t="s">
        <v>1793</v>
      </c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13" t="s">
        <v>1072</v>
      </c>
      <c r="B583" s="13" t="s">
        <v>411</v>
      </c>
      <c r="C583" s="13" t="s">
        <v>42</v>
      </c>
      <c r="D583" s="13" t="s">
        <v>1474</v>
      </c>
      <c r="E583" s="13">
        <v>0.0292240130175534</v>
      </c>
      <c r="F583" s="13">
        <v>0.00500370434896761</v>
      </c>
      <c r="G583" s="13">
        <v>5.8404755715799</v>
      </c>
      <c r="H583" s="63">
        <v>5.20520177468228E-9</v>
      </c>
      <c r="I583" s="13">
        <v>2818355.0</v>
      </c>
      <c r="J583" s="31" t="s">
        <v>1796</v>
      </c>
      <c r="K583" s="31" t="s">
        <v>1793</v>
      </c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13" t="s">
        <v>1072</v>
      </c>
      <c r="B584" s="13" t="s">
        <v>411</v>
      </c>
      <c r="C584" s="13" t="s">
        <v>55</v>
      </c>
      <c r="D584" s="13" t="s">
        <v>1474</v>
      </c>
      <c r="E584" s="13">
        <v>-0.0378812165758216</v>
      </c>
      <c r="F584" s="13">
        <v>0.0055877573600617</v>
      </c>
      <c r="G584" s="13">
        <v>-6.77932382078296</v>
      </c>
      <c r="H584" s="63">
        <v>1.20739632612745E-11</v>
      </c>
      <c r="I584" s="13">
        <v>2812328.0</v>
      </c>
      <c r="J584" s="31" t="s">
        <v>1796</v>
      </c>
      <c r="K584" s="31" t="s">
        <v>1793</v>
      </c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13" t="s">
        <v>1072</v>
      </c>
      <c r="B585" s="13" t="s">
        <v>411</v>
      </c>
      <c r="C585" s="13" t="s">
        <v>1797</v>
      </c>
      <c r="D585" s="13" t="s">
        <v>1474</v>
      </c>
      <c r="E585" s="13">
        <v>-0.0287825118132758</v>
      </c>
      <c r="F585" s="13">
        <v>0.0055894505695913</v>
      </c>
      <c r="G585" s="13">
        <v>-5.14943489613512</v>
      </c>
      <c r="H585" s="63">
        <v>2.61272441303688E-7</v>
      </c>
      <c r="I585" s="13">
        <v>2819160.0</v>
      </c>
      <c r="J585" s="31" t="s">
        <v>1796</v>
      </c>
      <c r="K585" s="31" t="s">
        <v>1793</v>
      </c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13" t="s">
        <v>1076</v>
      </c>
      <c r="B586" s="13" t="s">
        <v>411</v>
      </c>
      <c r="C586" s="13" t="s">
        <v>570</v>
      </c>
      <c r="D586" s="13" t="s">
        <v>1474</v>
      </c>
      <c r="E586" s="13">
        <v>-0.0635125195978456</v>
      </c>
      <c r="F586" s="13">
        <v>0.0125954051166686</v>
      </c>
      <c r="G586" s="13">
        <v>-5.04251502905561</v>
      </c>
      <c r="H586" s="63">
        <v>4.59452656893764E-7</v>
      </c>
      <c r="I586" s="13">
        <v>168810.0</v>
      </c>
      <c r="J586" s="31" t="s">
        <v>1796</v>
      </c>
      <c r="K586" s="31" t="s">
        <v>1793</v>
      </c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13" t="s">
        <v>1076</v>
      </c>
      <c r="B587" s="13" t="s">
        <v>411</v>
      </c>
      <c r="C587" s="13" t="s">
        <v>42</v>
      </c>
      <c r="D587" s="13" t="s">
        <v>1474</v>
      </c>
      <c r="E587" s="13">
        <v>0.0339584983990326</v>
      </c>
      <c r="F587" s="13">
        <v>0.00477277970365465</v>
      </c>
      <c r="G587" s="13">
        <v>7.11503578785118</v>
      </c>
      <c r="H587" s="63">
        <v>1.11883800769286E-12</v>
      </c>
      <c r="I587" s="13">
        <v>2818333.0</v>
      </c>
      <c r="J587" s="31" t="s">
        <v>1796</v>
      </c>
      <c r="K587" s="31" t="s">
        <v>1793</v>
      </c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13" t="s">
        <v>1076</v>
      </c>
      <c r="B588" s="13" t="s">
        <v>411</v>
      </c>
      <c r="C588" s="13" t="s">
        <v>55</v>
      </c>
      <c r="D588" s="13" t="s">
        <v>1474</v>
      </c>
      <c r="E588" s="13">
        <v>-0.0371205353927523</v>
      </c>
      <c r="F588" s="13">
        <v>0.00538733561335854</v>
      </c>
      <c r="G588" s="13">
        <v>-6.8903328206818</v>
      </c>
      <c r="H588" s="63">
        <v>5.56620061578188E-12</v>
      </c>
      <c r="I588" s="13">
        <v>2812314.0</v>
      </c>
      <c r="J588" s="31" t="s">
        <v>1796</v>
      </c>
      <c r="K588" s="31" t="s">
        <v>1793</v>
      </c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13" t="s">
        <v>1076</v>
      </c>
      <c r="B589" s="13" t="s">
        <v>411</v>
      </c>
      <c r="C589" s="13" t="s">
        <v>1797</v>
      </c>
      <c r="D589" s="13" t="s">
        <v>1474</v>
      </c>
      <c r="E589" s="13">
        <v>-0.0283297716384673</v>
      </c>
      <c r="F589" s="13">
        <v>0.00494864680973687</v>
      </c>
      <c r="G589" s="13">
        <v>-5.72475117495273</v>
      </c>
      <c r="H589" s="63">
        <v>1.03585448359757E-8</v>
      </c>
      <c r="I589" s="13">
        <v>2819137.0</v>
      </c>
      <c r="J589" s="31" t="s">
        <v>1796</v>
      </c>
      <c r="K589" s="31" t="s">
        <v>1793</v>
      </c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13" t="s">
        <v>1078</v>
      </c>
      <c r="B590" s="13" t="s">
        <v>411</v>
      </c>
      <c r="C590" s="13" t="s">
        <v>570</v>
      </c>
      <c r="D590" s="13" t="s">
        <v>1474</v>
      </c>
      <c r="E590" s="13">
        <v>-0.0581064720862996</v>
      </c>
      <c r="F590" s="13">
        <v>0.0124802432896037</v>
      </c>
      <c r="G590" s="13">
        <v>-4.65587655127709</v>
      </c>
      <c r="H590" s="63">
        <v>3.22605200690317E-6</v>
      </c>
      <c r="I590" s="13">
        <v>168741.0</v>
      </c>
      <c r="J590" s="31" t="s">
        <v>1796</v>
      </c>
      <c r="K590" s="31" t="s">
        <v>1793</v>
      </c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13" t="s">
        <v>1078</v>
      </c>
      <c r="B591" s="13" t="s">
        <v>411</v>
      </c>
      <c r="C591" s="13" t="s">
        <v>42</v>
      </c>
      <c r="D591" s="13" t="s">
        <v>1474</v>
      </c>
      <c r="E591" s="13">
        <v>0.0275441718345465</v>
      </c>
      <c r="F591" s="13">
        <v>0.00505749675361459</v>
      </c>
      <c r="G591" s="13">
        <v>5.44620652793513</v>
      </c>
      <c r="H591" s="63">
        <v>5.14553882988818E-8</v>
      </c>
      <c r="I591" s="13">
        <v>2816657.0</v>
      </c>
      <c r="J591" s="31" t="s">
        <v>1796</v>
      </c>
      <c r="K591" s="31" t="s">
        <v>1793</v>
      </c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13" t="s">
        <v>1078</v>
      </c>
      <c r="B592" s="13" t="s">
        <v>411</v>
      </c>
      <c r="C592" s="13" t="s">
        <v>55</v>
      </c>
      <c r="D592" s="13" t="s">
        <v>1474</v>
      </c>
      <c r="E592" s="13">
        <v>-0.0401512711862706</v>
      </c>
      <c r="F592" s="13">
        <v>0.0053628976911303</v>
      </c>
      <c r="G592" s="13">
        <v>-7.48686130124705</v>
      </c>
      <c r="H592" s="63">
        <v>7.05401776973475E-14</v>
      </c>
      <c r="I592" s="13">
        <v>2810636.0</v>
      </c>
      <c r="J592" s="31" t="s">
        <v>1796</v>
      </c>
      <c r="K592" s="31" t="s">
        <v>1793</v>
      </c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13" t="s">
        <v>1078</v>
      </c>
      <c r="B593" s="13" t="s">
        <v>411</v>
      </c>
      <c r="C593" s="13" t="s">
        <v>1797</v>
      </c>
      <c r="D593" s="13" t="s">
        <v>1474</v>
      </c>
      <c r="E593" s="13">
        <v>-0.0196258741811703</v>
      </c>
      <c r="F593" s="13">
        <v>0.00518767862645576</v>
      </c>
      <c r="G593" s="13">
        <v>-3.78317077721114</v>
      </c>
      <c r="H593" s="63">
        <v>1.54843094162836E-4</v>
      </c>
      <c r="I593" s="13">
        <v>2817458.0</v>
      </c>
      <c r="J593" s="31" t="s">
        <v>1796</v>
      </c>
      <c r="K593" s="31" t="s">
        <v>1793</v>
      </c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13" t="s">
        <v>1080</v>
      </c>
      <c r="B594" s="13" t="s">
        <v>411</v>
      </c>
      <c r="C594" s="13" t="s">
        <v>570</v>
      </c>
      <c r="D594" s="13" t="s">
        <v>1474</v>
      </c>
      <c r="E594" s="13">
        <v>-0.0469663164827648</v>
      </c>
      <c r="F594" s="13">
        <v>0.0131082955808166</v>
      </c>
      <c r="G594" s="13">
        <v>-3.58294609647783</v>
      </c>
      <c r="H594" s="63">
        <v>3.39740735060144E-4</v>
      </c>
      <c r="I594" s="13">
        <v>168740.0</v>
      </c>
      <c r="J594" s="31" t="s">
        <v>1796</v>
      </c>
      <c r="K594" s="31" t="s">
        <v>1793</v>
      </c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13" t="s">
        <v>1080</v>
      </c>
      <c r="B595" s="13" t="s">
        <v>411</v>
      </c>
      <c r="C595" s="13" t="s">
        <v>42</v>
      </c>
      <c r="D595" s="13" t="s">
        <v>1474</v>
      </c>
      <c r="E595" s="13">
        <v>0.0291344448996774</v>
      </c>
      <c r="F595" s="13">
        <v>0.00519801392806388</v>
      </c>
      <c r="G595" s="13">
        <v>5.60491859061431</v>
      </c>
      <c r="H595" s="63">
        <v>2.08352870603447E-8</v>
      </c>
      <c r="I595" s="13">
        <v>2817405.0</v>
      </c>
      <c r="J595" s="31" t="s">
        <v>1796</v>
      </c>
      <c r="K595" s="31" t="s">
        <v>1793</v>
      </c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13" t="s">
        <v>1080</v>
      </c>
      <c r="B596" s="13" t="s">
        <v>411</v>
      </c>
      <c r="C596" s="13" t="s">
        <v>55</v>
      </c>
      <c r="D596" s="13" t="s">
        <v>1474</v>
      </c>
      <c r="E596" s="13">
        <v>-0.0446456726275344</v>
      </c>
      <c r="F596" s="13">
        <v>0.00567140981075789</v>
      </c>
      <c r="G596" s="13">
        <v>-7.87205899719107</v>
      </c>
      <c r="H596" s="63">
        <v>3.488515713271E-15</v>
      </c>
      <c r="I596" s="13">
        <v>2811388.0</v>
      </c>
      <c r="J596" s="31" t="s">
        <v>1796</v>
      </c>
      <c r="K596" s="31" t="s">
        <v>1793</v>
      </c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13" t="s">
        <v>1080</v>
      </c>
      <c r="B597" s="13" t="s">
        <v>411</v>
      </c>
      <c r="C597" s="13" t="s">
        <v>1797</v>
      </c>
      <c r="D597" s="13" t="s">
        <v>1474</v>
      </c>
      <c r="E597" s="13">
        <v>-0.0241854611799755</v>
      </c>
      <c r="F597" s="13">
        <v>0.00547471768931624</v>
      </c>
      <c r="G597" s="13">
        <v>-4.4176636225778</v>
      </c>
      <c r="H597" s="63">
        <v>9.97735355280915E-6</v>
      </c>
      <c r="I597" s="13">
        <v>2818209.0</v>
      </c>
      <c r="J597" s="31" t="s">
        <v>1796</v>
      </c>
      <c r="K597" s="31" t="s">
        <v>1793</v>
      </c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13" t="s">
        <v>1082</v>
      </c>
      <c r="B598" s="13" t="s">
        <v>411</v>
      </c>
      <c r="C598" s="13" t="s">
        <v>570</v>
      </c>
      <c r="D598" s="13" t="s">
        <v>1474</v>
      </c>
      <c r="E598" s="13">
        <v>-0.0667895008722371</v>
      </c>
      <c r="F598" s="13">
        <v>0.0122551468965999</v>
      </c>
      <c r="G598" s="13">
        <v>-5.4499143450306</v>
      </c>
      <c r="H598" s="63">
        <v>5.03940849847581E-8</v>
      </c>
      <c r="I598" s="13">
        <v>168724.0</v>
      </c>
      <c r="J598" s="31" t="s">
        <v>1796</v>
      </c>
      <c r="K598" s="31" t="s">
        <v>1793</v>
      </c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13" t="s">
        <v>1082</v>
      </c>
      <c r="B599" s="13" t="s">
        <v>411</v>
      </c>
      <c r="C599" s="13" t="s">
        <v>42</v>
      </c>
      <c r="D599" s="13" t="s">
        <v>1474</v>
      </c>
      <c r="E599" s="13">
        <v>0.0317082902138717</v>
      </c>
      <c r="F599" s="13">
        <v>0.00486249775025953</v>
      </c>
      <c r="G599" s="13">
        <v>6.52098815103396</v>
      </c>
      <c r="H599" s="63">
        <v>6.98457030657455E-11</v>
      </c>
      <c r="I599" s="13">
        <v>2816890.0</v>
      </c>
      <c r="J599" s="31" t="s">
        <v>1796</v>
      </c>
      <c r="K599" s="31" t="s">
        <v>1793</v>
      </c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13" t="s">
        <v>1082</v>
      </c>
      <c r="B600" s="13" t="s">
        <v>411</v>
      </c>
      <c r="C600" s="13" t="s">
        <v>55</v>
      </c>
      <c r="D600" s="13" t="s">
        <v>1474</v>
      </c>
      <c r="E600" s="13">
        <v>-0.0403220081997696</v>
      </c>
      <c r="F600" s="13">
        <v>0.0052426319628242</v>
      </c>
      <c r="G600" s="13">
        <v>-7.6911765856721</v>
      </c>
      <c r="H600" s="63">
        <v>1.45788052659066E-14</v>
      </c>
      <c r="I600" s="13">
        <v>2810867.0</v>
      </c>
      <c r="J600" s="31" t="s">
        <v>1796</v>
      </c>
      <c r="K600" s="31" t="s">
        <v>1793</v>
      </c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13" t="s">
        <v>1082</v>
      </c>
      <c r="B601" s="13" t="s">
        <v>411</v>
      </c>
      <c r="C601" s="13" t="s">
        <v>1797</v>
      </c>
      <c r="D601" s="13" t="s">
        <v>1474</v>
      </c>
      <c r="E601" s="13">
        <v>-0.0230224729207261</v>
      </c>
      <c r="F601" s="13">
        <v>0.00485403327634144</v>
      </c>
      <c r="G601" s="13">
        <v>-4.74295737380657</v>
      </c>
      <c r="H601" s="63">
        <v>2.10620600632204E-6</v>
      </c>
      <c r="I601" s="13">
        <v>2817696.0</v>
      </c>
      <c r="J601" s="31" t="s">
        <v>1796</v>
      </c>
      <c r="K601" s="31" t="s">
        <v>1793</v>
      </c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13" t="s">
        <v>1084</v>
      </c>
      <c r="B602" s="13" t="s">
        <v>411</v>
      </c>
      <c r="C602" s="13" t="s">
        <v>570</v>
      </c>
      <c r="D602" s="13" t="s">
        <v>1474</v>
      </c>
      <c r="E602" s="13">
        <v>-0.0462962678533624</v>
      </c>
      <c r="F602" s="13">
        <v>0.0129038021737636</v>
      </c>
      <c r="G602" s="13">
        <v>-3.58780049708861</v>
      </c>
      <c r="H602" s="63">
        <v>3.33479293975847E-4</v>
      </c>
      <c r="I602" s="13">
        <v>168777.0</v>
      </c>
      <c r="J602" s="31" t="s">
        <v>1796</v>
      </c>
      <c r="K602" s="31" t="s">
        <v>1793</v>
      </c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13" t="s">
        <v>1084</v>
      </c>
      <c r="B603" s="13" t="s">
        <v>411</v>
      </c>
      <c r="C603" s="13" t="s">
        <v>42</v>
      </c>
      <c r="D603" s="13" t="s">
        <v>1474</v>
      </c>
      <c r="E603" s="13">
        <v>0.0310144408687009</v>
      </c>
      <c r="F603" s="13">
        <v>0.00478552609950513</v>
      </c>
      <c r="G603" s="13">
        <v>6.48088427976771</v>
      </c>
      <c r="H603" s="63">
        <v>9.11865915599481E-11</v>
      </c>
      <c r="I603" s="13">
        <v>2817628.0</v>
      </c>
      <c r="J603" s="31" t="s">
        <v>1796</v>
      </c>
      <c r="K603" s="31" t="s">
        <v>1793</v>
      </c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13" t="s">
        <v>1084</v>
      </c>
      <c r="B604" s="13" t="s">
        <v>411</v>
      </c>
      <c r="C604" s="13" t="s">
        <v>55</v>
      </c>
      <c r="D604" s="13" t="s">
        <v>1474</v>
      </c>
      <c r="E604" s="13">
        <v>-0.041516954019838</v>
      </c>
      <c r="F604" s="13">
        <v>0.00556039926668508</v>
      </c>
      <c r="G604" s="13">
        <v>-7.46654188460624</v>
      </c>
      <c r="H604" s="63">
        <v>8.23297755228698E-14</v>
      </c>
      <c r="I604" s="13">
        <v>2811606.0</v>
      </c>
      <c r="J604" s="31" t="s">
        <v>1796</v>
      </c>
      <c r="K604" s="31" t="s">
        <v>1793</v>
      </c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13" t="s">
        <v>1084</v>
      </c>
      <c r="B605" s="13" t="s">
        <v>411</v>
      </c>
      <c r="C605" s="13" t="s">
        <v>1797</v>
      </c>
      <c r="D605" s="13" t="s">
        <v>1474</v>
      </c>
      <c r="E605" s="13">
        <v>-0.0257599779589065</v>
      </c>
      <c r="F605" s="13">
        <v>0.0050568513406977</v>
      </c>
      <c r="G605" s="13">
        <v>-5.09407459768283</v>
      </c>
      <c r="H605" s="63">
        <v>3.50448769209006E-7</v>
      </c>
      <c r="I605" s="13">
        <v>2818430.0</v>
      </c>
      <c r="J605" s="31" t="s">
        <v>1796</v>
      </c>
      <c r="K605" s="31" t="s">
        <v>1793</v>
      </c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13" t="s">
        <v>1086</v>
      </c>
      <c r="B606" s="13" t="s">
        <v>411</v>
      </c>
      <c r="C606" s="13" t="s">
        <v>570</v>
      </c>
      <c r="D606" s="13" t="s">
        <v>1474</v>
      </c>
      <c r="E606" s="13">
        <v>-0.0568124469752009</v>
      </c>
      <c r="F606" s="13">
        <v>0.0128128394371408</v>
      </c>
      <c r="G606" s="13">
        <v>-4.43402473385545</v>
      </c>
      <c r="H606" s="63">
        <v>9.24900083876589E-6</v>
      </c>
      <c r="I606" s="13">
        <v>168798.0</v>
      </c>
      <c r="J606" s="31" t="s">
        <v>1796</v>
      </c>
      <c r="K606" s="31" t="s">
        <v>1793</v>
      </c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13" t="s">
        <v>1086</v>
      </c>
      <c r="B607" s="13" t="s">
        <v>411</v>
      </c>
      <c r="C607" s="13" t="s">
        <v>42</v>
      </c>
      <c r="D607" s="13" t="s">
        <v>1474</v>
      </c>
      <c r="E607" s="13">
        <v>0.0327911000819023</v>
      </c>
      <c r="F607" s="13">
        <v>0.00466146211315993</v>
      </c>
      <c r="G607" s="13">
        <v>7.03450962077513</v>
      </c>
      <c r="H607" s="63">
        <v>1.99963005411368E-12</v>
      </c>
      <c r="I607" s="13">
        <v>2817924.0</v>
      </c>
      <c r="J607" s="31" t="s">
        <v>1796</v>
      </c>
      <c r="K607" s="31" t="s">
        <v>1793</v>
      </c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13" t="s">
        <v>1086</v>
      </c>
      <c r="B608" s="13" t="s">
        <v>411</v>
      </c>
      <c r="C608" s="13" t="s">
        <v>55</v>
      </c>
      <c r="D608" s="13" t="s">
        <v>1474</v>
      </c>
      <c r="E608" s="13">
        <v>-0.0409823261737562</v>
      </c>
      <c r="F608" s="13">
        <v>0.00521443738929578</v>
      </c>
      <c r="G608" s="13">
        <v>-7.85939558079359</v>
      </c>
      <c r="H608" s="63">
        <v>3.8599143831765E-15</v>
      </c>
      <c r="I608" s="13">
        <v>2811893.0</v>
      </c>
      <c r="J608" s="31" t="s">
        <v>1796</v>
      </c>
      <c r="K608" s="31" t="s">
        <v>1793</v>
      </c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13" t="s">
        <v>1086</v>
      </c>
      <c r="B609" s="13" t="s">
        <v>411</v>
      </c>
      <c r="C609" s="13" t="s">
        <v>1797</v>
      </c>
      <c r="D609" s="13" t="s">
        <v>1474</v>
      </c>
      <c r="E609" s="13">
        <v>-0.0242623243269623</v>
      </c>
      <c r="F609" s="13">
        <v>0.00473650444993108</v>
      </c>
      <c r="G609" s="13">
        <v>-5.12241138659025</v>
      </c>
      <c r="H609" s="63">
        <v>3.01652868902844E-7</v>
      </c>
      <c r="I609" s="13">
        <v>2818729.0</v>
      </c>
      <c r="J609" s="31" t="s">
        <v>1796</v>
      </c>
      <c r="K609" s="31" t="s">
        <v>1793</v>
      </c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13" t="s">
        <v>1088</v>
      </c>
      <c r="B610" s="13" t="s">
        <v>411</v>
      </c>
      <c r="C610" s="13" t="s">
        <v>570</v>
      </c>
      <c r="D610" s="13" t="s">
        <v>1474</v>
      </c>
      <c r="E610" s="13">
        <v>-0.0603208264065828</v>
      </c>
      <c r="F610" s="13">
        <v>0.012682958466571</v>
      </c>
      <c r="G610" s="13">
        <v>-4.75605329510246</v>
      </c>
      <c r="H610" s="63">
        <v>1.97414372760655E-6</v>
      </c>
      <c r="I610" s="13">
        <v>168803.0</v>
      </c>
      <c r="J610" s="31" t="s">
        <v>1796</v>
      </c>
      <c r="K610" s="31" t="s">
        <v>1793</v>
      </c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13" t="s">
        <v>1088</v>
      </c>
      <c r="B611" s="13" t="s">
        <v>411</v>
      </c>
      <c r="C611" s="13" t="s">
        <v>42</v>
      </c>
      <c r="D611" s="13" t="s">
        <v>1474</v>
      </c>
      <c r="E611" s="13">
        <v>0.0319467984149842</v>
      </c>
      <c r="F611" s="13">
        <v>0.00486041958297034</v>
      </c>
      <c r="G611" s="13">
        <v>6.57284785184339</v>
      </c>
      <c r="H611" s="63">
        <v>4.93618922584083E-11</v>
      </c>
      <c r="I611" s="13">
        <v>2818323.0</v>
      </c>
      <c r="J611" s="31" t="s">
        <v>1796</v>
      </c>
      <c r="K611" s="31" t="s">
        <v>1793</v>
      </c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13" t="s">
        <v>1088</v>
      </c>
      <c r="B612" s="13" t="s">
        <v>411</v>
      </c>
      <c r="C612" s="13" t="s">
        <v>55</v>
      </c>
      <c r="D612" s="13" t="s">
        <v>1474</v>
      </c>
      <c r="E612" s="13">
        <v>-0.0410423532790389</v>
      </c>
      <c r="F612" s="13">
        <v>0.0051464034859914</v>
      </c>
      <c r="G612" s="13">
        <v>-7.97495831618273</v>
      </c>
      <c r="H612" s="63">
        <v>1.52432258547132E-15</v>
      </c>
      <c r="I612" s="13">
        <v>2812290.0</v>
      </c>
      <c r="J612" s="31" t="s">
        <v>1796</v>
      </c>
      <c r="K612" s="31" t="s">
        <v>1793</v>
      </c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13" t="s">
        <v>1088</v>
      </c>
      <c r="B613" s="13" t="s">
        <v>411</v>
      </c>
      <c r="C613" s="13" t="s">
        <v>1797</v>
      </c>
      <c r="D613" s="13" t="s">
        <v>1474</v>
      </c>
      <c r="E613" s="13">
        <v>-0.0187530387512309</v>
      </c>
      <c r="F613" s="13">
        <v>0.00506670368513566</v>
      </c>
      <c r="G613" s="13">
        <v>-3.70123060605405</v>
      </c>
      <c r="H613" s="63">
        <v>2.14556369413293E-4</v>
      </c>
      <c r="I613" s="13">
        <v>2819129.0</v>
      </c>
      <c r="J613" s="31" t="s">
        <v>1796</v>
      </c>
      <c r="K613" s="31" t="s">
        <v>1793</v>
      </c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13" t="s">
        <v>1090</v>
      </c>
      <c r="B614" s="13" t="s">
        <v>411</v>
      </c>
      <c r="C614" s="13" t="s">
        <v>570</v>
      </c>
      <c r="D614" s="13" t="s">
        <v>1474</v>
      </c>
      <c r="E614" s="13">
        <v>-0.0649217853975606</v>
      </c>
      <c r="F614" s="13">
        <v>0.012667816665793</v>
      </c>
      <c r="G614" s="13">
        <v>-5.12493882018905</v>
      </c>
      <c r="H614" s="63">
        <v>2.97634375552117E-7</v>
      </c>
      <c r="I614" s="13">
        <v>168726.0</v>
      </c>
      <c r="J614" s="31" t="s">
        <v>1796</v>
      </c>
      <c r="K614" s="31" t="s">
        <v>1793</v>
      </c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13" t="s">
        <v>1090</v>
      </c>
      <c r="B615" s="13" t="s">
        <v>411</v>
      </c>
      <c r="C615" s="13" t="s">
        <v>42</v>
      </c>
      <c r="D615" s="13" t="s">
        <v>1474</v>
      </c>
      <c r="E615" s="13">
        <v>0.0282825085209645</v>
      </c>
      <c r="F615" s="13">
        <v>0.00487508285059725</v>
      </c>
      <c r="G615" s="13">
        <v>5.8014416139614</v>
      </c>
      <c r="H615" s="63">
        <v>6.57471902460602E-9</v>
      </c>
      <c r="I615" s="13">
        <v>2816911.0</v>
      </c>
      <c r="J615" s="31" t="s">
        <v>1796</v>
      </c>
      <c r="K615" s="31" t="s">
        <v>1793</v>
      </c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13" t="s">
        <v>1090</v>
      </c>
      <c r="B616" s="13" t="s">
        <v>411</v>
      </c>
      <c r="C616" s="13" t="s">
        <v>55</v>
      </c>
      <c r="D616" s="13" t="s">
        <v>1474</v>
      </c>
      <c r="E616" s="13">
        <v>-0.0422770561726204</v>
      </c>
      <c r="F616" s="13">
        <v>0.00532930203447353</v>
      </c>
      <c r="G616" s="13">
        <v>-7.93294429535871</v>
      </c>
      <c r="H616" s="63">
        <v>2.14010440506758E-15</v>
      </c>
      <c r="I616" s="13">
        <v>2810889.0</v>
      </c>
      <c r="J616" s="31" t="s">
        <v>1796</v>
      </c>
      <c r="K616" s="31" t="s">
        <v>1793</v>
      </c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13" t="s">
        <v>1090</v>
      </c>
      <c r="B617" s="13" t="s">
        <v>411</v>
      </c>
      <c r="C617" s="13" t="s">
        <v>1797</v>
      </c>
      <c r="D617" s="13" t="s">
        <v>1474</v>
      </c>
      <c r="E617" s="13">
        <v>-0.0179426152106719</v>
      </c>
      <c r="F617" s="13">
        <v>0.00527881842211926</v>
      </c>
      <c r="G617" s="13">
        <v>-3.39898321478323</v>
      </c>
      <c r="H617" s="63">
        <v>6.76368671755496E-4</v>
      </c>
      <c r="I617" s="13">
        <v>2817713.0</v>
      </c>
      <c r="J617" s="31" t="s">
        <v>1796</v>
      </c>
      <c r="K617" s="31" t="s">
        <v>1793</v>
      </c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13" t="s">
        <v>1092</v>
      </c>
      <c r="B618" s="13" t="s">
        <v>411</v>
      </c>
      <c r="C618" s="13" t="s">
        <v>570</v>
      </c>
      <c r="D618" s="13" t="s">
        <v>1474</v>
      </c>
      <c r="E618" s="13">
        <v>-0.0537504909119433</v>
      </c>
      <c r="F618" s="13">
        <v>0.0130961286756503</v>
      </c>
      <c r="G618" s="13">
        <v>-4.10430381704187</v>
      </c>
      <c r="H618" s="63">
        <v>4.05534236419392E-5</v>
      </c>
      <c r="I618" s="13">
        <v>168817.0</v>
      </c>
      <c r="J618" s="31" t="s">
        <v>1796</v>
      </c>
      <c r="K618" s="31" t="s">
        <v>1793</v>
      </c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13" t="s">
        <v>1092</v>
      </c>
      <c r="B619" s="13" t="s">
        <v>411</v>
      </c>
      <c r="C619" s="13" t="s">
        <v>42</v>
      </c>
      <c r="D619" s="13" t="s">
        <v>1474</v>
      </c>
      <c r="E619" s="13">
        <v>0.0262488632100385</v>
      </c>
      <c r="F619" s="13">
        <v>0.00520693274037165</v>
      </c>
      <c r="G619" s="13">
        <v>5.04113736797855</v>
      </c>
      <c r="H619" s="63">
        <v>4.6277311453777E-7</v>
      </c>
      <c r="I619" s="13">
        <v>2818705.0</v>
      </c>
      <c r="J619" s="31" t="s">
        <v>1796</v>
      </c>
      <c r="K619" s="31" t="s">
        <v>1793</v>
      </c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13" t="s">
        <v>1092</v>
      </c>
      <c r="B620" s="13" t="s">
        <v>411</v>
      </c>
      <c r="C620" s="13" t="s">
        <v>55</v>
      </c>
      <c r="D620" s="13" t="s">
        <v>1474</v>
      </c>
      <c r="E620" s="13">
        <v>-0.040630587575846</v>
      </c>
      <c r="F620" s="13">
        <v>0.00555167681088108</v>
      </c>
      <c r="G620" s="13">
        <v>-7.31861543096521</v>
      </c>
      <c r="H620" s="63">
        <v>2.50542457727042E-13</v>
      </c>
      <c r="I620" s="13">
        <v>2812674.0</v>
      </c>
      <c r="J620" s="31" t="s">
        <v>1796</v>
      </c>
      <c r="K620" s="31" t="s">
        <v>1793</v>
      </c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13" t="s">
        <v>1092</v>
      </c>
      <c r="B621" s="13" t="s">
        <v>411</v>
      </c>
      <c r="C621" s="13" t="s">
        <v>1797</v>
      </c>
      <c r="D621" s="13" t="s">
        <v>1474</v>
      </c>
      <c r="E621" s="13">
        <v>-0.0199538784856318</v>
      </c>
      <c r="F621" s="13">
        <v>0.00543504558770461</v>
      </c>
      <c r="G621" s="13">
        <v>-3.67133599224491</v>
      </c>
      <c r="H621" s="63">
        <v>2.41285891979655E-4</v>
      </c>
      <c r="I621" s="13">
        <v>2819507.0</v>
      </c>
      <c r="J621" s="31" t="s">
        <v>1796</v>
      </c>
      <c r="K621" s="31" t="s">
        <v>1793</v>
      </c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13" t="s">
        <v>1094</v>
      </c>
      <c r="B622" s="13" t="s">
        <v>411</v>
      </c>
      <c r="C622" s="13" t="s">
        <v>570</v>
      </c>
      <c r="D622" s="13" t="s">
        <v>1474</v>
      </c>
      <c r="E622" s="13">
        <v>-0.822006055628273</v>
      </c>
      <c r="F622" s="13">
        <v>0.00425429210496602</v>
      </c>
      <c r="G622" s="13">
        <v>-193.218057281198</v>
      </c>
      <c r="H622" s="13">
        <v>0.0</v>
      </c>
      <c r="I622" s="13">
        <v>167793.0</v>
      </c>
      <c r="J622" s="31" t="s">
        <v>1796</v>
      </c>
      <c r="K622" s="31" t="s">
        <v>1793</v>
      </c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13" t="s">
        <v>1094</v>
      </c>
      <c r="B623" s="13" t="s">
        <v>411</v>
      </c>
      <c r="C623" s="13" t="s">
        <v>42</v>
      </c>
      <c r="D623" s="13" t="s">
        <v>1474</v>
      </c>
      <c r="E623" s="13">
        <v>-0.830946510865803</v>
      </c>
      <c r="F623" s="13">
        <v>0.00252054202371003</v>
      </c>
      <c r="G623" s="13">
        <v>-329.669770648266</v>
      </c>
      <c r="H623" s="13">
        <v>0.0</v>
      </c>
      <c r="I623" s="13">
        <v>2799954.0</v>
      </c>
      <c r="J623" s="31" t="s">
        <v>1796</v>
      </c>
      <c r="K623" s="31" t="s">
        <v>1793</v>
      </c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13" t="s">
        <v>1094</v>
      </c>
      <c r="B624" s="13" t="s">
        <v>411</v>
      </c>
      <c r="C624" s="13" t="s">
        <v>55</v>
      </c>
      <c r="D624" s="13" t="s">
        <v>1474</v>
      </c>
      <c r="E624" s="13">
        <v>-0.764275321251043</v>
      </c>
      <c r="F624" s="13">
        <v>0.00316507330608335</v>
      </c>
      <c r="G624" s="13">
        <v>-241.471601868457</v>
      </c>
      <c r="H624" s="13">
        <v>0.0</v>
      </c>
      <c r="I624" s="13">
        <v>2794031.0</v>
      </c>
      <c r="J624" s="31" t="s">
        <v>1796</v>
      </c>
      <c r="K624" s="31" t="s">
        <v>1793</v>
      </c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13" t="s">
        <v>1094</v>
      </c>
      <c r="B625" s="13" t="s">
        <v>411</v>
      </c>
      <c r="C625" s="13" t="s">
        <v>1797</v>
      </c>
      <c r="D625" s="13" t="s">
        <v>1474</v>
      </c>
      <c r="E625" s="13">
        <v>-0.0245497631916335</v>
      </c>
      <c r="F625" s="13">
        <v>0.0103412171129652</v>
      </c>
      <c r="G625" s="13">
        <v>-2.37397232100025</v>
      </c>
      <c r="H625" s="13">
        <v>0.0175978696248706</v>
      </c>
      <c r="I625" s="13">
        <v>2800803.0</v>
      </c>
      <c r="J625" s="31" t="s">
        <v>1796</v>
      </c>
      <c r="K625" s="31" t="s">
        <v>1793</v>
      </c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13" t="s">
        <v>1098</v>
      </c>
      <c r="B626" s="13" t="s">
        <v>411</v>
      </c>
      <c r="C626" s="13" t="s">
        <v>570</v>
      </c>
      <c r="D626" s="13" t="s">
        <v>1474</v>
      </c>
      <c r="E626" s="13">
        <v>-0.826084436617121</v>
      </c>
      <c r="F626" s="13">
        <v>0.00408917740082294</v>
      </c>
      <c r="G626" s="13">
        <v>-202.017265489844</v>
      </c>
      <c r="H626" s="13">
        <v>0.0</v>
      </c>
      <c r="I626" s="13">
        <v>167919.0</v>
      </c>
      <c r="J626" s="31" t="s">
        <v>1796</v>
      </c>
      <c r="K626" s="31" t="s">
        <v>1793</v>
      </c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13" t="s">
        <v>1098</v>
      </c>
      <c r="B627" s="13" t="s">
        <v>411</v>
      </c>
      <c r="C627" s="13" t="s">
        <v>42</v>
      </c>
      <c r="D627" s="13" t="s">
        <v>1474</v>
      </c>
      <c r="E627" s="13">
        <v>-0.835206903170869</v>
      </c>
      <c r="F627" s="13">
        <v>0.0024012322220601</v>
      </c>
      <c r="G627" s="13">
        <v>-347.824294334311</v>
      </c>
      <c r="H627" s="13">
        <v>0.0</v>
      </c>
      <c r="I627" s="13">
        <v>2801838.0</v>
      </c>
      <c r="J627" s="31" t="s">
        <v>1796</v>
      </c>
      <c r="K627" s="31" t="s">
        <v>1793</v>
      </c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13" t="s">
        <v>1098</v>
      </c>
      <c r="B628" s="13" t="s">
        <v>411</v>
      </c>
      <c r="C628" s="13" t="s">
        <v>55</v>
      </c>
      <c r="D628" s="13" t="s">
        <v>1474</v>
      </c>
      <c r="E628" s="13">
        <v>-0.768814653589082</v>
      </c>
      <c r="F628" s="13">
        <v>0.00313820101180222</v>
      </c>
      <c r="G628" s="13">
        <v>-244.985789851479</v>
      </c>
      <c r="H628" s="13">
        <v>0.0</v>
      </c>
      <c r="I628" s="13">
        <v>2795893.0</v>
      </c>
      <c r="J628" s="31" t="s">
        <v>1796</v>
      </c>
      <c r="K628" s="31" t="s">
        <v>1793</v>
      </c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13" t="s">
        <v>1098</v>
      </c>
      <c r="B629" s="13" t="s">
        <v>411</v>
      </c>
      <c r="C629" s="13" t="s">
        <v>1797</v>
      </c>
      <c r="D629" s="13" t="s">
        <v>1474</v>
      </c>
      <c r="E629" s="13">
        <v>-0.0374280462556211</v>
      </c>
      <c r="F629" s="13">
        <v>0.0106063079753129</v>
      </c>
      <c r="G629" s="13">
        <v>-3.52884777084902</v>
      </c>
      <c r="H629" s="63">
        <v>4.1737314494029E-4</v>
      </c>
      <c r="I629" s="13">
        <v>2802683.0</v>
      </c>
      <c r="J629" s="31" t="s">
        <v>1796</v>
      </c>
      <c r="K629" s="31" t="s">
        <v>1793</v>
      </c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13" t="s">
        <v>1100</v>
      </c>
      <c r="B630" s="13" t="s">
        <v>411</v>
      </c>
      <c r="C630" s="13" t="s">
        <v>570</v>
      </c>
      <c r="D630" s="13" t="s">
        <v>1474</v>
      </c>
      <c r="E630" s="13">
        <v>-0.815634735629848</v>
      </c>
      <c r="F630" s="13">
        <v>0.00447094533539974</v>
      </c>
      <c r="G630" s="13">
        <v>-182.430039833382</v>
      </c>
      <c r="H630" s="13">
        <v>0.0</v>
      </c>
      <c r="I630" s="13">
        <v>167586.0</v>
      </c>
      <c r="J630" s="31" t="s">
        <v>1796</v>
      </c>
      <c r="K630" s="31" t="s">
        <v>1793</v>
      </c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13" t="s">
        <v>1100</v>
      </c>
      <c r="B631" s="13" t="s">
        <v>411</v>
      </c>
      <c r="C631" s="13" t="s">
        <v>42</v>
      </c>
      <c r="D631" s="13" t="s">
        <v>1474</v>
      </c>
      <c r="E631" s="13">
        <v>-0.818869942884671</v>
      </c>
      <c r="F631" s="13">
        <v>0.00278313813002721</v>
      </c>
      <c r="G631" s="13">
        <v>-294.22540478674</v>
      </c>
      <c r="H631" s="13">
        <v>0.0</v>
      </c>
      <c r="I631" s="13">
        <v>2796541.0</v>
      </c>
      <c r="J631" s="31" t="s">
        <v>1796</v>
      </c>
      <c r="K631" s="31" t="s">
        <v>1793</v>
      </c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13" t="s">
        <v>1100</v>
      </c>
      <c r="B632" s="13" t="s">
        <v>411</v>
      </c>
      <c r="C632" s="13" t="s">
        <v>55</v>
      </c>
      <c r="D632" s="13" t="s">
        <v>1474</v>
      </c>
      <c r="E632" s="13">
        <v>-0.752753419090045</v>
      </c>
      <c r="F632" s="13">
        <v>0.00335268964033737</v>
      </c>
      <c r="G632" s="13">
        <v>-224.52224925129</v>
      </c>
      <c r="H632" s="13">
        <v>0.0</v>
      </c>
      <c r="I632" s="13">
        <v>2790627.0</v>
      </c>
      <c r="J632" s="31" t="s">
        <v>1796</v>
      </c>
      <c r="K632" s="31" t="s">
        <v>1793</v>
      </c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13" t="s">
        <v>1100</v>
      </c>
      <c r="B633" s="13" t="s">
        <v>411</v>
      </c>
      <c r="C633" s="13" t="s">
        <v>1797</v>
      </c>
      <c r="D633" s="13" t="s">
        <v>1474</v>
      </c>
      <c r="E633" s="13">
        <v>-0.0181727461089481</v>
      </c>
      <c r="F633" s="13">
        <v>0.010351786895131</v>
      </c>
      <c r="G633" s="13">
        <v>-1.7555177954345</v>
      </c>
      <c r="H633" s="13">
        <v>0.0791707794805396</v>
      </c>
      <c r="I633" s="13">
        <v>2797385.0</v>
      </c>
      <c r="J633" s="31" t="s">
        <v>1796</v>
      </c>
      <c r="K633" s="31" t="s">
        <v>1793</v>
      </c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13" t="s">
        <v>1103</v>
      </c>
      <c r="B634" s="13" t="s">
        <v>411</v>
      </c>
      <c r="C634" s="13" t="s">
        <v>570</v>
      </c>
      <c r="D634" s="13" t="s">
        <v>1474</v>
      </c>
      <c r="E634" s="13">
        <v>-0.813328834573184</v>
      </c>
      <c r="F634" s="13">
        <v>0.00478122395681937</v>
      </c>
      <c r="G634" s="13">
        <v>-170.108918117744</v>
      </c>
      <c r="H634" s="13">
        <v>0.0</v>
      </c>
      <c r="I634" s="13">
        <v>167844.0</v>
      </c>
      <c r="J634" s="31" t="s">
        <v>1796</v>
      </c>
      <c r="K634" s="31" t="s">
        <v>1793</v>
      </c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13" t="s">
        <v>1103</v>
      </c>
      <c r="B635" s="13" t="s">
        <v>411</v>
      </c>
      <c r="C635" s="13" t="s">
        <v>42</v>
      </c>
      <c r="D635" s="13" t="s">
        <v>1474</v>
      </c>
      <c r="E635" s="13">
        <v>-0.821825161277923</v>
      </c>
      <c r="F635" s="13">
        <v>0.0027063619599156</v>
      </c>
      <c r="G635" s="13">
        <v>-303.664171108712</v>
      </c>
      <c r="H635" s="13">
        <v>0.0</v>
      </c>
      <c r="I635" s="13">
        <v>2801627.0</v>
      </c>
      <c r="J635" s="31" t="s">
        <v>1796</v>
      </c>
      <c r="K635" s="31" t="s">
        <v>1793</v>
      </c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13" t="s">
        <v>1103</v>
      </c>
      <c r="B636" s="13" t="s">
        <v>411</v>
      </c>
      <c r="C636" s="13" t="s">
        <v>55</v>
      </c>
      <c r="D636" s="13" t="s">
        <v>1474</v>
      </c>
      <c r="E636" s="13">
        <v>-0.754712811577361</v>
      </c>
      <c r="F636" s="13">
        <v>0.00333617505342696</v>
      </c>
      <c r="G636" s="13">
        <v>-226.220986456364</v>
      </c>
      <c r="H636" s="13">
        <v>0.0</v>
      </c>
      <c r="I636" s="13">
        <v>2795696.0</v>
      </c>
      <c r="J636" s="31" t="s">
        <v>1796</v>
      </c>
      <c r="K636" s="31" t="s">
        <v>1793</v>
      </c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13" t="s">
        <v>1103</v>
      </c>
      <c r="B637" s="13" t="s">
        <v>411</v>
      </c>
      <c r="C637" s="13" t="s">
        <v>1797</v>
      </c>
      <c r="D637" s="13" t="s">
        <v>1474</v>
      </c>
      <c r="E637" s="13">
        <v>-0.0251713383851161</v>
      </c>
      <c r="F637" s="13">
        <v>0.0102826191791761</v>
      </c>
      <c r="G637" s="13">
        <v>-2.44795007444134</v>
      </c>
      <c r="H637" s="13">
        <v>0.0143671561883193</v>
      </c>
      <c r="I637" s="13">
        <v>2802465.0</v>
      </c>
      <c r="J637" s="31" t="s">
        <v>1796</v>
      </c>
      <c r="K637" s="31" t="s">
        <v>1793</v>
      </c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13" t="s">
        <v>1105</v>
      </c>
      <c r="B638" s="13" t="s">
        <v>411</v>
      </c>
      <c r="C638" s="13" t="s">
        <v>570</v>
      </c>
      <c r="D638" s="13" t="s">
        <v>1474</v>
      </c>
      <c r="E638" s="13">
        <v>-0.813098696109813</v>
      </c>
      <c r="F638" s="13">
        <v>0.00463812677964412</v>
      </c>
      <c r="G638" s="13">
        <v>-175.307561595416</v>
      </c>
      <c r="H638" s="13">
        <v>0.0</v>
      </c>
      <c r="I638" s="13">
        <v>167714.0</v>
      </c>
      <c r="J638" s="31" t="s">
        <v>1796</v>
      </c>
      <c r="K638" s="31" t="s">
        <v>1793</v>
      </c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13" t="s">
        <v>1105</v>
      </c>
      <c r="B639" s="13" t="s">
        <v>411</v>
      </c>
      <c r="C639" s="13" t="s">
        <v>42</v>
      </c>
      <c r="D639" s="13" t="s">
        <v>1474</v>
      </c>
      <c r="E639" s="13">
        <v>-0.819021890627657</v>
      </c>
      <c r="F639" s="13">
        <v>0.00272733134148188</v>
      </c>
      <c r="G639" s="13">
        <v>-300.301572519107</v>
      </c>
      <c r="H639" s="13">
        <v>0.0</v>
      </c>
      <c r="I639" s="13">
        <v>2799956.0</v>
      </c>
      <c r="J639" s="31" t="s">
        <v>1796</v>
      </c>
      <c r="K639" s="31" t="s">
        <v>1793</v>
      </c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13" t="s">
        <v>1105</v>
      </c>
      <c r="B640" s="13" t="s">
        <v>411</v>
      </c>
      <c r="C640" s="13" t="s">
        <v>55</v>
      </c>
      <c r="D640" s="13" t="s">
        <v>1474</v>
      </c>
      <c r="E640" s="13">
        <v>-0.754993595012111</v>
      </c>
      <c r="F640" s="13">
        <v>0.00331613086763902</v>
      </c>
      <c r="G640" s="13">
        <v>-227.67303980064</v>
      </c>
      <c r="H640" s="13">
        <v>0.0</v>
      </c>
      <c r="I640" s="13">
        <v>2794029.0</v>
      </c>
      <c r="J640" s="31" t="s">
        <v>1796</v>
      </c>
      <c r="K640" s="31" t="s">
        <v>1793</v>
      </c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13" t="s">
        <v>1105</v>
      </c>
      <c r="B641" s="13" t="s">
        <v>411</v>
      </c>
      <c r="C641" s="13" t="s">
        <v>1797</v>
      </c>
      <c r="D641" s="13" t="s">
        <v>1474</v>
      </c>
      <c r="E641" s="13">
        <v>-0.0250430767472212</v>
      </c>
      <c r="F641" s="13">
        <v>0.0102895200402113</v>
      </c>
      <c r="G641" s="13">
        <v>-2.43384304120631</v>
      </c>
      <c r="H641" s="13">
        <v>0.0149394717486622</v>
      </c>
      <c r="I641" s="13">
        <v>2800828.0</v>
      </c>
      <c r="J641" s="31" t="s">
        <v>1796</v>
      </c>
      <c r="K641" s="31" t="s">
        <v>1793</v>
      </c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13" t="s">
        <v>1107</v>
      </c>
      <c r="B642" s="13" t="s">
        <v>411</v>
      </c>
      <c r="C642" s="13" t="s">
        <v>570</v>
      </c>
      <c r="D642" s="13" t="s">
        <v>1474</v>
      </c>
      <c r="E642" s="13">
        <v>-0.515294958086206</v>
      </c>
      <c r="F642" s="13">
        <v>0.0108723818280358</v>
      </c>
      <c r="G642" s="13">
        <v>-47.3948548014982</v>
      </c>
      <c r="H642" s="13">
        <v>0.0</v>
      </c>
      <c r="I642" s="13">
        <v>168753.0</v>
      </c>
      <c r="J642" s="31" t="s">
        <v>1796</v>
      </c>
      <c r="K642" s="31" t="s">
        <v>1793</v>
      </c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13" t="s">
        <v>1107</v>
      </c>
      <c r="B643" s="13" t="s">
        <v>411</v>
      </c>
      <c r="C643" s="13" t="s">
        <v>42</v>
      </c>
      <c r="D643" s="13" t="s">
        <v>1474</v>
      </c>
      <c r="E643" s="13">
        <v>-0.509029943681792</v>
      </c>
      <c r="F643" s="13">
        <v>0.00814815945406895</v>
      </c>
      <c r="G643" s="13">
        <v>-62.4717700422022</v>
      </c>
      <c r="H643" s="13">
        <v>0.0</v>
      </c>
      <c r="I643" s="13">
        <v>2817150.0</v>
      </c>
      <c r="J643" s="31" t="s">
        <v>1796</v>
      </c>
      <c r="K643" s="31" t="s">
        <v>1793</v>
      </c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13" t="s">
        <v>1107</v>
      </c>
      <c r="B644" s="13" t="s">
        <v>411</v>
      </c>
      <c r="C644" s="13" t="s">
        <v>55</v>
      </c>
      <c r="D644" s="13" t="s">
        <v>1474</v>
      </c>
      <c r="E644" s="13">
        <v>-0.445756184341761</v>
      </c>
      <c r="F644" s="13">
        <v>0.00871529152674116</v>
      </c>
      <c r="G644" s="13">
        <v>-51.1464456437339</v>
      </c>
      <c r="H644" s="13">
        <v>0.0</v>
      </c>
      <c r="I644" s="13">
        <v>2811135.0</v>
      </c>
      <c r="J644" s="31" t="s">
        <v>1796</v>
      </c>
      <c r="K644" s="31" t="s">
        <v>1793</v>
      </c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13" t="s">
        <v>1107</v>
      </c>
      <c r="B645" s="13" t="s">
        <v>411</v>
      </c>
      <c r="C645" s="13" t="s">
        <v>1797</v>
      </c>
      <c r="D645" s="13" t="s">
        <v>1474</v>
      </c>
      <c r="E645" s="13">
        <v>0.039819804088159</v>
      </c>
      <c r="F645" s="13">
        <v>0.010168415182864</v>
      </c>
      <c r="G645" s="13">
        <v>3.91602854250718</v>
      </c>
      <c r="H645" s="63">
        <v>9.00195952654955E-5</v>
      </c>
      <c r="I645" s="13">
        <v>2817958.0</v>
      </c>
      <c r="J645" s="31" t="s">
        <v>1796</v>
      </c>
      <c r="K645" s="31" t="s">
        <v>1793</v>
      </c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13" t="s">
        <v>1110</v>
      </c>
      <c r="B646" s="13" t="s">
        <v>411</v>
      </c>
      <c r="C646" s="13" t="s">
        <v>570</v>
      </c>
      <c r="D646" s="13" t="s">
        <v>1474</v>
      </c>
      <c r="E646" s="13">
        <v>-0.561236431048907</v>
      </c>
      <c r="F646" s="13">
        <v>0.010322854923987</v>
      </c>
      <c r="G646" s="13">
        <v>-54.3683346498234</v>
      </c>
      <c r="H646" s="13">
        <v>0.0</v>
      </c>
      <c r="I646" s="13">
        <v>168197.0</v>
      </c>
      <c r="J646" s="31" t="s">
        <v>1796</v>
      </c>
      <c r="K646" s="31" t="s">
        <v>1793</v>
      </c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13" t="s">
        <v>1110</v>
      </c>
      <c r="B647" s="13" t="s">
        <v>411</v>
      </c>
      <c r="C647" s="13" t="s">
        <v>42</v>
      </c>
      <c r="D647" s="13" t="s">
        <v>1474</v>
      </c>
      <c r="E647" s="13">
        <v>-0.562699592891523</v>
      </c>
      <c r="F647" s="13">
        <v>0.00777601976069128</v>
      </c>
      <c r="G647" s="13">
        <v>-72.363446880117</v>
      </c>
      <c r="H647" s="13">
        <v>0.0</v>
      </c>
      <c r="I647" s="13">
        <v>2808964.0</v>
      </c>
      <c r="J647" s="31" t="s">
        <v>1796</v>
      </c>
      <c r="K647" s="31" t="s">
        <v>1793</v>
      </c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13" t="s">
        <v>1110</v>
      </c>
      <c r="B648" s="13" t="s">
        <v>411</v>
      </c>
      <c r="C648" s="13" t="s">
        <v>55</v>
      </c>
      <c r="D648" s="13" t="s">
        <v>1474</v>
      </c>
      <c r="E648" s="13">
        <v>-0.504061425795227</v>
      </c>
      <c r="F648" s="13">
        <v>0.00815717678802607</v>
      </c>
      <c r="G648" s="13">
        <v>-61.7936130224784</v>
      </c>
      <c r="H648" s="13">
        <v>0.0</v>
      </c>
      <c r="I648" s="13">
        <v>2802945.0</v>
      </c>
      <c r="J648" s="31" t="s">
        <v>1796</v>
      </c>
      <c r="K648" s="31" t="s">
        <v>1793</v>
      </c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13" t="s">
        <v>1110</v>
      </c>
      <c r="B649" s="13" t="s">
        <v>411</v>
      </c>
      <c r="C649" s="13" t="s">
        <v>1797</v>
      </c>
      <c r="D649" s="13" t="s">
        <v>1474</v>
      </c>
      <c r="E649" s="13">
        <v>0.00742975788814684</v>
      </c>
      <c r="F649" s="13">
        <v>0.0110517747110743</v>
      </c>
      <c r="G649" s="13">
        <v>0.672268308247532</v>
      </c>
      <c r="H649" s="13">
        <v>0.501412901494979</v>
      </c>
      <c r="I649" s="13">
        <v>2809770.0</v>
      </c>
      <c r="J649" s="31" t="s">
        <v>1796</v>
      </c>
      <c r="K649" s="31" t="s">
        <v>1793</v>
      </c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13" t="s">
        <v>1112</v>
      </c>
      <c r="B650" s="13" t="s">
        <v>411</v>
      </c>
      <c r="C650" s="13" t="s">
        <v>570</v>
      </c>
      <c r="D650" s="13" t="s">
        <v>1474</v>
      </c>
      <c r="E650" s="13">
        <v>-0.463614632467723</v>
      </c>
      <c r="F650" s="13">
        <v>0.0126989709024091</v>
      </c>
      <c r="G650" s="13">
        <v>-36.5080474654658</v>
      </c>
      <c r="H650" s="63">
        <v>8.26483146449047E-292</v>
      </c>
      <c r="I650" s="13">
        <v>168082.0</v>
      </c>
      <c r="J650" s="31" t="s">
        <v>1796</v>
      </c>
      <c r="K650" s="31" t="s">
        <v>1793</v>
      </c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13" t="s">
        <v>1112</v>
      </c>
      <c r="B651" s="13" t="s">
        <v>411</v>
      </c>
      <c r="C651" s="13" t="s">
        <v>42</v>
      </c>
      <c r="D651" s="13" t="s">
        <v>1474</v>
      </c>
      <c r="E651" s="13">
        <v>-0.446633615689277</v>
      </c>
      <c r="F651" s="13">
        <v>0.0100841456487749</v>
      </c>
      <c r="G651" s="13">
        <v>-44.2906748122521</v>
      </c>
      <c r="H651" s="13">
        <v>0.0</v>
      </c>
      <c r="I651" s="13">
        <v>2807284.0</v>
      </c>
      <c r="J651" s="31" t="s">
        <v>1796</v>
      </c>
      <c r="K651" s="31" t="s">
        <v>1793</v>
      </c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13" t="s">
        <v>1112</v>
      </c>
      <c r="B652" s="13" t="s">
        <v>411</v>
      </c>
      <c r="C652" s="13" t="s">
        <v>55</v>
      </c>
      <c r="D652" s="13" t="s">
        <v>1474</v>
      </c>
      <c r="E652" s="13">
        <v>-0.414292786475304</v>
      </c>
      <c r="F652" s="13">
        <v>0.0100389304999261</v>
      </c>
      <c r="G652" s="13">
        <v>-41.2686178550944</v>
      </c>
      <c r="H652" s="13">
        <v>0.0</v>
      </c>
      <c r="I652" s="13">
        <v>2801280.0</v>
      </c>
      <c r="J652" s="31" t="s">
        <v>1796</v>
      </c>
      <c r="K652" s="31" t="s">
        <v>1793</v>
      </c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13" t="s">
        <v>1112</v>
      </c>
      <c r="B653" s="13" t="s">
        <v>411</v>
      </c>
      <c r="C653" s="13" t="s">
        <v>1797</v>
      </c>
      <c r="D653" s="13" t="s">
        <v>1474</v>
      </c>
      <c r="E653" s="13">
        <v>0.0285246859149339</v>
      </c>
      <c r="F653" s="13">
        <v>0.0109246243236356</v>
      </c>
      <c r="G653" s="13">
        <v>2.61104501810832</v>
      </c>
      <c r="H653" s="13">
        <v>0.00902660104036343</v>
      </c>
      <c r="I653" s="13">
        <v>2808090.0</v>
      </c>
      <c r="J653" s="31" t="s">
        <v>1796</v>
      </c>
      <c r="K653" s="31" t="s">
        <v>1793</v>
      </c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13" t="s">
        <v>1114</v>
      </c>
      <c r="B654" s="13" t="s">
        <v>411</v>
      </c>
      <c r="C654" s="13" t="s">
        <v>570</v>
      </c>
      <c r="D654" s="13" t="s">
        <v>1474</v>
      </c>
      <c r="E654" s="13">
        <v>-0.54229254249569</v>
      </c>
      <c r="F654" s="13">
        <v>0.010401252079884</v>
      </c>
      <c r="G654" s="13">
        <v>-52.1372367798372</v>
      </c>
      <c r="H654" s="13">
        <v>0.0</v>
      </c>
      <c r="I654" s="13">
        <v>167857.0</v>
      </c>
      <c r="J654" s="31" t="s">
        <v>1796</v>
      </c>
      <c r="K654" s="31" t="s">
        <v>1793</v>
      </c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13" t="s">
        <v>1114</v>
      </c>
      <c r="B655" s="13" t="s">
        <v>411</v>
      </c>
      <c r="C655" s="13" t="s">
        <v>42</v>
      </c>
      <c r="D655" s="13" t="s">
        <v>1474</v>
      </c>
      <c r="E655" s="13">
        <v>-0.533330210389635</v>
      </c>
      <c r="F655" s="13">
        <v>0.00825902842085589</v>
      </c>
      <c r="G655" s="13">
        <v>-64.5754177383453</v>
      </c>
      <c r="H655" s="13">
        <v>0.0</v>
      </c>
      <c r="I655" s="13">
        <v>2803114.0</v>
      </c>
      <c r="J655" s="31" t="s">
        <v>1796</v>
      </c>
      <c r="K655" s="31" t="s">
        <v>1793</v>
      </c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13" t="s">
        <v>1114</v>
      </c>
      <c r="B656" s="13" t="s">
        <v>411</v>
      </c>
      <c r="C656" s="13" t="s">
        <v>55</v>
      </c>
      <c r="D656" s="13" t="s">
        <v>1474</v>
      </c>
      <c r="E656" s="13">
        <v>-0.486801069074531</v>
      </c>
      <c r="F656" s="13">
        <v>0.00838324138588339</v>
      </c>
      <c r="G656" s="13">
        <v>-58.0683588443796</v>
      </c>
      <c r="H656" s="13">
        <v>0.0</v>
      </c>
      <c r="I656" s="13">
        <v>2797107.0</v>
      </c>
      <c r="J656" s="31" t="s">
        <v>1796</v>
      </c>
      <c r="K656" s="31" t="s">
        <v>1793</v>
      </c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13" t="s">
        <v>1114</v>
      </c>
      <c r="B657" s="13" t="s">
        <v>411</v>
      </c>
      <c r="C657" s="13" t="s">
        <v>1797</v>
      </c>
      <c r="D657" s="13" t="s">
        <v>1474</v>
      </c>
      <c r="E657" s="13">
        <v>0.0259063555353359</v>
      </c>
      <c r="F657" s="13">
        <v>0.010861410406218</v>
      </c>
      <c r="G657" s="13">
        <v>2.38517416858723</v>
      </c>
      <c r="H657" s="13">
        <v>0.0170710371482203</v>
      </c>
      <c r="I657" s="13">
        <v>2803922.0</v>
      </c>
      <c r="J657" s="31" t="s">
        <v>1796</v>
      </c>
      <c r="K657" s="31" t="s">
        <v>1793</v>
      </c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13" t="s">
        <v>1116</v>
      </c>
      <c r="B658" s="13" t="s">
        <v>411</v>
      </c>
      <c r="C658" s="13" t="s">
        <v>570</v>
      </c>
      <c r="D658" s="13" t="s">
        <v>1474</v>
      </c>
      <c r="E658" s="13">
        <v>-0.611032812648085</v>
      </c>
      <c r="F658" s="13">
        <v>0.00949148871480736</v>
      </c>
      <c r="G658" s="13">
        <v>-64.3769203133364</v>
      </c>
      <c r="H658" s="13">
        <v>0.0</v>
      </c>
      <c r="I658" s="13">
        <v>168116.0</v>
      </c>
      <c r="J658" s="31" t="s">
        <v>1796</v>
      </c>
      <c r="K658" s="31" t="s">
        <v>1793</v>
      </c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13" t="s">
        <v>1116</v>
      </c>
      <c r="B659" s="13" t="s">
        <v>411</v>
      </c>
      <c r="C659" s="13" t="s">
        <v>42</v>
      </c>
      <c r="D659" s="13" t="s">
        <v>1474</v>
      </c>
      <c r="E659" s="13">
        <v>-0.604112749577605</v>
      </c>
      <c r="F659" s="13">
        <v>0.00688783711296425</v>
      </c>
      <c r="G659" s="13">
        <v>-87.7071771108737</v>
      </c>
      <c r="H659" s="13">
        <v>0.0</v>
      </c>
      <c r="I659" s="13">
        <v>2807339.0</v>
      </c>
      <c r="J659" s="31" t="s">
        <v>1796</v>
      </c>
      <c r="K659" s="31" t="s">
        <v>1793</v>
      </c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13" t="s">
        <v>1116</v>
      </c>
      <c r="B660" s="13" t="s">
        <v>411</v>
      </c>
      <c r="C660" s="13" t="s">
        <v>55</v>
      </c>
      <c r="D660" s="13" t="s">
        <v>1474</v>
      </c>
      <c r="E660" s="13">
        <v>-0.545151407547214</v>
      </c>
      <c r="F660" s="13">
        <v>0.00732336061153082</v>
      </c>
      <c r="G660" s="13">
        <v>-74.4400605766781</v>
      </c>
      <c r="H660" s="13">
        <v>0.0</v>
      </c>
      <c r="I660" s="13">
        <v>2801332.0</v>
      </c>
      <c r="J660" s="31" t="s">
        <v>1796</v>
      </c>
      <c r="K660" s="31" t="s">
        <v>1793</v>
      </c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13" t="s">
        <v>1116</v>
      </c>
      <c r="B661" s="13" t="s">
        <v>411</v>
      </c>
      <c r="C661" s="13" t="s">
        <v>1797</v>
      </c>
      <c r="D661" s="13" t="s">
        <v>1474</v>
      </c>
      <c r="E661" s="13">
        <v>0.018249950964075</v>
      </c>
      <c r="F661" s="13">
        <v>0.0105936989398768</v>
      </c>
      <c r="G661" s="13">
        <v>1.72271753876056</v>
      </c>
      <c r="H661" s="13">
        <v>0.0849396170825265</v>
      </c>
      <c r="I661" s="13">
        <v>2808166.0</v>
      </c>
      <c r="J661" s="31" t="s">
        <v>1796</v>
      </c>
      <c r="K661" s="31" t="s">
        <v>1793</v>
      </c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13" t="s">
        <v>425</v>
      </c>
      <c r="B662" s="13" t="s">
        <v>411</v>
      </c>
      <c r="C662" s="13" t="s">
        <v>570</v>
      </c>
      <c r="D662" s="13" t="s">
        <v>1474</v>
      </c>
      <c r="E662" s="13">
        <v>-0.241327904623474</v>
      </c>
      <c r="F662" s="13">
        <v>0.0141573289085417</v>
      </c>
      <c r="G662" s="13">
        <v>-17.0461466412545</v>
      </c>
      <c r="H662" s="63">
        <v>3.73349756917381E-65</v>
      </c>
      <c r="I662" s="13">
        <v>158452.0</v>
      </c>
      <c r="J662" s="31" t="s">
        <v>1796</v>
      </c>
      <c r="K662" s="31" t="s">
        <v>1793</v>
      </c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13" t="s">
        <v>425</v>
      </c>
      <c r="B663" s="13" t="s">
        <v>411</v>
      </c>
      <c r="C663" s="13" t="s">
        <v>42</v>
      </c>
      <c r="D663" s="13" t="s">
        <v>1474</v>
      </c>
      <c r="E663" s="13">
        <v>-0.231794387436744</v>
      </c>
      <c r="F663" s="13">
        <v>0.00856600525304776</v>
      </c>
      <c r="G663" s="13">
        <v>-27.0597998237594</v>
      </c>
      <c r="H663" s="63">
        <v>2.92886533075368E-161</v>
      </c>
      <c r="I663" s="13">
        <v>2600951.0</v>
      </c>
      <c r="J663" s="31" t="s">
        <v>1796</v>
      </c>
      <c r="K663" s="31" t="s">
        <v>1793</v>
      </c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13" t="s">
        <v>425</v>
      </c>
      <c r="B664" s="13" t="s">
        <v>411</v>
      </c>
      <c r="C664" s="13" t="s">
        <v>55</v>
      </c>
      <c r="D664" s="13" t="s">
        <v>1474</v>
      </c>
      <c r="E664" s="13">
        <v>-0.208767838195126</v>
      </c>
      <c r="F664" s="13">
        <v>0.00853951266757808</v>
      </c>
      <c r="G664" s="13">
        <v>-24.4472777688771</v>
      </c>
      <c r="H664" s="63">
        <v>5.37931301166371E-132</v>
      </c>
      <c r="I664" s="13">
        <v>2598115.0</v>
      </c>
      <c r="J664" s="31" t="s">
        <v>1796</v>
      </c>
      <c r="K664" s="31" t="s">
        <v>1793</v>
      </c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13" t="s">
        <v>425</v>
      </c>
      <c r="B665" s="13" t="s">
        <v>411</v>
      </c>
      <c r="C665" s="13" t="s">
        <v>1797</v>
      </c>
      <c r="D665" s="13" t="s">
        <v>1474</v>
      </c>
      <c r="E665" s="13">
        <v>0.118417955494828</v>
      </c>
      <c r="F665" s="13">
        <v>0.00695725353048699</v>
      </c>
      <c r="G665" s="13">
        <v>17.0207906001866</v>
      </c>
      <c r="H665" s="63">
        <v>5.7587781350557E-65</v>
      </c>
      <c r="I665" s="13">
        <v>2600996.0</v>
      </c>
      <c r="J665" s="31" t="s">
        <v>1796</v>
      </c>
      <c r="K665" s="31" t="s">
        <v>1793</v>
      </c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13" t="s">
        <v>518</v>
      </c>
      <c r="B666" s="13" t="s">
        <v>411</v>
      </c>
      <c r="C666" s="13" t="s">
        <v>570</v>
      </c>
      <c r="D666" s="13" t="s">
        <v>1474</v>
      </c>
      <c r="E666" s="13">
        <v>-0.380556916135583</v>
      </c>
      <c r="F666" s="13">
        <v>0.0204994356810955</v>
      </c>
      <c r="G666" s="13">
        <v>-18.5642630390324</v>
      </c>
      <c r="H666" s="63">
        <v>6.25393229318046E-77</v>
      </c>
      <c r="I666" s="13">
        <v>43606.0</v>
      </c>
      <c r="J666" s="31" t="s">
        <v>1796</v>
      </c>
      <c r="K666" s="31" t="s">
        <v>1793</v>
      </c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13" t="s">
        <v>518</v>
      </c>
      <c r="B667" s="13" t="s">
        <v>411</v>
      </c>
      <c r="C667" s="13" t="s">
        <v>42</v>
      </c>
      <c r="D667" s="13" t="s">
        <v>1474</v>
      </c>
      <c r="E667" s="13">
        <v>-0.338697494110314</v>
      </c>
      <c r="F667" s="13">
        <v>0.00954271477078676</v>
      </c>
      <c r="G667" s="13">
        <v>-35.492781901768</v>
      </c>
      <c r="H667" s="63">
        <v>6.35212342392379E-276</v>
      </c>
      <c r="I667" s="13">
        <v>673410.0</v>
      </c>
      <c r="J667" s="31" t="s">
        <v>1796</v>
      </c>
      <c r="K667" s="31" t="s">
        <v>1793</v>
      </c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13" t="s">
        <v>518</v>
      </c>
      <c r="B668" s="13" t="s">
        <v>411</v>
      </c>
      <c r="C668" s="13" t="s">
        <v>55</v>
      </c>
      <c r="D668" s="13" t="s">
        <v>1474</v>
      </c>
      <c r="E668" s="13">
        <v>-0.308064410638417</v>
      </c>
      <c r="F668" s="13">
        <v>0.00932953431154779</v>
      </c>
      <c r="G668" s="13">
        <v>-33.020341675265</v>
      </c>
      <c r="H668" s="63">
        <v>4.14757929709659E-239</v>
      </c>
      <c r="I668" s="13">
        <v>673040.0</v>
      </c>
      <c r="J668" s="31" t="s">
        <v>1796</v>
      </c>
      <c r="K668" s="31" t="s">
        <v>1793</v>
      </c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13" t="s">
        <v>518</v>
      </c>
      <c r="B669" s="13" t="s">
        <v>411</v>
      </c>
      <c r="C669" s="13" t="s">
        <v>1797</v>
      </c>
      <c r="D669" s="13" t="s">
        <v>1474</v>
      </c>
      <c r="E669" s="13">
        <v>0.178539569483498</v>
      </c>
      <c r="F669" s="13">
        <v>0.00826493740067869</v>
      </c>
      <c r="G669" s="13">
        <v>21.6020473995165</v>
      </c>
      <c r="H669" s="63">
        <v>1.71828658569128E-103</v>
      </c>
      <c r="I669" s="13">
        <v>673388.0</v>
      </c>
      <c r="J669" s="31" t="s">
        <v>1796</v>
      </c>
      <c r="K669" s="31" t="s">
        <v>1793</v>
      </c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13" t="s">
        <v>504</v>
      </c>
      <c r="B670" s="13" t="s">
        <v>411</v>
      </c>
      <c r="C670" s="13" t="s">
        <v>570</v>
      </c>
      <c r="D670" s="13" t="s">
        <v>1474</v>
      </c>
      <c r="E670" s="13">
        <v>-0.256546568649694</v>
      </c>
      <c r="F670" s="13">
        <v>0.0193132459532658</v>
      </c>
      <c r="G670" s="13">
        <v>-13.2834516409351</v>
      </c>
      <c r="H670" s="63">
        <v>2.88770020507273E-40</v>
      </c>
      <c r="I670" s="13">
        <v>65318.0</v>
      </c>
      <c r="J670" s="31" t="s">
        <v>1796</v>
      </c>
      <c r="K670" s="31" t="s">
        <v>1793</v>
      </c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13" t="s">
        <v>504</v>
      </c>
      <c r="B671" s="13" t="s">
        <v>411</v>
      </c>
      <c r="C671" s="13" t="s">
        <v>42</v>
      </c>
      <c r="D671" s="13" t="s">
        <v>1474</v>
      </c>
      <c r="E671" s="13">
        <v>-0.235293094245601</v>
      </c>
      <c r="F671" s="13">
        <v>0.00928684477869235</v>
      </c>
      <c r="G671" s="13">
        <v>-25.3361717410692</v>
      </c>
      <c r="H671" s="63">
        <v>1.27650084997015E-141</v>
      </c>
      <c r="I671" s="13">
        <v>993643.0</v>
      </c>
      <c r="J671" s="31" t="s">
        <v>1796</v>
      </c>
      <c r="K671" s="31" t="s">
        <v>1793</v>
      </c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13" t="s">
        <v>504</v>
      </c>
      <c r="B672" s="13" t="s">
        <v>411</v>
      </c>
      <c r="C672" s="13" t="s">
        <v>55</v>
      </c>
      <c r="D672" s="13" t="s">
        <v>1474</v>
      </c>
      <c r="E672" s="13">
        <v>-0.213009437214753</v>
      </c>
      <c r="F672" s="13">
        <v>0.00935666918246256</v>
      </c>
      <c r="G672" s="13">
        <v>-22.7655197657305</v>
      </c>
      <c r="H672" s="63">
        <v>1.0073234523856E-114</v>
      </c>
      <c r="I672" s="13">
        <v>993160.0</v>
      </c>
      <c r="J672" s="31" t="s">
        <v>1796</v>
      </c>
      <c r="K672" s="31" t="s">
        <v>1793</v>
      </c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13" t="s">
        <v>504</v>
      </c>
      <c r="B673" s="13" t="s">
        <v>411</v>
      </c>
      <c r="C673" s="13" t="s">
        <v>1797</v>
      </c>
      <c r="D673" s="13" t="s">
        <v>1474</v>
      </c>
      <c r="E673" s="13">
        <v>0.122047287002161</v>
      </c>
      <c r="F673" s="13">
        <v>0.00826421726298342</v>
      </c>
      <c r="G673" s="13">
        <v>14.7681605067219</v>
      </c>
      <c r="H673" s="63">
        <v>2.35040723543785E-49</v>
      </c>
      <c r="I673" s="13">
        <v>993603.0</v>
      </c>
      <c r="J673" s="31" t="s">
        <v>1796</v>
      </c>
      <c r="K673" s="31" t="s">
        <v>1793</v>
      </c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13" t="s">
        <v>501</v>
      </c>
      <c r="B674" s="13" t="s">
        <v>411</v>
      </c>
      <c r="C674" s="13" t="s">
        <v>570</v>
      </c>
      <c r="D674" s="13" t="s">
        <v>1474</v>
      </c>
      <c r="E674" s="13">
        <v>-0.294693736706804</v>
      </c>
      <c r="F674" s="13">
        <v>0.0188142113417422</v>
      </c>
      <c r="G674" s="13">
        <v>-15.6633584769498</v>
      </c>
      <c r="H674" s="63">
        <v>2.69293049148673E-55</v>
      </c>
      <c r="I674" s="13">
        <v>62510.0</v>
      </c>
      <c r="J674" s="31" t="s">
        <v>1796</v>
      </c>
      <c r="K674" s="31" t="s">
        <v>1793</v>
      </c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13" t="s">
        <v>501</v>
      </c>
      <c r="B675" s="13" t="s">
        <v>411</v>
      </c>
      <c r="C675" s="13" t="s">
        <v>42</v>
      </c>
      <c r="D675" s="13" t="s">
        <v>1474</v>
      </c>
      <c r="E675" s="13">
        <v>-0.301127899143721</v>
      </c>
      <c r="F675" s="13">
        <v>0.0094343151494639</v>
      </c>
      <c r="G675" s="13">
        <v>-31.9183633759396</v>
      </c>
      <c r="H675" s="63">
        <v>1.48522075821089E-223</v>
      </c>
      <c r="I675" s="13">
        <v>988777.0</v>
      </c>
      <c r="J675" s="31" t="s">
        <v>1796</v>
      </c>
      <c r="K675" s="31" t="s">
        <v>1793</v>
      </c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13" t="s">
        <v>501</v>
      </c>
      <c r="B676" s="13" t="s">
        <v>411</v>
      </c>
      <c r="C676" s="13" t="s">
        <v>55</v>
      </c>
      <c r="D676" s="13" t="s">
        <v>1474</v>
      </c>
      <c r="E676" s="13">
        <v>-0.274137534243813</v>
      </c>
      <c r="F676" s="13">
        <v>0.00955409450759798</v>
      </c>
      <c r="G676" s="13">
        <v>-28.6931989238543</v>
      </c>
      <c r="H676" s="63">
        <v>4.63857476227811E-181</v>
      </c>
      <c r="I676" s="13">
        <v>988225.0</v>
      </c>
      <c r="J676" s="31" t="s">
        <v>1796</v>
      </c>
      <c r="K676" s="31" t="s">
        <v>1793</v>
      </c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13" t="s">
        <v>501</v>
      </c>
      <c r="B677" s="13" t="s">
        <v>411</v>
      </c>
      <c r="C677" s="13" t="s">
        <v>1797</v>
      </c>
      <c r="D677" s="13" t="s">
        <v>1474</v>
      </c>
      <c r="E677" s="13">
        <v>0.153250490712455</v>
      </c>
      <c r="F677" s="13">
        <v>0.00774522502115256</v>
      </c>
      <c r="G677" s="13">
        <v>19.7864478170642</v>
      </c>
      <c r="H677" s="63">
        <v>3.89548321782487E-87</v>
      </c>
      <c r="I677" s="13">
        <v>988757.0</v>
      </c>
      <c r="J677" s="31" t="s">
        <v>1796</v>
      </c>
      <c r="K677" s="31" t="s">
        <v>1793</v>
      </c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13" t="s">
        <v>623</v>
      </c>
      <c r="B678" s="13" t="s">
        <v>411</v>
      </c>
      <c r="C678" s="13" t="s">
        <v>570</v>
      </c>
      <c r="D678" s="13" t="s">
        <v>1474</v>
      </c>
      <c r="E678" s="13">
        <v>-0.441396912610551</v>
      </c>
      <c r="F678" s="13">
        <v>0.0617181173698111</v>
      </c>
      <c r="G678" s="13">
        <v>-7.15182075249847</v>
      </c>
      <c r="H678" s="63">
        <v>8.56343455023569E-13</v>
      </c>
      <c r="I678" s="13">
        <v>3673.0</v>
      </c>
      <c r="J678" s="31" t="s">
        <v>1796</v>
      </c>
      <c r="K678" s="31" t="s">
        <v>1793</v>
      </c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13" t="s">
        <v>623</v>
      </c>
      <c r="B679" s="13" t="s">
        <v>411</v>
      </c>
      <c r="C679" s="13" t="s">
        <v>42</v>
      </c>
      <c r="D679" s="13" t="s">
        <v>1474</v>
      </c>
      <c r="E679" s="13">
        <v>-0.432977167465564</v>
      </c>
      <c r="F679" s="13">
        <v>0.0141795646615198</v>
      </c>
      <c r="G679" s="13">
        <v>-30.5352934170516</v>
      </c>
      <c r="H679" s="63">
        <v>8.86515006154332E-205</v>
      </c>
      <c r="I679" s="13">
        <v>58360.0</v>
      </c>
      <c r="J679" s="31" t="s">
        <v>1796</v>
      </c>
      <c r="K679" s="31" t="s">
        <v>1793</v>
      </c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13" t="s">
        <v>623</v>
      </c>
      <c r="B680" s="13" t="s">
        <v>411</v>
      </c>
      <c r="C680" s="13" t="s">
        <v>55</v>
      </c>
      <c r="D680" s="13" t="s">
        <v>1474</v>
      </c>
      <c r="E680" s="13">
        <v>-0.409493410536943</v>
      </c>
      <c r="F680" s="13">
        <v>0.0158269450908676</v>
      </c>
      <c r="G680" s="13">
        <v>-25.8731807171825</v>
      </c>
      <c r="H680" s="63">
        <v>1.33480054709311E-147</v>
      </c>
      <c r="I680" s="13">
        <v>58334.0</v>
      </c>
      <c r="J680" s="31" t="s">
        <v>1796</v>
      </c>
      <c r="K680" s="31" t="s">
        <v>1793</v>
      </c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13" t="s">
        <v>623</v>
      </c>
      <c r="B681" s="13" t="s">
        <v>411</v>
      </c>
      <c r="C681" s="13" t="s">
        <v>1797</v>
      </c>
      <c r="D681" s="13" t="s">
        <v>1474</v>
      </c>
      <c r="E681" s="13">
        <v>0.203390088620579</v>
      </c>
      <c r="F681" s="13">
        <v>0.0166645955701826</v>
      </c>
      <c r="G681" s="13">
        <v>12.2049219714937</v>
      </c>
      <c r="H681" s="63">
        <v>2.9258886090849E-34</v>
      </c>
      <c r="I681" s="13">
        <v>58359.0</v>
      </c>
      <c r="J681" s="31" t="s">
        <v>1796</v>
      </c>
      <c r="K681" s="31" t="s">
        <v>1793</v>
      </c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13" t="s">
        <v>1118</v>
      </c>
      <c r="B682" s="13" t="s">
        <v>411</v>
      </c>
      <c r="C682" s="13" t="s">
        <v>570</v>
      </c>
      <c r="D682" s="13" t="s">
        <v>1474</v>
      </c>
      <c r="E682" s="13">
        <v>-0.212958963628472</v>
      </c>
      <c r="F682" s="13">
        <v>0.0136833339941591</v>
      </c>
      <c r="G682" s="13">
        <v>-15.5633827047834</v>
      </c>
      <c r="H682" s="63">
        <v>1.2909203832983E-54</v>
      </c>
      <c r="I682" s="13">
        <v>168755.0</v>
      </c>
      <c r="J682" s="31" t="s">
        <v>1796</v>
      </c>
      <c r="K682" s="31" t="s">
        <v>1793</v>
      </c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13" t="s">
        <v>1118</v>
      </c>
      <c r="B683" s="13" t="s">
        <v>411</v>
      </c>
      <c r="C683" s="13" t="s">
        <v>42</v>
      </c>
      <c r="D683" s="13" t="s">
        <v>1474</v>
      </c>
      <c r="E683" s="13">
        <v>-0.158194336824329</v>
      </c>
      <c r="F683" s="13">
        <v>0.00910568731252679</v>
      </c>
      <c r="G683" s="13">
        <v>-17.3731352060266</v>
      </c>
      <c r="H683" s="63">
        <v>1.31822378168005E-67</v>
      </c>
      <c r="I683" s="13">
        <v>2817002.0</v>
      </c>
      <c r="J683" s="31" t="s">
        <v>1796</v>
      </c>
      <c r="K683" s="31" t="s">
        <v>1793</v>
      </c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13" t="s">
        <v>1118</v>
      </c>
      <c r="B684" s="13" t="s">
        <v>411</v>
      </c>
      <c r="C684" s="13" t="s">
        <v>55</v>
      </c>
      <c r="D684" s="13" t="s">
        <v>1474</v>
      </c>
      <c r="E684" s="13">
        <v>-0.168201102332936</v>
      </c>
      <c r="F684" s="13">
        <v>0.00887358098030885</v>
      </c>
      <c r="G684" s="13">
        <v>-18.9552676316571</v>
      </c>
      <c r="H684" s="63">
        <v>3.99516410711211E-80</v>
      </c>
      <c r="I684" s="13">
        <v>2810981.0</v>
      </c>
      <c r="J684" s="31" t="s">
        <v>1796</v>
      </c>
      <c r="K684" s="31" t="s">
        <v>1793</v>
      </c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13" t="s">
        <v>1118</v>
      </c>
      <c r="B685" s="13" t="s">
        <v>411</v>
      </c>
      <c r="C685" s="13" t="s">
        <v>1797</v>
      </c>
      <c r="D685" s="13" t="s">
        <v>1474</v>
      </c>
      <c r="E685" s="13">
        <v>0.0441364282992586</v>
      </c>
      <c r="F685" s="13">
        <v>0.00785606985724734</v>
      </c>
      <c r="G685" s="13">
        <v>5.61813083402537</v>
      </c>
      <c r="H685" s="63">
        <v>1.93034310354942E-8</v>
      </c>
      <c r="I685" s="13">
        <v>2817805.0</v>
      </c>
      <c r="J685" s="31" t="s">
        <v>1796</v>
      </c>
      <c r="K685" s="31" t="s">
        <v>1793</v>
      </c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13" t="s">
        <v>1122</v>
      </c>
      <c r="B686" s="13" t="s">
        <v>411</v>
      </c>
      <c r="C686" s="13" t="s">
        <v>570</v>
      </c>
      <c r="D686" s="13" t="s">
        <v>1474</v>
      </c>
      <c r="E686" s="13">
        <v>-0.142303729663784</v>
      </c>
      <c r="F686" s="13">
        <v>0.0139511457030619</v>
      </c>
      <c r="G686" s="13">
        <v>-10.2001464748914</v>
      </c>
      <c r="H686" s="63">
        <v>1.97973702921793E-24</v>
      </c>
      <c r="I686" s="13">
        <v>168574.0</v>
      </c>
      <c r="J686" s="31" t="s">
        <v>1796</v>
      </c>
      <c r="K686" s="31" t="s">
        <v>1793</v>
      </c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13" t="s">
        <v>1122</v>
      </c>
      <c r="B687" s="13" t="s">
        <v>411</v>
      </c>
      <c r="C687" s="13" t="s">
        <v>42</v>
      </c>
      <c r="D687" s="13" t="s">
        <v>1474</v>
      </c>
      <c r="E687" s="13">
        <v>-0.102409807859853</v>
      </c>
      <c r="F687" s="13">
        <v>0.00786387382929818</v>
      </c>
      <c r="G687" s="13">
        <v>-13.022819297826</v>
      </c>
      <c r="H687" s="63">
        <v>9.0757039245607E-39</v>
      </c>
      <c r="I687" s="13">
        <v>2814741.0</v>
      </c>
      <c r="J687" s="31" t="s">
        <v>1796</v>
      </c>
      <c r="K687" s="31" t="s">
        <v>1793</v>
      </c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13" t="s">
        <v>1122</v>
      </c>
      <c r="B688" s="13" t="s">
        <v>411</v>
      </c>
      <c r="C688" s="13" t="s">
        <v>55</v>
      </c>
      <c r="D688" s="13" t="s">
        <v>1474</v>
      </c>
      <c r="E688" s="13">
        <v>-0.129124578844973</v>
      </c>
      <c r="F688" s="13">
        <v>0.00795653498413325</v>
      </c>
      <c r="G688" s="13">
        <v>-16.2287451890139</v>
      </c>
      <c r="H688" s="63">
        <v>3.15850350264504E-59</v>
      </c>
      <c r="I688" s="13">
        <v>2808707.0</v>
      </c>
      <c r="J688" s="31" t="s">
        <v>1796</v>
      </c>
      <c r="K688" s="31" t="s">
        <v>1793</v>
      </c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13" t="s">
        <v>1122</v>
      </c>
      <c r="B689" s="13" t="s">
        <v>411</v>
      </c>
      <c r="C689" s="13" t="s">
        <v>1797</v>
      </c>
      <c r="D689" s="13" t="s">
        <v>1474</v>
      </c>
      <c r="E689" s="13">
        <v>0.0327762864762971</v>
      </c>
      <c r="F689" s="13">
        <v>0.00626282862941002</v>
      </c>
      <c r="G689" s="13">
        <v>5.23346372953283</v>
      </c>
      <c r="H689" s="63">
        <v>1.66362663543857E-7</v>
      </c>
      <c r="I689" s="13">
        <v>2815546.0</v>
      </c>
      <c r="J689" s="31" t="s">
        <v>1796</v>
      </c>
      <c r="K689" s="31" t="s">
        <v>1793</v>
      </c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13" t="s">
        <v>1124</v>
      </c>
      <c r="B690" s="13" t="s">
        <v>411</v>
      </c>
      <c r="C690" s="13" t="s">
        <v>570</v>
      </c>
      <c r="D690" s="13" t="s">
        <v>1474</v>
      </c>
      <c r="E690" s="13">
        <v>-0.201372031637755</v>
      </c>
      <c r="F690" s="13">
        <v>0.0137663141514348</v>
      </c>
      <c r="G690" s="13">
        <v>-14.6278829193191</v>
      </c>
      <c r="H690" s="63">
        <v>1.86500587670521E-48</v>
      </c>
      <c r="I690" s="13">
        <v>168575.0</v>
      </c>
      <c r="J690" s="31" t="s">
        <v>1796</v>
      </c>
      <c r="K690" s="31" t="s">
        <v>1793</v>
      </c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13" t="s">
        <v>1124</v>
      </c>
      <c r="B691" s="13" t="s">
        <v>411</v>
      </c>
      <c r="C691" s="13" t="s">
        <v>42</v>
      </c>
      <c r="D691" s="13" t="s">
        <v>1474</v>
      </c>
      <c r="E691" s="13">
        <v>-0.158709778848004</v>
      </c>
      <c r="F691" s="13">
        <v>0.00911935666337462</v>
      </c>
      <c r="G691" s="13">
        <v>-17.4036157051975</v>
      </c>
      <c r="H691" s="63">
        <v>7.74558050593233E-68</v>
      </c>
      <c r="I691" s="13">
        <v>2814860.0</v>
      </c>
      <c r="J691" s="31" t="s">
        <v>1796</v>
      </c>
      <c r="K691" s="31" t="s">
        <v>1793</v>
      </c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13" t="s">
        <v>1124</v>
      </c>
      <c r="B692" s="13" t="s">
        <v>411</v>
      </c>
      <c r="C692" s="13" t="s">
        <v>55</v>
      </c>
      <c r="D692" s="13" t="s">
        <v>1474</v>
      </c>
      <c r="E692" s="13">
        <v>-0.166103695820985</v>
      </c>
      <c r="F692" s="13">
        <v>0.00895148285775562</v>
      </c>
      <c r="G692" s="13">
        <v>-18.5559977559552</v>
      </c>
      <c r="H692" s="63">
        <v>7.2940426553253E-77</v>
      </c>
      <c r="I692" s="13">
        <v>2808829.0</v>
      </c>
      <c r="J692" s="31" t="s">
        <v>1796</v>
      </c>
      <c r="K692" s="31" t="s">
        <v>1793</v>
      </c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13" t="s">
        <v>1124</v>
      </c>
      <c r="B693" s="13" t="s">
        <v>411</v>
      </c>
      <c r="C693" s="13" t="s">
        <v>1797</v>
      </c>
      <c r="D693" s="13" t="s">
        <v>1474</v>
      </c>
      <c r="E693" s="13">
        <v>0.051348135327518</v>
      </c>
      <c r="F693" s="13">
        <v>0.00720645204478191</v>
      </c>
      <c r="G693" s="13">
        <v>7.12530035701805</v>
      </c>
      <c r="H693" s="63">
        <v>1.03853963840195E-12</v>
      </c>
      <c r="I693" s="13">
        <v>2815664.0</v>
      </c>
      <c r="J693" s="31" t="s">
        <v>1796</v>
      </c>
      <c r="K693" s="31" t="s">
        <v>1793</v>
      </c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13" t="s">
        <v>1126</v>
      </c>
      <c r="B694" s="13" t="s">
        <v>411</v>
      </c>
      <c r="C694" s="13" t="s">
        <v>570</v>
      </c>
      <c r="D694" s="13" t="s">
        <v>1474</v>
      </c>
      <c r="E694" s="13">
        <v>-0.210735848898663</v>
      </c>
      <c r="F694" s="13">
        <v>0.0140540142517977</v>
      </c>
      <c r="G694" s="13">
        <v>-14.9947086379043</v>
      </c>
      <c r="H694" s="63">
        <v>7.95108390549935E-51</v>
      </c>
      <c r="I694" s="13">
        <v>167634.0</v>
      </c>
      <c r="J694" s="31" t="s">
        <v>1796</v>
      </c>
      <c r="K694" s="31" t="s">
        <v>1793</v>
      </c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13" t="s">
        <v>1126</v>
      </c>
      <c r="B695" s="13" t="s">
        <v>411</v>
      </c>
      <c r="C695" s="13" t="s">
        <v>42</v>
      </c>
      <c r="D695" s="13" t="s">
        <v>1474</v>
      </c>
      <c r="E695" s="13">
        <v>-0.186362891708367</v>
      </c>
      <c r="F695" s="13">
        <v>0.00844513309545508</v>
      </c>
      <c r="G695" s="13">
        <v>-22.0674901865859</v>
      </c>
      <c r="H695" s="63">
        <v>6.48952001031576E-108</v>
      </c>
      <c r="I695" s="13">
        <v>2799844.0</v>
      </c>
      <c r="J695" s="31" t="s">
        <v>1796</v>
      </c>
      <c r="K695" s="31" t="s">
        <v>1793</v>
      </c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13" t="s">
        <v>1126</v>
      </c>
      <c r="B696" s="13" t="s">
        <v>411</v>
      </c>
      <c r="C696" s="13" t="s">
        <v>55</v>
      </c>
      <c r="D696" s="13" t="s">
        <v>1474</v>
      </c>
      <c r="E696" s="13">
        <v>-0.181575269138565</v>
      </c>
      <c r="F696" s="13">
        <v>0.008673385588609</v>
      </c>
      <c r="G696" s="13">
        <v>-20.9347627040855</v>
      </c>
      <c r="H696" s="63">
        <v>2.58348175963231E-97</v>
      </c>
      <c r="I696" s="13">
        <v>2793817.0</v>
      </c>
      <c r="J696" s="31" t="s">
        <v>1796</v>
      </c>
      <c r="K696" s="31" t="s">
        <v>1793</v>
      </c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13" t="s">
        <v>1126</v>
      </c>
      <c r="B697" s="13" t="s">
        <v>411</v>
      </c>
      <c r="C697" s="13" t="s">
        <v>1797</v>
      </c>
      <c r="D697" s="13" t="s">
        <v>1474</v>
      </c>
      <c r="E697" s="13">
        <v>0.0720121450140277</v>
      </c>
      <c r="F697" s="13">
        <v>0.00753892641827317</v>
      </c>
      <c r="G697" s="13">
        <v>9.55204242867812</v>
      </c>
      <c r="H697" s="63">
        <v>1.2716415436943E-21</v>
      </c>
      <c r="I697" s="13">
        <v>2800645.0</v>
      </c>
      <c r="J697" s="31" t="s">
        <v>1796</v>
      </c>
      <c r="K697" s="31" t="s">
        <v>1793</v>
      </c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13" t="s">
        <v>1128</v>
      </c>
      <c r="B698" s="13" t="s">
        <v>411</v>
      </c>
      <c r="C698" s="13" t="s">
        <v>570</v>
      </c>
      <c r="D698" s="13" t="s">
        <v>1474</v>
      </c>
      <c r="E698" s="13">
        <v>-0.16367924055221</v>
      </c>
      <c r="F698" s="13">
        <v>0.0138483203852002</v>
      </c>
      <c r="G698" s="13">
        <v>-11.8194290714948</v>
      </c>
      <c r="H698" s="63">
        <v>3.0978262908997E-32</v>
      </c>
      <c r="I698" s="13">
        <v>168408.0</v>
      </c>
      <c r="J698" s="31" t="s">
        <v>1796</v>
      </c>
      <c r="K698" s="31" t="s">
        <v>1793</v>
      </c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13" t="s">
        <v>1128</v>
      </c>
      <c r="B699" s="13" t="s">
        <v>411</v>
      </c>
      <c r="C699" s="13" t="s">
        <v>42</v>
      </c>
      <c r="D699" s="13" t="s">
        <v>1474</v>
      </c>
      <c r="E699" s="13">
        <v>-0.137685370964453</v>
      </c>
      <c r="F699" s="13">
        <v>0.00882700787895664</v>
      </c>
      <c r="G699" s="13">
        <v>-15.5981928250785</v>
      </c>
      <c r="H699" s="63">
        <v>7.48840110414666E-55</v>
      </c>
      <c r="I699" s="13">
        <v>2812473.0</v>
      </c>
      <c r="J699" s="31" t="s">
        <v>1796</v>
      </c>
      <c r="K699" s="31" t="s">
        <v>1793</v>
      </c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13" t="s">
        <v>1128</v>
      </c>
      <c r="B700" s="13" t="s">
        <v>411</v>
      </c>
      <c r="C700" s="13" t="s">
        <v>55</v>
      </c>
      <c r="D700" s="13" t="s">
        <v>1474</v>
      </c>
      <c r="E700" s="13">
        <v>-0.139984940016323</v>
      </c>
      <c r="F700" s="13">
        <v>0.00903097150884739</v>
      </c>
      <c r="G700" s="13">
        <v>-15.5005405430837</v>
      </c>
      <c r="H700" s="63">
        <v>3.43985944050176E-54</v>
      </c>
      <c r="I700" s="13">
        <v>2806435.0</v>
      </c>
      <c r="J700" s="31" t="s">
        <v>1796</v>
      </c>
      <c r="K700" s="31" t="s">
        <v>1793</v>
      </c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13" t="s">
        <v>1128</v>
      </c>
      <c r="B701" s="13" t="s">
        <v>411</v>
      </c>
      <c r="C701" s="13" t="s">
        <v>1797</v>
      </c>
      <c r="D701" s="13" t="s">
        <v>1474</v>
      </c>
      <c r="E701" s="13">
        <v>0.0370645789411301</v>
      </c>
      <c r="F701" s="13">
        <v>0.00721712425635701</v>
      </c>
      <c r="G701" s="13">
        <v>5.13564373073981</v>
      </c>
      <c r="H701" s="63">
        <v>2.81179885694962E-7</v>
      </c>
      <c r="I701" s="13">
        <v>2813278.0</v>
      </c>
      <c r="J701" s="31" t="s">
        <v>1796</v>
      </c>
      <c r="K701" s="31" t="s">
        <v>1793</v>
      </c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13" t="s">
        <v>1130</v>
      </c>
      <c r="B702" s="13" t="s">
        <v>411</v>
      </c>
      <c r="C702" s="13" t="s">
        <v>570</v>
      </c>
      <c r="D702" s="13" t="s">
        <v>1474</v>
      </c>
      <c r="E702" s="13">
        <v>-0.255603979708007</v>
      </c>
      <c r="F702" s="13">
        <v>0.0139200776524712</v>
      </c>
      <c r="G702" s="13">
        <v>-18.3622524305838</v>
      </c>
      <c r="H702" s="63">
        <v>2.63449689870821E-75</v>
      </c>
      <c r="I702" s="13">
        <v>168257.0</v>
      </c>
      <c r="J702" s="31" t="s">
        <v>1796</v>
      </c>
      <c r="K702" s="31" t="s">
        <v>1793</v>
      </c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13" t="s">
        <v>1130</v>
      </c>
      <c r="B703" s="13" t="s">
        <v>411</v>
      </c>
      <c r="C703" s="13" t="s">
        <v>42</v>
      </c>
      <c r="D703" s="13" t="s">
        <v>1474</v>
      </c>
      <c r="E703" s="13">
        <v>-0.207352281645748</v>
      </c>
      <c r="F703" s="13">
        <v>0.0106416557329083</v>
      </c>
      <c r="G703" s="13">
        <v>-19.484964262143</v>
      </c>
      <c r="H703" s="63">
        <v>1.47282219260023E-84</v>
      </c>
      <c r="I703" s="13">
        <v>2809231.0</v>
      </c>
      <c r="J703" s="31" t="s">
        <v>1796</v>
      </c>
      <c r="K703" s="31" t="s">
        <v>1793</v>
      </c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13" t="s">
        <v>1130</v>
      </c>
      <c r="B704" s="13" t="s">
        <v>411</v>
      </c>
      <c r="C704" s="13" t="s">
        <v>55</v>
      </c>
      <c r="D704" s="13" t="s">
        <v>1474</v>
      </c>
      <c r="E704" s="13">
        <v>-0.201190021813121</v>
      </c>
      <c r="F704" s="13">
        <v>0.0103662796860746</v>
      </c>
      <c r="G704" s="13">
        <v>-19.4081220945046</v>
      </c>
      <c r="H704" s="63">
        <v>6.58915940713635E-84</v>
      </c>
      <c r="I704" s="13">
        <v>2803215.0</v>
      </c>
      <c r="J704" s="31" t="s">
        <v>1796</v>
      </c>
      <c r="K704" s="31" t="s">
        <v>1793</v>
      </c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13" t="s">
        <v>1130</v>
      </c>
      <c r="B705" s="13" t="s">
        <v>411</v>
      </c>
      <c r="C705" s="13" t="s">
        <v>1797</v>
      </c>
      <c r="D705" s="13" t="s">
        <v>1474</v>
      </c>
      <c r="E705" s="13">
        <v>0.077165897695804</v>
      </c>
      <c r="F705" s="13">
        <v>0.00904092948185051</v>
      </c>
      <c r="G705" s="13">
        <v>8.53517305391145</v>
      </c>
      <c r="H705" s="63">
        <v>1.39945802689907E-17</v>
      </c>
      <c r="I705" s="13">
        <v>2810043.0</v>
      </c>
      <c r="J705" s="31" t="s">
        <v>1796</v>
      </c>
      <c r="K705" s="31" t="s">
        <v>1793</v>
      </c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13" t="s">
        <v>1132</v>
      </c>
      <c r="B706" s="13" t="s">
        <v>411</v>
      </c>
      <c r="C706" s="13" t="s">
        <v>570</v>
      </c>
      <c r="D706" s="13" t="s">
        <v>1474</v>
      </c>
      <c r="E706" s="13">
        <v>-0.158230086941952</v>
      </c>
      <c r="F706" s="13">
        <v>0.0134808594393732</v>
      </c>
      <c r="G706" s="13">
        <v>-11.7373886771502</v>
      </c>
      <c r="H706" s="63">
        <v>8.19786986413151E-32</v>
      </c>
      <c r="I706" s="13">
        <v>168251.0</v>
      </c>
      <c r="J706" s="31" t="s">
        <v>1796</v>
      </c>
      <c r="K706" s="31" t="s">
        <v>1793</v>
      </c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13" t="s">
        <v>1132</v>
      </c>
      <c r="B707" s="13" t="s">
        <v>411</v>
      </c>
      <c r="C707" s="13" t="s">
        <v>42</v>
      </c>
      <c r="D707" s="13" t="s">
        <v>1474</v>
      </c>
      <c r="E707" s="13">
        <v>-0.120447304864863</v>
      </c>
      <c r="F707" s="13">
        <v>0.00860837960137846</v>
      </c>
      <c r="G707" s="13">
        <v>-13.9918672784337</v>
      </c>
      <c r="H707" s="63">
        <v>1.74762406242469E-44</v>
      </c>
      <c r="I707" s="13">
        <v>2808991.0</v>
      </c>
      <c r="J707" s="31" t="s">
        <v>1796</v>
      </c>
      <c r="K707" s="31" t="s">
        <v>1793</v>
      </c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13" t="s">
        <v>1132</v>
      </c>
      <c r="B708" s="13" t="s">
        <v>411</v>
      </c>
      <c r="C708" s="13" t="s">
        <v>55</v>
      </c>
      <c r="D708" s="13" t="s">
        <v>1474</v>
      </c>
      <c r="E708" s="13">
        <v>-0.13948912670822</v>
      </c>
      <c r="F708" s="13">
        <v>0.00854823513698174</v>
      </c>
      <c r="G708" s="13">
        <v>-16.3178860282816</v>
      </c>
      <c r="H708" s="63">
        <v>7.36419164702721E-60</v>
      </c>
      <c r="I708" s="13">
        <v>2802964.0</v>
      </c>
      <c r="J708" s="31" t="s">
        <v>1796</v>
      </c>
      <c r="K708" s="31" t="s">
        <v>1793</v>
      </c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13" t="s">
        <v>1132</v>
      </c>
      <c r="B709" s="13" t="s">
        <v>411</v>
      </c>
      <c r="C709" s="13" t="s">
        <v>1797</v>
      </c>
      <c r="D709" s="13" t="s">
        <v>1474</v>
      </c>
      <c r="E709" s="13">
        <v>0.0429585360815522</v>
      </c>
      <c r="F709" s="13">
        <v>0.0075179069582782</v>
      </c>
      <c r="G709" s="13">
        <v>5.71416171016179</v>
      </c>
      <c r="H709" s="63">
        <v>1.10246125046831E-8</v>
      </c>
      <c r="I709" s="13">
        <v>2809794.0</v>
      </c>
      <c r="J709" s="31" t="s">
        <v>1796</v>
      </c>
      <c r="K709" s="31" t="s">
        <v>1793</v>
      </c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13" t="s">
        <v>1134</v>
      </c>
      <c r="B710" s="13" t="s">
        <v>411</v>
      </c>
      <c r="C710" s="13" t="s">
        <v>570</v>
      </c>
      <c r="D710" s="13" t="s">
        <v>1474</v>
      </c>
      <c r="E710" s="13">
        <v>-0.212378723453505</v>
      </c>
      <c r="F710" s="13">
        <v>0.0140967133287688</v>
      </c>
      <c r="G710" s="13">
        <v>-15.0658326164637</v>
      </c>
      <c r="H710" s="63">
        <v>2.71720710107207E-51</v>
      </c>
      <c r="I710" s="13">
        <v>168721.0</v>
      </c>
      <c r="J710" s="31" t="s">
        <v>1796</v>
      </c>
      <c r="K710" s="31" t="s">
        <v>1793</v>
      </c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13" t="s">
        <v>1134</v>
      </c>
      <c r="B711" s="13" t="s">
        <v>411</v>
      </c>
      <c r="C711" s="13" t="s">
        <v>42</v>
      </c>
      <c r="D711" s="13" t="s">
        <v>1474</v>
      </c>
      <c r="E711" s="13">
        <v>-0.149917535255906</v>
      </c>
      <c r="F711" s="13">
        <v>0.00904599213282364</v>
      </c>
      <c r="G711" s="13">
        <v>-16.5728129158907</v>
      </c>
      <c r="H711" s="63">
        <v>1.09577671535775E-61</v>
      </c>
      <c r="I711" s="13">
        <v>2816706.0</v>
      </c>
      <c r="J711" s="31" t="s">
        <v>1796</v>
      </c>
      <c r="K711" s="31" t="s">
        <v>1793</v>
      </c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13" t="s">
        <v>1134</v>
      </c>
      <c r="B712" s="13" t="s">
        <v>411</v>
      </c>
      <c r="C712" s="13" t="s">
        <v>55</v>
      </c>
      <c r="D712" s="13" t="s">
        <v>1474</v>
      </c>
      <c r="E712" s="13">
        <v>-0.14886249898992</v>
      </c>
      <c r="F712" s="13">
        <v>0.00862542939442973</v>
      </c>
      <c r="G712" s="13">
        <v>-17.2585609576788</v>
      </c>
      <c r="H712" s="63">
        <v>9.64856136431149E-67</v>
      </c>
      <c r="I712" s="13">
        <v>2810675.0</v>
      </c>
      <c r="J712" s="31" t="s">
        <v>1796</v>
      </c>
      <c r="K712" s="31" t="s">
        <v>1793</v>
      </c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13" t="s">
        <v>1134</v>
      </c>
      <c r="B713" s="13" t="s">
        <v>411</v>
      </c>
      <c r="C713" s="13" t="s">
        <v>1797</v>
      </c>
      <c r="D713" s="13" t="s">
        <v>1474</v>
      </c>
      <c r="E713" s="13">
        <v>0.0521471751540693</v>
      </c>
      <c r="F713" s="13">
        <v>0.00856957925945074</v>
      </c>
      <c r="G713" s="13">
        <v>6.08514999106405</v>
      </c>
      <c r="H713" s="63">
        <v>1.1638230519458E-9</v>
      </c>
      <c r="I713" s="13">
        <v>2817509.0</v>
      </c>
      <c r="J713" s="31" t="s">
        <v>1796</v>
      </c>
      <c r="K713" s="31" t="s">
        <v>1793</v>
      </c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13" t="s">
        <v>1136</v>
      </c>
      <c r="B714" s="13" t="s">
        <v>411</v>
      </c>
      <c r="C714" s="13" t="s">
        <v>570</v>
      </c>
      <c r="D714" s="13" t="s">
        <v>1474</v>
      </c>
      <c r="E714" s="13">
        <v>-0.140133530257871</v>
      </c>
      <c r="F714" s="13">
        <v>0.0140043059908591</v>
      </c>
      <c r="G714" s="13">
        <v>-10.0064601808428</v>
      </c>
      <c r="H714" s="63">
        <v>1.42769747680842E-23</v>
      </c>
      <c r="I714" s="13">
        <v>167933.0</v>
      </c>
      <c r="J714" s="31" t="s">
        <v>1796</v>
      </c>
      <c r="K714" s="31" t="s">
        <v>1793</v>
      </c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13" t="s">
        <v>1136</v>
      </c>
      <c r="B715" s="13" t="s">
        <v>411</v>
      </c>
      <c r="C715" s="13" t="s">
        <v>42</v>
      </c>
      <c r="D715" s="13" t="s">
        <v>1474</v>
      </c>
      <c r="E715" s="13">
        <v>-0.105122598336066</v>
      </c>
      <c r="F715" s="13">
        <v>0.00808743848263727</v>
      </c>
      <c r="G715" s="13">
        <v>-12.9982563158596</v>
      </c>
      <c r="H715" s="63">
        <v>1.2516462850615E-38</v>
      </c>
      <c r="I715" s="13">
        <v>2804523.0</v>
      </c>
      <c r="J715" s="31" t="s">
        <v>1796</v>
      </c>
      <c r="K715" s="31" t="s">
        <v>1793</v>
      </c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13" t="s">
        <v>1136</v>
      </c>
      <c r="B716" s="13" t="s">
        <v>411</v>
      </c>
      <c r="C716" s="13" t="s">
        <v>55</v>
      </c>
      <c r="D716" s="13" t="s">
        <v>1474</v>
      </c>
      <c r="E716" s="13">
        <v>-0.118254405127184</v>
      </c>
      <c r="F716" s="13">
        <v>0.00826836819696226</v>
      </c>
      <c r="G716" s="13">
        <v>-14.30202457247</v>
      </c>
      <c r="H716" s="63">
        <v>2.12535301247627E-46</v>
      </c>
      <c r="I716" s="13">
        <v>2798505.0</v>
      </c>
      <c r="J716" s="31" t="s">
        <v>1796</v>
      </c>
      <c r="K716" s="31" t="s">
        <v>1793</v>
      </c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13" t="s">
        <v>1136</v>
      </c>
      <c r="B717" s="13" t="s">
        <v>411</v>
      </c>
      <c r="C717" s="13" t="s">
        <v>1797</v>
      </c>
      <c r="D717" s="13" t="s">
        <v>1474</v>
      </c>
      <c r="E717" s="13">
        <v>0.0267871545358757</v>
      </c>
      <c r="F717" s="13">
        <v>0.00650857550812198</v>
      </c>
      <c r="G717" s="13">
        <v>4.11567085646441</v>
      </c>
      <c r="H717" s="63">
        <v>3.86054894597313E-5</v>
      </c>
      <c r="I717" s="13">
        <v>2805326.0</v>
      </c>
      <c r="J717" s="31" t="s">
        <v>1796</v>
      </c>
      <c r="K717" s="31" t="s">
        <v>1793</v>
      </c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13" t="s">
        <v>1138</v>
      </c>
      <c r="B718" s="13" t="s">
        <v>411</v>
      </c>
      <c r="C718" s="13" t="s">
        <v>570</v>
      </c>
      <c r="D718" s="13" t="s">
        <v>1474</v>
      </c>
      <c r="E718" s="13">
        <v>-0.676217957190774</v>
      </c>
      <c r="F718" s="13">
        <v>0.00725956647589298</v>
      </c>
      <c r="G718" s="13">
        <v>-93.1485315874311</v>
      </c>
      <c r="H718" s="13">
        <v>0.0</v>
      </c>
      <c r="I718" s="13">
        <v>168239.0</v>
      </c>
      <c r="J718" s="31" t="s">
        <v>1796</v>
      </c>
      <c r="K718" s="31" t="s">
        <v>1793</v>
      </c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13" t="s">
        <v>1138</v>
      </c>
      <c r="B719" s="13" t="s">
        <v>411</v>
      </c>
      <c r="C719" s="13" t="s">
        <v>42</v>
      </c>
      <c r="D719" s="13" t="s">
        <v>1474</v>
      </c>
      <c r="E719" s="13">
        <v>-0.697412527789553</v>
      </c>
      <c r="F719" s="13">
        <v>0.00422891750028633</v>
      </c>
      <c r="G719" s="13">
        <v>-164.915141461693</v>
      </c>
      <c r="H719" s="13">
        <v>0.0</v>
      </c>
      <c r="I719" s="13">
        <v>2807690.0</v>
      </c>
      <c r="J719" s="31" t="s">
        <v>1796</v>
      </c>
      <c r="K719" s="31" t="s">
        <v>1793</v>
      </c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13" t="s">
        <v>1138</v>
      </c>
      <c r="B720" s="13" t="s">
        <v>411</v>
      </c>
      <c r="C720" s="13" t="s">
        <v>55</v>
      </c>
      <c r="D720" s="13" t="s">
        <v>1474</v>
      </c>
      <c r="E720" s="13">
        <v>-0.613377150683426</v>
      </c>
      <c r="F720" s="13">
        <v>0.00464447139033248</v>
      </c>
      <c r="G720" s="13">
        <v>-132.066084411711</v>
      </c>
      <c r="H720" s="13">
        <v>0.0</v>
      </c>
      <c r="I720" s="13">
        <v>2801735.0</v>
      </c>
      <c r="J720" s="31" t="s">
        <v>1796</v>
      </c>
      <c r="K720" s="31" t="s">
        <v>1793</v>
      </c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13" t="s">
        <v>1138</v>
      </c>
      <c r="B721" s="13" t="s">
        <v>411</v>
      </c>
      <c r="C721" s="13" t="s">
        <v>1797</v>
      </c>
      <c r="D721" s="13" t="s">
        <v>1474</v>
      </c>
      <c r="E721" s="13">
        <v>0.274724778851271</v>
      </c>
      <c r="F721" s="13">
        <v>0.0067013481023708</v>
      </c>
      <c r="G721" s="13">
        <v>40.9954496699074</v>
      </c>
      <c r="H721" s="13">
        <v>0.0</v>
      </c>
      <c r="I721" s="13">
        <v>2808549.0</v>
      </c>
      <c r="J721" s="31" t="s">
        <v>1796</v>
      </c>
      <c r="K721" s="31" t="s">
        <v>1793</v>
      </c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13" t="s">
        <v>1141</v>
      </c>
      <c r="B722" s="13" t="s">
        <v>411</v>
      </c>
      <c r="C722" s="13" t="s">
        <v>570</v>
      </c>
      <c r="D722" s="13" t="s">
        <v>1474</v>
      </c>
      <c r="E722" s="13">
        <v>-0.675183051695621</v>
      </c>
      <c r="F722" s="13">
        <v>0.00709784956484969</v>
      </c>
      <c r="G722" s="13">
        <v>-95.1250157567856</v>
      </c>
      <c r="H722" s="13">
        <v>0.0</v>
      </c>
      <c r="I722" s="13">
        <v>168322.0</v>
      </c>
      <c r="J722" s="31" t="s">
        <v>1796</v>
      </c>
      <c r="K722" s="31" t="s">
        <v>1793</v>
      </c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13" t="s">
        <v>1141</v>
      </c>
      <c r="B723" s="13" t="s">
        <v>411</v>
      </c>
      <c r="C723" s="13" t="s">
        <v>42</v>
      </c>
      <c r="D723" s="13" t="s">
        <v>1474</v>
      </c>
      <c r="E723" s="13">
        <v>-0.695181345282699</v>
      </c>
      <c r="F723" s="13">
        <v>0.00415468309254527</v>
      </c>
      <c r="G723" s="13">
        <v>-167.32475854297</v>
      </c>
      <c r="H723" s="13">
        <v>0.0</v>
      </c>
      <c r="I723" s="13">
        <v>2809464.0</v>
      </c>
      <c r="J723" s="31" t="s">
        <v>1796</v>
      </c>
      <c r="K723" s="31" t="s">
        <v>1793</v>
      </c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13" t="s">
        <v>1141</v>
      </c>
      <c r="B724" s="13" t="s">
        <v>411</v>
      </c>
      <c r="C724" s="13" t="s">
        <v>55</v>
      </c>
      <c r="D724" s="13" t="s">
        <v>1474</v>
      </c>
      <c r="E724" s="13">
        <v>-0.613991792197625</v>
      </c>
      <c r="F724" s="13">
        <v>0.00446197149327869</v>
      </c>
      <c r="G724" s="13">
        <v>-137.60549414592</v>
      </c>
      <c r="H724" s="13">
        <v>0.0</v>
      </c>
      <c r="I724" s="13">
        <v>2803485.0</v>
      </c>
      <c r="J724" s="31" t="s">
        <v>1796</v>
      </c>
      <c r="K724" s="31" t="s">
        <v>1793</v>
      </c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13" t="s">
        <v>1141</v>
      </c>
      <c r="B725" s="13" t="s">
        <v>411</v>
      </c>
      <c r="C725" s="13" t="s">
        <v>1797</v>
      </c>
      <c r="D725" s="13" t="s">
        <v>1474</v>
      </c>
      <c r="E725" s="13">
        <v>0.270940652922889</v>
      </c>
      <c r="F725" s="13">
        <v>0.00664694827925522</v>
      </c>
      <c r="G725" s="13">
        <v>40.7616610721164</v>
      </c>
      <c r="H725" s="13">
        <v>0.0</v>
      </c>
      <c r="I725" s="13">
        <v>2810294.0</v>
      </c>
      <c r="J725" s="31" t="s">
        <v>1796</v>
      </c>
      <c r="K725" s="31" t="s">
        <v>1793</v>
      </c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13" t="s">
        <v>1143</v>
      </c>
      <c r="B726" s="13" t="s">
        <v>411</v>
      </c>
      <c r="C726" s="13" t="s">
        <v>570</v>
      </c>
      <c r="D726" s="13" t="s">
        <v>1474</v>
      </c>
      <c r="E726" s="13">
        <v>-0.668619090736886</v>
      </c>
      <c r="F726" s="13">
        <v>0.00745955959423711</v>
      </c>
      <c r="G726" s="13">
        <v>-89.6325154709439</v>
      </c>
      <c r="H726" s="13">
        <v>0.0</v>
      </c>
      <c r="I726" s="13">
        <v>168359.0</v>
      </c>
      <c r="J726" s="31" t="s">
        <v>1796</v>
      </c>
      <c r="K726" s="31" t="s">
        <v>1793</v>
      </c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13" t="s">
        <v>1143</v>
      </c>
      <c r="B727" s="13" t="s">
        <v>411</v>
      </c>
      <c r="C727" s="13" t="s">
        <v>42</v>
      </c>
      <c r="D727" s="13" t="s">
        <v>1474</v>
      </c>
      <c r="E727" s="13">
        <v>-0.700558219580329</v>
      </c>
      <c r="F727" s="13">
        <v>0.00425585396780909</v>
      </c>
      <c r="G727" s="13">
        <v>-164.610492953774</v>
      </c>
      <c r="H727" s="13">
        <v>0.0</v>
      </c>
      <c r="I727" s="13">
        <v>2809428.0</v>
      </c>
      <c r="J727" s="31" t="s">
        <v>1796</v>
      </c>
      <c r="K727" s="31" t="s">
        <v>1793</v>
      </c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13" t="s">
        <v>1143</v>
      </c>
      <c r="B728" s="13" t="s">
        <v>411</v>
      </c>
      <c r="C728" s="13" t="s">
        <v>55</v>
      </c>
      <c r="D728" s="13" t="s">
        <v>1474</v>
      </c>
      <c r="E728" s="13">
        <v>-0.616405849547625</v>
      </c>
      <c r="F728" s="13">
        <v>0.00455055190001929</v>
      </c>
      <c r="G728" s="13">
        <v>-135.457382552874</v>
      </c>
      <c r="H728" s="13">
        <v>0.0</v>
      </c>
      <c r="I728" s="13">
        <v>2803438.0</v>
      </c>
      <c r="J728" s="31" t="s">
        <v>1796</v>
      </c>
      <c r="K728" s="31" t="s">
        <v>1793</v>
      </c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13" t="s">
        <v>1143</v>
      </c>
      <c r="B729" s="13" t="s">
        <v>411</v>
      </c>
      <c r="C729" s="13" t="s">
        <v>1797</v>
      </c>
      <c r="D729" s="13" t="s">
        <v>1474</v>
      </c>
      <c r="E729" s="13">
        <v>0.280919710732422</v>
      </c>
      <c r="F729" s="13">
        <v>0.00652070850269064</v>
      </c>
      <c r="G729" s="13">
        <v>43.0811637441708</v>
      </c>
      <c r="H729" s="13">
        <v>0.0</v>
      </c>
      <c r="I729" s="13">
        <v>2810292.0</v>
      </c>
      <c r="J729" s="31" t="s">
        <v>1796</v>
      </c>
      <c r="K729" s="31" t="s">
        <v>1793</v>
      </c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13" t="s">
        <v>1145</v>
      </c>
      <c r="B730" s="13" t="s">
        <v>411</v>
      </c>
      <c r="C730" s="13" t="s">
        <v>570</v>
      </c>
      <c r="D730" s="13" t="s">
        <v>1474</v>
      </c>
      <c r="E730" s="13">
        <v>-0.677276429507534</v>
      </c>
      <c r="F730" s="13">
        <v>0.00710464116027233</v>
      </c>
      <c r="G730" s="13">
        <v>-95.3287314910036</v>
      </c>
      <c r="H730" s="13">
        <v>0.0</v>
      </c>
      <c r="I730" s="13">
        <v>168235.0</v>
      </c>
      <c r="J730" s="31" t="s">
        <v>1796</v>
      </c>
      <c r="K730" s="31" t="s">
        <v>1793</v>
      </c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13" t="s">
        <v>1145</v>
      </c>
      <c r="B731" s="13" t="s">
        <v>411</v>
      </c>
      <c r="C731" s="13" t="s">
        <v>42</v>
      </c>
      <c r="D731" s="13" t="s">
        <v>1474</v>
      </c>
      <c r="E731" s="13">
        <v>-0.694505075895748</v>
      </c>
      <c r="F731" s="13">
        <v>0.00418005719259007</v>
      </c>
      <c r="G731" s="13">
        <v>-166.147266388337</v>
      </c>
      <c r="H731" s="13">
        <v>0.0</v>
      </c>
      <c r="I731" s="13">
        <v>2807987.0</v>
      </c>
      <c r="J731" s="31" t="s">
        <v>1796</v>
      </c>
      <c r="K731" s="31" t="s">
        <v>1793</v>
      </c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13" t="s">
        <v>1145</v>
      </c>
      <c r="B732" s="13" t="s">
        <v>411</v>
      </c>
      <c r="C732" s="13" t="s">
        <v>55</v>
      </c>
      <c r="D732" s="13" t="s">
        <v>1474</v>
      </c>
      <c r="E732" s="13">
        <v>-0.610114027739493</v>
      </c>
      <c r="F732" s="13">
        <v>0.00450879816831484</v>
      </c>
      <c r="G732" s="13">
        <v>-135.316331528657</v>
      </c>
      <c r="H732" s="13">
        <v>0.0</v>
      </c>
      <c r="I732" s="13">
        <v>2802028.0</v>
      </c>
      <c r="J732" s="31" t="s">
        <v>1796</v>
      </c>
      <c r="K732" s="31" t="s">
        <v>1793</v>
      </c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13" t="s">
        <v>1145</v>
      </c>
      <c r="B733" s="13" t="s">
        <v>411</v>
      </c>
      <c r="C733" s="13" t="s">
        <v>1797</v>
      </c>
      <c r="D733" s="13" t="s">
        <v>1474</v>
      </c>
      <c r="E733" s="13">
        <v>0.275708003692941</v>
      </c>
      <c r="F733" s="13">
        <v>0.0066567828196732</v>
      </c>
      <c r="G733" s="13">
        <v>41.4176053450511</v>
      </c>
      <c r="H733" s="13">
        <v>0.0</v>
      </c>
      <c r="I733" s="13">
        <v>2808839.0</v>
      </c>
      <c r="J733" s="31" t="s">
        <v>1796</v>
      </c>
      <c r="K733" s="31" t="s">
        <v>1793</v>
      </c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13" t="s">
        <v>1147</v>
      </c>
      <c r="B734" s="13" t="s">
        <v>411</v>
      </c>
      <c r="C734" s="13" t="s">
        <v>570</v>
      </c>
      <c r="D734" s="13" t="s">
        <v>1474</v>
      </c>
      <c r="E734" s="13">
        <v>-0.678431463983859</v>
      </c>
      <c r="F734" s="13">
        <v>0.00700482432347833</v>
      </c>
      <c r="G734" s="13">
        <v>-96.8520312079683</v>
      </c>
      <c r="H734" s="13">
        <v>0.0</v>
      </c>
      <c r="I734" s="13">
        <v>168234.0</v>
      </c>
      <c r="J734" s="31" t="s">
        <v>1796</v>
      </c>
      <c r="K734" s="31" t="s">
        <v>1793</v>
      </c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13" t="s">
        <v>1147</v>
      </c>
      <c r="B735" s="13" t="s">
        <v>411</v>
      </c>
      <c r="C735" s="13" t="s">
        <v>42</v>
      </c>
      <c r="D735" s="13" t="s">
        <v>1474</v>
      </c>
      <c r="E735" s="13">
        <v>-0.696514237955278</v>
      </c>
      <c r="F735" s="13">
        <v>0.00410410342734015</v>
      </c>
      <c r="G735" s="13">
        <v>-169.711667916392</v>
      </c>
      <c r="H735" s="13">
        <v>0.0</v>
      </c>
      <c r="I735" s="13">
        <v>2808378.0</v>
      </c>
      <c r="J735" s="31" t="s">
        <v>1796</v>
      </c>
      <c r="K735" s="31" t="s">
        <v>1793</v>
      </c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13" t="s">
        <v>1147</v>
      </c>
      <c r="B736" s="13" t="s">
        <v>411</v>
      </c>
      <c r="C736" s="13" t="s">
        <v>55</v>
      </c>
      <c r="D736" s="13" t="s">
        <v>1474</v>
      </c>
      <c r="E736" s="13">
        <v>-0.613290728484047</v>
      </c>
      <c r="F736" s="13">
        <v>0.00448816034805143</v>
      </c>
      <c r="G736" s="13">
        <v>-136.646349712151</v>
      </c>
      <c r="H736" s="13">
        <v>0.0</v>
      </c>
      <c r="I736" s="13">
        <v>2802400.0</v>
      </c>
      <c r="J736" s="31" t="s">
        <v>1796</v>
      </c>
      <c r="K736" s="31" t="s">
        <v>1793</v>
      </c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13" t="s">
        <v>1147</v>
      </c>
      <c r="B737" s="13" t="s">
        <v>411</v>
      </c>
      <c r="C737" s="13" t="s">
        <v>1797</v>
      </c>
      <c r="D737" s="13" t="s">
        <v>1474</v>
      </c>
      <c r="E737" s="13">
        <v>0.275432878008879</v>
      </c>
      <c r="F737" s="13">
        <v>0.00643779322202102</v>
      </c>
      <c r="G737" s="13">
        <v>42.7837410289502</v>
      </c>
      <c r="H737" s="13">
        <v>0.0</v>
      </c>
      <c r="I737" s="13">
        <v>2809253.0</v>
      </c>
      <c r="J737" s="31" t="s">
        <v>1796</v>
      </c>
      <c r="K737" s="31" t="s">
        <v>1793</v>
      </c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13" t="s">
        <v>521</v>
      </c>
      <c r="B738" s="13" t="s">
        <v>411</v>
      </c>
      <c r="C738" s="13" t="s">
        <v>570</v>
      </c>
      <c r="D738" s="13" t="s">
        <v>1474</v>
      </c>
      <c r="E738" s="13">
        <v>-0.683898133397743</v>
      </c>
      <c r="F738" s="13">
        <v>0.0141828935862938</v>
      </c>
      <c r="G738" s="13">
        <v>-48.2199298215601</v>
      </c>
      <c r="H738" s="13">
        <v>0.0</v>
      </c>
      <c r="I738" s="13">
        <v>30197.0</v>
      </c>
      <c r="J738" s="31" t="s">
        <v>1796</v>
      </c>
      <c r="K738" s="31" t="s">
        <v>1793</v>
      </c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13" t="s">
        <v>521</v>
      </c>
      <c r="B739" s="13" t="s">
        <v>411</v>
      </c>
      <c r="C739" s="13" t="s">
        <v>42</v>
      </c>
      <c r="D739" s="13" t="s">
        <v>1474</v>
      </c>
      <c r="E739" s="13">
        <v>-0.675929005590378</v>
      </c>
      <c r="F739" s="13">
        <v>0.00465736767520494</v>
      </c>
      <c r="G739" s="13">
        <v>-145.13112400142</v>
      </c>
      <c r="H739" s="13">
        <v>0.0</v>
      </c>
      <c r="I739" s="13">
        <v>469399.0</v>
      </c>
      <c r="J739" s="31" t="s">
        <v>1796</v>
      </c>
      <c r="K739" s="31" t="s">
        <v>1793</v>
      </c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13" t="s">
        <v>521</v>
      </c>
      <c r="B740" s="13" t="s">
        <v>411</v>
      </c>
      <c r="C740" s="13" t="s">
        <v>55</v>
      </c>
      <c r="D740" s="13" t="s">
        <v>1474</v>
      </c>
      <c r="E740" s="13">
        <v>-0.590229489815593</v>
      </c>
      <c r="F740" s="13">
        <v>0.00550067965273561</v>
      </c>
      <c r="G740" s="13">
        <v>-107.301193139298</v>
      </c>
      <c r="H740" s="13">
        <v>0.0</v>
      </c>
      <c r="I740" s="13">
        <v>469232.0</v>
      </c>
      <c r="J740" s="31" t="s">
        <v>1796</v>
      </c>
      <c r="K740" s="31" t="s">
        <v>1793</v>
      </c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13" t="s">
        <v>521</v>
      </c>
      <c r="B741" s="13" t="s">
        <v>411</v>
      </c>
      <c r="C741" s="13" t="s">
        <v>1797</v>
      </c>
      <c r="D741" s="13" t="s">
        <v>1474</v>
      </c>
      <c r="E741" s="13">
        <v>0.281236265109123</v>
      </c>
      <c r="F741" s="13">
        <v>0.00761128339431786</v>
      </c>
      <c r="G741" s="13">
        <v>36.9499137713198</v>
      </c>
      <c r="H741" s="63">
        <v>7.30671055039768E-299</v>
      </c>
      <c r="I741" s="13">
        <v>469389.0</v>
      </c>
      <c r="J741" s="31" t="s">
        <v>1796</v>
      </c>
      <c r="K741" s="31" t="s">
        <v>1793</v>
      </c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13" t="s">
        <v>1149</v>
      </c>
      <c r="B742" s="13" t="s">
        <v>411</v>
      </c>
      <c r="C742" s="13" t="s">
        <v>570</v>
      </c>
      <c r="D742" s="13" t="s">
        <v>1474</v>
      </c>
      <c r="E742" s="13">
        <v>-0.0765239376119334</v>
      </c>
      <c r="F742" s="13">
        <v>0.0126456438710096</v>
      </c>
      <c r="G742" s="13">
        <v>-6.05140698192253</v>
      </c>
      <c r="H742" s="63">
        <v>1.43586185379946E-9</v>
      </c>
      <c r="I742" s="13">
        <v>168884.0</v>
      </c>
      <c r="J742" s="31" t="s">
        <v>1796</v>
      </c>
      <c r="K742" s="31" t="s">
        <v>1793</v>
      </c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13" t="s">
        <v>1149</v>
      </c>
      <c r="B743" s="13" t="s">
        <v>411</v>
      </c>
      <c r="C743" s="13" t="s">
        <v>42</v>
      </c>
      <c r="D743" s="13" t="s">
        <v>1474</v>
      </c>
      <c r="E743" s="13">
        <v>0.0152758048583074</v>
      </c>
      <c r="F743" s="13">
        <v>0.00488283164315269</v>
      </c>
      <c r="G743" s="13">
        <v>3.12847256974938</v>
      </c>
      <c r="H743" s="13">
        <v>0.00175717411500799</v>
      </c>
      <c r="I743" s="13">
        <v>2819606.0</v>
      </c>
      <c r="J743" s="31" t="s">
        <v>1796</v>
      </c>
      <c r="K743" s="31" t="s">
        <v>1793</v>
      </c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13" t="s">
        <v>1149</v>
      </c>
      <c r="B744" s="13" t="s">
        <v>411</v>
      </c>
      <c r="C744" s="13" t="s">
        <v>55</v>
      </c>
      <c r="D744" s="13" t="s">
        <v>1474</v>
      </c>
      <c r="E744" s="13">
        <v>-0.0409404744860781</v>
      </c>
      <c r="F744" s="13">
        <v>0.00516598928764827</v>
      </c>
      <c r="G744" s="13">
        <v>-7.92500181600562</v>
      </c>
      <c r="H744" s="63">
        <v>2.28142998190929E-15</v>
      </c>
      <c r="I744" s="13">
        <v>2813569.0</v>
      </c>
      <c r="J744" s="31" t="s">
        <v>1796</v>
      </c>
      <c r="K744" s="31" t="s">
        <v>1793</v>
      </c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13" t="s">
        <v>1149</v>
      </c>
      <c r="B745" s="13" t="s">
        <v>411</v>
      </c>
      <c r="C745" s="13" t="s">
        <v>1797</v>
      </c>
      <c r="D745" s="13" t="s">
        <v>1474</v>
      </c>
      <c r="E745" s="13">
        <v>-0.0270473544250977</v>
      </c>
      <c r="F745" s="13">
        <v>0.0048614321290549</v>
      </c>
      <c r="G745" s="13">
        <v>-5.56365978318326</v>
      </c>
      <c r="H745" s="63">
        <v>2.64174748636371E-8</v>
      </c>
      <c r="I745" s="13">
        <v>2820410.0</v>
      </c>
      <c r="J745" s="31" t="s">
        <v>1796</v>
      </c>
      <c r="K745" s="31" t="s">
        <v>1793</v>
      </c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13" t="s">
        <v>207</v>
      </c>
      <c r="B746" s="13" t="s">
        <v>411</v>
      </c>
      <c r="C746" s="13" t="s">
        <v>570</v>
      </c>
      <c r="D746" s="13" t="s">
        <v>1474</v>
      </c>
      <c r="E746" s="13">
        <v>-0.0689776633859992</v>
      </c>
      <c r="F746" s="13">
        <v>0.013769127596196</v>
      </c>
      <c r="G746" s="13">
        <v>-5.00958850908283</v>
      </c>
      <c r="H746" s="63">
        <v>5.45465367060373E-7</v>
      </c>
      <c r="I746" s="13">
        <v>140685.0</v>
      </c>
      <c r="J746" s="31" t="s">
        <v>1796</v>
      </c>
      <c r="K746" s="31" t="s">
        <v>1793</v>
      </c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13" t="s">
        <v>207</v>
      </c>
      <c r="B747" s="13" t="s">
        <v>411</v>
      </c>
      <c r="C747" s="13" t="s">
        <v>42</v>
      </c>
      <c r="D747" s="13" t="s">
        <v>1474</v>
      </c>
      <c r="E747" s="13">
        <v>-0.0281496285064962</v>
      </c>
      <c r="F747" s="13">
        <v>0.00542189505588709</v>
      </c>
      <c r="G747" s="13">
        <v>-5.19184311321765</v>
      </c>
      <c r="H747" s="63">
        <v>2.08222430003994E-7</v>
      </c>
      <c r="I747" s="13">
        <v>2279683.0</v>
      </c>
      <c r="J747" s="31" t="s">
        <v>1796</v>
      </c>
      <c r="K747" s="31" t="s">
        <v>1793</v>
      </c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13" t="s">
        <v>207</v>
      </c>
      <c r="B748" s="13" t="s">
        <v>411</v>
      </c>
      <c r="C748" s="13" t="s">
        <v>55</v>
      </c>
      <c r="D748" s="13" t="s">
        <v>1474</v>
      </c>
      <c r="E748" s="13">
        <v>0.0338399352851092</v>
      </c>
      <c r="F748" s="13">
        <v>0.00624786230410771</v>
      </c>
      <c r="G748" s="13">
        <v>5.41624217019969</v>
      </c>
      <c r="H748" s="63">
        <v>6.08646520450099E-8</v>
      </c>
      <c r="I748" s="13">
        <v>2277647.0</v>
      </c>
      <c r="J748" s="31" t="s">
        <v>1796</v>
      </c>
      <c r="K748" s="31" t="s">
        <v>1793</v>
      </c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13" t="s">
        <v>207</v>
      </c>
      <c r="B749" s="13" t="s">
        <v>411</v>
      </c>
      <c r="C749" s="13" t="s">
        <v>1797</v>
      </c>
      <c r="D749" s="13" t="s">
        <v>1474</v>
      </c>
      <c r="E749" s="13">
        <v>-0.00740074887830961</v>
      </c>
      <c r="F749" s="13">
        <v>0.00513979103876262</v>
      </c>
      <c r="G749" s="13">
        <v>-1.43989294944008</v>
      </c>
      <c r="H749" s="13">
        <v>0.149897688140075</v>
      </c>
      <c r="I749" s="13">
        <v>2279707.0</v>
      </c>
      <c r="J749" s="31" t="s">
        <v>1796</v>
      </c>
      <c r="K749" s="31" t="s">
        <v>1793</v>
      </c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13" t="s">
        <v>149</v>
      </c>
      <c r="B750" s="13" t="s">
        <v>411</v>
      </c>
      <c r="C750" s="13" t="s">
        <v>570</v>
      </c>
      <c r="D750" s="13" t="s">
        <v>1474</v>
      </c>
      <c r="E750" s="13">
        <v>-0.08617474863476</v>
      </c>
      <c r="F750" s="13">
        <v>0.0135461430125544</v>
      </c>
      <c r="G750" s="13">
        <v>-6.36157085857532</v>
      </c>
      <c r="H750" s="63">
        <v>1.9970074296809E-10</v>
      </c>
      <c r="I750" s="13">
        <v>152933.0</v>
      </c>
      <c r="J750" s="31" t="s">
        <v>1796</v>
      </c>
      <c r="K750" s="31" t="s">
        <v>1793</v>
      </c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13" t="s">
        <v>149</v>
      </c>
      <c r="B751" s="13" t="s">
        <v>411</v>
      </c>
      <c r="C751" s="13" t="s">
        <v>42</v>
      </c>
      <c r="D751" s="13" t="s">
        <v>1474</v>
      </c>
      <c r="E751" s="13">
        <v>-0.038680963259949</v>
      </c>
      <c r="F751" s="13">
        <v>0.00547636877184346</v>
      </c>
      <c r="G751" s="13">
        <v>-7.06325027978863</v>
      </c>
      <c r="H751" s="63">
        <v>1.62652375922202E-12</v>
      </c>
      <c r="I751" s="13">
        <v>2483631.0</v>
      </c>
      <c r="J751" s="31" t="s">
        <v>1796</v>
      </c>
      <c r="K751" s="31" t="s">
        <v>1793</v>
      </c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13" t="s">
        <v>149</v>
      </c>
      <c r="B752" s="13" t="s">
        <v>411</v>
      </c>
      <c r="C752" s="13" t="s">
        <v>55</v>
      </c>
      <c r="D752" s="13" t="s">
        <v>1474</v>
      </c>
      <c r="E752" s="13">
        <v>0.0371742858458262</v>
      </c>
      <c r="F752" s="13">
        <v>0.0066036369234123</v>
      </c>
      <c r="G752" s="13">
        <v>5.62936549616012</v>
      </c>
      <c r="H752" s="63">
        <v>1.80873755809088E-8</v>
      </c>
      <c r="I752" s="13">
        <v>2481193.0</v>
      </c>
      <c r="J752" s="31" t="s">
        <v>1796</v>
      </c>
      <c r="K752" s="31" t="s">
        <v>1793</v>
      </c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13" t="s">
        <v>149</v>
      </c>
      <c r="B753" s="13" t="s">
        <v>411</v>
      </c>
      <c r="C753" s="13" t="s">
        <v>1797</v>
      </c>
      <c r="D753" s="13" t="s">
        <v>1474</v>
      </c>
      <c r="E753" s="13">
        <v>-0.00711527571956245</v>
      </c>
      <c r="F753" s="13">
        <v>0.00495257069090777</v>
      </c>
      <c r="G753" s="13">
        <v>-1.43668332339508</v>
      </c>
      <c r="H753" s="13">
        <v>0.150807995623984</v>
      </c>
      <c r="I753" s="13">
        <v>2483672.0</v>
      </c>
      <c r="J753" s="31" t="s">
        <v>1796</v>
      </c>
      <c r="K753" s="31" t="s">
        <v>1793</v>
      </c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13" t="s">
        <v>493</v>
      </c>
      <c r="B754" s="13" t="s">
        <v>411</v>
      </c>
      <c r="C754" s="13" t="s">
        <v>570</v>
      </c>
      <c r="D754" s="13" t="s">
        <v>1474</v>
      </c>
      <c r="E754" s="13">
        <v>-0.623763809539156</v>
      </c>
      <c r="F754" s="13">
        <v>0.0112342304206699</v>
      </c>
      <c r="G754" s="13">
        <v>-55.5235014933903</v>
      </c>
      <c r="H754" s="13">
        <v>0.0</v>
      </c>
      <c r="I754" s="13">
        <v>67661.0</v>
      </c>
      <c r="J754" s="31" t="s">
        <v>1796</v>
      </c>
      <c r="K754" s="31" t="s">
        <v>1793</v>
      </c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13" t="s">
        <v>493</v>
      </c>
      <c r="B755" s="13" t="s">
        <v>411</v>
      </c>
      <c r="C755" s="13" t="s">
        <v>42</v>
      </c>
      <c r="D755" s="13" t="s">
        <v>1474</v>
      </c>
      <c r="E755" s="13">
        <v>-0.637528569741925</v>
      </c>
      <c r="F755" s="13">
        <v>0.00562461093847197</v>
      </c>
      <c r="G755" s="13">
        <v>-113.346252161419</v>
      </c>
      <c r="H755" s="13">
        <v>0.0</v>
      </c>
      <c r="I755" s="13">
        <v>972634.0</v>
      </c>
      <c r="J755" s="31" t="s">
        <v>1796</v>
      </c>
      <c r="K755" s="31" t="s">
        <v>1793</v>
      </c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13" t="s">
        <v>493</v>
      </c>
      <c r="B756" s="13" t="s">
        <v>411</v>
      </c>
      <c r="C756" s="13" t="s">
        <v>55</v>
      </c>
      <c r="D756" s="13" t="s">
        <v>1474</v>
      </c>
      <c r="E756" s="13">
        <v>-0.559852041902788</v>
      </c>
      <c r="F756" s="13">
        <v>0.00579748200087415</v>
      </c>
      <c r="G756" s="13">
        <v>-96.5681379982503</v>
      </c>
      <c r="H756" s="13">
        <v>0.0</v>
      </c>
      <c r="I756" s="13">
        <v>972396.0</v>
      </c>
      <c r="J756" s="31" t="s">
        <v>1796</v>
      </c>
      <c r="K756" s="31" t="s">
        <v>1793</v>
      </c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13" t="s">
        <v>493</v>
      </c>
      <c r="B757" s="13" t="s">
        <v>411</v>
      </c>
      <c r="C757" s="13" t="s">
        <v>1797</v>
      </c>
      <c r="D757" s="13" t="s">
        <v>1474</v>
      </c>
      <c r="E757" s="13">
        <v>0.264167305601528</v>
      </c>
      <c r="F757" s="13">
        <v>0.00705248601236568</v>
      </c>
      <c r="G757" s="13">
        <v>37.457331377665</v>
      </c>
      <c r="H757" s="63">
        <v>4.56346090749996E-307</v>
      </c>
      <c r="I757" s="13">
        <v>972612.0</v>
      </c>
      <c r="J757" s="31" t="s">
        <v>1796</v>
      </c>
      <c r="K757" s="31" t="s">
        <v>1793</v>
      </c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13" t="s">
        <v>247</v>
      </c>
      <c r="B758" s="13" t="s">
        <v>411</v>
      </c>
      <c r="C758" s="13" t="s">
        <v>570</v>
      </c>
      <c r="D758" s="13" t="s">
        <v>1474</v>
      </c>
      <c r="E758" s="13">
        <v>-0.0661860131841636</v>
      </c>
      <c r="F758" s="13">
        <v>0.017788543289902</v>
      </c>
      <c r="G758" s="13">
        <v>-3.72071012817194</v>
      </c>
      <c r="H758" s="63">
        <v>1.98663364530796E-4</v>
      </c>
      <c r="I758" s="13">
        <v>88445.0</v>
      </c>
      <c r="J758" s="31" t="s">
        <v>1796</v>
      </c>
      <c r="K758" s="31" t="s">
        <v>1793</v>
      </c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13" t="s">
        <v>247</v>
      </c>
      <c r="B759" s="13" t="s">
        <v>411</v>
      </c>
      <c r="C759" s="13" t="s">
        <v>42</v>
      </c>
      <c r="D759" s="13" t="s">
        <v>1474</v>
      </c>
      <c r="E759" s="13">
        <v>-0.0338828720514957</v>
      </c>
      <c r="F759" s="13">
        <v>0.00620382972541507</v>
      </c>
      <c r="G759" s="13">
        <v>-5.46160574212548</v>
      </c>
      <c r="H759" s="63">
        <v>4.71847059171096E-8</v>
      </c>
      <c r="I759" s="13">
        <v>1344972.0</v>
      </c>
      <c r="J759" s="31" t="s">
        <v>1796</v>
      </c>
      <c r="K759" s="31" t="s">
        <v>1793</v>
      </c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13" t="s">
        <v>247</v>
      </c>
      <c r="B760" s="13" t="s">
        <v>411</v>
      </c>
      <c r="C760" s="13" t="s">
        <v>55</v>
      </c>
      <c r="D760" s="13" t="s">
        <v>1474</v>
      </c>
      <c r="E760" s="13">
        <v>0.0350337813114787</v>
      </c>
      <c r="F760" s="13">
        <v>0.00702773077672727</v>
      </c>
      <c r="G760" s="13">
        <v>4.98507732076122</v>
      </c>
      <c r="H760" s="63">
        <v>6.19370389921626E-7</v>
      </c>
      <c r="I760" s="13">
        <v>1344432.0</v>
      </c>
      <c r="J760" s="31" t="s">
        <v>1796</v>
      </c>
      <c r="K760" s="31" t="s">
        <v>1793</v>
      </c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13" t="s">
        <v>247</v>
      </c>
      <c r="B761" s="13" t="s">
        <v>411</v>
      </c>
      <c r="C761" s="13" t="s">
        <v>1797</v>
      </c>
      <c r="D761" s="13" t="s">
        <v>1474</v>
      </c>
      <c r="E761" s="13">
        <v>-0.00327506521921526</v>
      </c>
      <c r="F761" s="13">
        <v>0.00562422372048201</v>
      </c>
      <c r="G761" s="13">
        <v>-0.58231417916188</v>
      </c>
      <c r="H761" s="13">
        <v>0.56035507645098</v>
      </c>
      <c r="I761" s="13">
        <v>1344924.0</v>
      </c>
      <c r="J761" s="31" t="s">
        <v>1796</v>
      </c>
      <c r="K761" s="31" t="s">
        <v>1793</v>
      </c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13" t="s">
        <v>159</v>
      </c>
      <c r="B762" s="13" t="s">
        <v>411</v>
      </c>
      <c r="C762" s="13" t="s">
        <v>570</v>
      </c>
      <c r="D762" s="13" t="s">
        <v>1474</v>
      </c>
      <c r="E762" s="13">
        <v>-0.0696067795319253</v>
      </c>
      <c r="F762" s="13">
        <v>0.0135382540468728</v>
      </c>
      <c r="G762" s="13">
        <v>-5.14148865067305</v>
      </c>
      <c r="H762" s="63">
        <v>2.72570120763921E-7</v>
      </c>
      <c r="I762" s="13">
        <v>151140.0</v>
      </c>
      <c r="J762" s="31" t="s">
        <v>1796</v>
      </c>
      <c r="K762" s="31" t="s">
        <v>1793</v>
      </c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13" t="s">
        <v>159</v>
      </c>
      <c r="B763" s="13" t="s">
        <v>411</v>
      </c>
      <c r="C763" s="13" t="s">
        <v>42</v>
      </c>
      <c r="D763" s="13" t="s">
        <v>1474</v>
      </c>
      <c r="E763" s="13">
        <v>-0.02694440690247</v>
      </c>
      <c r="F763" s="13">
        <v>0.00568541495442066</v>
      </c>
      <c r="G763" s="13">
        <v>-4.7392155398472</v>
      </c>
      <c r="H763" s="63">
        <v>2.14547193524719E-6</v>
      </c>
      <c r="I763" s="13">
        <v>2440553.0</v>
      </c>
      <c r="J763" s="31" t="s">
        <v>1796</v>
      </c>
      <c r="K763" s="31" t="s">
        <v>1793</v>
      </c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13" t="s">
        <v>159</v>
      </c>
      <c r="B764" s="13" t="s">
        <v>411</v>
      </c>
      <c r="C764" s="13" t="s">
        <v>55</v>
      </c>
      <c r="D764" s="13" t="s">
        <v>1474</v>
      </c>
      <c r="E764" s="13">
        <v>0.0432321548377386</v>
      </c>
      <c r="F764" s="13">
        <v>0.00658365811550542</v>
      </c>
      <c r="G764" s="13">
        <v>6.56658563966451</v>
      </c>
      <c r="H764" s="63">
        <v>5.14820443332523E-11</v>
      </c>
      <c r="I764" s="13">
        <v>2438405.0</v>
      </c>
      <c r="J764" s="31" t="s">
        <v>1796</v>
      </c>
      <c r="K764" s="31" t="s">
        <v>1793</v>
      </c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13" t="s">
        <v>159</v>
      </c>
      <c r="B765" s="13" t="s">
        <v>411</v>
      </c>
      <c r="C765" s="13" t="s">
        <v>1797</v>
      </c>
      <c r="D765" s="13" t="s">
        <v>1474</v>
      </c>
      <c r="E765" s="13">
        <v>0.00314492107859511</v>
      </c>
      <c r="F765" s="13">
        <v>0.0050442691322864</v>
      </c>
      <c r="G765" s="13">
        <v>0.623464172136592</v>
      </c>
      <c r="H765" s="13">
        <v>0.532979539158625</v>
      </c>
      <c r="I765" s="13">
        <v>2440556.0</v>
      </c>
      <c r="J765" s="31" t="s">
        <v>1796</v>
      </c>
      <c r="K765" s="31" t="s">
        <v>1793</v>
      </c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13" t="s">
        <v>1152</v>
      </c>
      <c r="B766" s="13" t="s">
        <v>411</v>
      </c>
      <c r="C766" s="13" t="s">
        <v>570</v>
      </c>
      <c r="D766" s="13" t="s">
        <v>1474</v>
      </c>
      <c r="E766" s="13">
        <v>-0.0796903063652412</v>
      </c>
      <c r="F766" s="13">
        <v>0.013637505207911</v>
      </c>
      <c r="G766" s="13">
        <v>-5.84346661286798</v>
      </c>
      <c r="H766" s="63">
        <v>5.11255489293683E-9</v>
      </c>
      <c r="I766" s="13">
        <v>167429.0</v>
      </c>
      <c r="J766" s="31" t="s">
        <v>1796</v>
      </c>
      <c r="K766" s="31" t="s">
        <v>1793</v>
      </c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13" t="s">
        <v>1152</v>
      </c>
      <c r="B767" s="13" t="s">
        <v>411</v>
      </c>
      <c r="C767" s="13" t="s">
        <v>42</v>
      </c>
      <c r="D767" s="13" t="s">
        <v>1474</v>
      </c>
      <c r="E767" s="13">
        <v>-0.0551176520969398</v>
      </c>
      <c r="F767" s="13">
        <v>0.00587990967215047</v>
      </c>
      <c r="G767" s="13">
        <v>-9.3738943572549</v>
      </c>
      <c r="H767" s="63">
        <v>6.99045571042857E-21</v>
      </c>
      <c r="I767" s="13">
        <v>2797517.0</v>
      </c>
      <c r="J767" s="31" t="s">
        <v>1796</v>
      </c>
      <c r="K767" s="31" t="s">
        <v>1793</v>
      </c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13" t="s">
        <v>1152</v>
      </c>
      <c r="B768" s="13" t="s">
        <v>411</v>
      </c>
      <c r="C768" s="13" t="s">
        <v>55</v>
      </c>
      <c r="D768" s="13" t="s">
        <v>1474</v>
      </c>
      <c r="E768" s="13">
        <v>0.0108968823833022</v>
      </c>
      <c r="F768" s="13">
        <v>0.00686344940120334</v>
      </c>
      <c r="G768" s="13">
        <v>1.58766849528921</v>
      </c>
      <c r="H768" s="13">
        <v>0.112361320657554</v>
      </c>
      <c r="I768" s="13">
        <v>2791545.0</v>
      </c>
      <c r="J768" s="31" t="s">
        <v>1796</v>
      </c>
      <c r="K768" s="31" t="s">
        <v>1793</v>
      </c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13" t="s">
        <v>1152</v>
      </c>
      <c r="B769" s="13" t="s">
        <v>411</v>
      </c>
      <c r="C769" s="13" t="s">
        <v>1797</v>
      </c>
      <c r="D769" s="13" t="s">
        <v>1474</v>
      </c>
      <c r="E769" s="13">
        <v>-0.0282463361460594</v>
      </c>
      <c r="F769" s="13">
        <v>0.00551796164148089</v>
      </c>
      <c r="G769" s="13">
        <v>-5.11898015631707</v>
      </c>
      <c r="H769" s="63">
        <v>3.0719227816145E-7</v>
      </c>
      <c r="I769" s="13">
        <v>2798317.0</v>
      </c>
      <c r="J769" s="31" t="s">
        <v>1796</v>
      </c>
      <c r="K769" s="31" t="s">
        <v>1793</v>
      </c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13" t="s">
        <v>1156</v>
      </c>
      <c r="B770" s="13" t="s">
        <v>411</v>
      </c>
      <c r="C770" s="13" t="s">
        <v>570</v>
      </c>
      <c r="D770" s="13" t="s">
        <v>1474</v>
      </c>
      <c r="E770" s="13">
        <v>-0.100076635245057</v>
      </c>
      <c r="F770" s="13">
        <v>0.0145302344945685</v>
      </c>
      <c r="G770" s="13">
        <v>-6.88747557945239</v>
      </c>
      <c r="H770" s="63">
        <v>5.67911180587886E-12</v>
      </c>
      <c r="I770" s="13">
        <v>168829.0</v>
      </c>
      <c r="J770" s="31" t="s">
        <v>1796</v>
      </c>
      <c r="K770" s="31" t="s">
        <v>1793</v>
      </c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13" t="s">
        <v>1156</v>
      </c>
      <c r="B771" s="13" t="s">
        <v>411</v>
      </c>
      <c r="C771" s="13" t="s">
        <v>42</v>
      </c>
      <c r="D771" s="13" t="s">
        <v>1474</v>
      </c>
      <c r="E771" s="13">
        <v>-0.205014683483941</v>
      </c>
      <c r="F771" s="13">
        <v>0.00832041257061219</v>
      </c>
      <c r="G771" s="13">
        <v>-24.639966076689</v>
      </c>
      <c r="H771" s="63">
        <v>4.7144716144511E-134</v>
      </c>
      <c r="I771" s="13">
        <v>2818994.0</v>
      </c>
      <c r="J771" s="31" t="s">
        <v>1796</v>
      </c>
      <c r="K771" s="31" t="s">
        <v>1793</v>
      </c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13" t="s">
        <v>1156</v>
      </c>
      <c r="B772" s="13" t="s">
        <v>411</v>
      </c>
      <c r="C772" s="13" t="s">
        <v>55</v>
      </c>
      <c r="D772" s="13" t="s">
        <v>1474</v>
      </c>
      <c r="E772" s="13">
        <v>-0.140852859053936</v>
      </c>
      <c r="F772" s="13">
        <v>0.00879253808939775</v>
      </c>
      <c r="G772" s="13">
        <v>-16.0195904324576</v>
      </c>
      <c r="H772" s="63">
        <v>9.32625370975259E-58</v>
      </c>
      <c r="I772" s="13">
        <v>2812972.0</v>
      </c>
      <c r="J772" s="31" t="s">
        <v>1796</v>
      </c>
      <c r="K772" s="31" t="s">
        <v>1793</v>
      </c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13" t="s">
        <v>1156</v>
      </c>
      <c r="B773" s="13" t="s">
        <v>411</v>
      </c>
      <c r="C773" s="13" t="s">
        <v>1797</v>
      </c>
      <c r="D773" s="13" t="s">
        <v>1474</v>
      </c>
      <c r="E773" s="13">
        <v>0.0451041458199274</v>
      </c>
      <c r="F773" s="13">
        <v>0.00772683216556709</v>
      </c>
      <c r="G773" s="13">
        <v>5.83733991543442</v>
      </c>
      <c r="H773" s="63">
        <v>5.30408154512724E-9</v>
      </c>
      <c r="I773" s="13">
        <v>2819805.0</v>
      </c>
      <c r="J773" s="31" t="s">
        <v>1796</v>
      </c>
      <c r="K773" s="31" t="s">
        <v>1793</v>
      </c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13" t="s">
        <v>1160</v>
      </c>
      <c r="B774" s="13" t="s">
        <v>411</v>
      </c>
      <c r="C774" s="13" t="s">
        <v>570</v>
      </c>
      <c r="D774" s="13" t="s">
        <v>1474</v>
      </c>
      <c r="E774" s="13">
        <v>-0.0530304476814181</v>
      </c>
      <c r="F774" s="13">
        <v>0.0127721211208159</v>
      </c>
      <c r="G774" s="13">
        <v>-4.15204703899882</v>
      </c>
      <c r="H774" s="63">
        <v>3.2951450840629E-5</v>
      </c>
      <c r="I774" s="13">
        <v>168729.0</v>
      </c>
      <c r="J774" s="31" t="s">
        <v>1796</v>
      </c>
      <c r="K774" s="31" t="s">
        <v>1793</v>
      </c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13" t="s">
        <v>1160</v>
      </c>
      <c r="B775" s="13" t="s">
        <v>411</v>
      </c>
      <c r="C775" s="13" t="s">
        <v>42</v>
      </c>
      <c r="D775" s="13" t="s">
        <v>1474</v>
      </c>
      <c r="E775" s="13">
        <v>0.0187933815375209</v>
      </c>
      <c r="F775" s="13">
        <v>0.00458045153756374</v>
      </c>
      <c r="G775" s="13">
        <v>4.10295390823342</v>
      </c>
      <c r="H775" s="63">
        <v>4.07908535670375E-5</v>
      </c>
      <c r="I775" s="13">
        <v>2816937.0</v>
      </c>
      <c r="J775" s="31" t="s">
        <v>1796</v>
      </c>
      <c r="K775" s="31" t="s">
        <v>1793</v>
      </c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13" t="s">
        <v>1160</v>
      </c>
      <c r="B776" s="13" t="s">
        <v>411</v>
      </c>
      <c r="C776" s="13" t="s">
        <v>55</v>
      </c>
      <c r="D776" s="13" t="s">
        <v>1474</v>
      </c>
      <c r="E776" s="13">
        <v>-0.0392484998279168</v>
      </c>
      <c r="F776" s="13">
        <v>0.00495449179602029</v>
      </c>
      <c r="G776" s="13">
        <v>-7.92180135598231</v>
      </c>
      <c r="H776" s="63">
        <v>2.34094088967686E-15</v>
      </c>
      <c r="I776" s="13">
        <v>2810912.0</v>
      </c>
      <c r="J776" s="31" t="s">
        <v>1796</v>
      </c>
      <c r="K776" s="31" t="s">
        <v>1793</v>
      </c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13" t="s">
        <v>1160</v>
      </c>
      <c r="B777" s="13" t="s">
        <v>411</v>
      </c>
      <c r="C777" s="13" t="s">
        <v>1797</v>
      </c>
      <c r="D777" s="13" t="s">
        <v>1474</v>
      </c>
      <c r="E777" s="13">
        <v>-0.030286259206015</v>
      </c>
      <c r="F777" s="13">
        <v>0.00428648180241983</v>
      </c>
      <c r="G777" s="13">
        <v>-7.06552846880574</v>
      </c>
      <c r="H777" s="63">
        <v>1.60005877364955E-12</v>
      </c>
      <c r="I777" s="13">
        <v>2817741.0</v>
      </c>
      <c r="J777" s="31" t="s">
        <v>1796</v>
      </c>
      <c r="K777" s="31" t="s">
        <v>1793</v>
      </c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13" t="s">
        <v>1163</v>
      </c>
      <c r="B778" s="13" t="s">
        <v>411</v>
      </c>
      <c r="C778" s="13" t="s">
        <v>570</v>
      </c>
      <c r="D778" s="13" t="s">
        <v>1474</v>
      </c>
      <c r="E778" s="13">
        <v>-0.0458806656851177</v>
      </c>
      <c r="F778" s="13">
        <v>0.012848988101247</v>
      </c>
      <c r="G778" s="13">
        <v>-3.57076100651573</v>
      </c>
      <c r="H778" s="63">
        <v>3.55945564208633E-4</v>
      </c>
      <c r="I778" s="13">
        <v>164110.0</v>
      </c>
      <c r="J778" s="31" t="s">
        <v>1796</v>
      </c>
      <c r="K778" s="31" t="s">
        <v>1793</v>
      </c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13" t="s">
        <v>1163</v>
      </c>
      <c r="B779" s="13" t="s">
        <v>411</v>
      </c>
      <c r="C779" s="13" t="s">
        <v>42</v>
      </c>
      <c r="D779" s="13" t="s">
        <v>1474</v>
      </c>
      <c r="E779" s="13">
        <v>0.02017001595374</v>
      </c>
      <c r="F779" s="13">
        <v>0.00449197280748582</v>
      </c>
      <c r="G779" s="13">
        <v>4.49023554197098</v>
      </c>
      <c r="H779" s="63">
        <v>7.11444565729794E-6</v>
      </c>
      <c r="I779" s="13">
        <v>2738924.0</v>
      </c>
      <c r="J779" s="31" t="s">
        <v>1796</v>
      </c>
      <c r="K779" s="31" t="s">
        <v>1793</v>
      </c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13" t="s">
        <v>1163</v>
      </c>
      <c r="B780" s="13" t="s">
        <v>411</v>
      </c>
      <c r="C780" s="13" t="s">
        <v>55</v>
      </c>
      <c r="D780" s="13" t="s">
        <v>1474</v>
      </c>
      <c r="E780" s="13">
        <v>-0.0448153712338775</v>
      </c>
      <c r="F780" s="13">
        <v>0.00478332894728997</v>
      </c>
      <c r="G780" s="13">
        <v>-9.36907574781532</v>
      </c>
      <c r="H780" s="63">
        <v>7.31704354838644E-21</v>
      </c>
      <c r="I780" s="13">
        <v>2733083.0</v>
      </c>
      <c r="J780" s="31" t="s">
        <v>1796</v>
      </c>
      <c r="K780" s="31" t="s">
        <v>1793</v>
      </c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13" t="s">
        <v>1163</v>
      </c>
      <c r="B781" s="13" t="s">
        <v>411</v>
      </c>
      <c r="C781" s="13" t="s">
        <v>1797</v>
      </c>
      <c r="D781" s="13" t="s">
        <v>1474</v>
      </c>
      <c r="E781" s="13">
        <v>-0.028327370398719</v>
      </c>
      <c r="F781" s="13">
        <v>0.00440413714620271</v>
      </c>
      <c r="G781" s="13">
        <v>-6.43199097992284</v>
      </c>
      <c r="H781" s="63">
        <v>1.25943216442878E-10</v>
      </c>
      <c r="I781" s="13">
        <v>2739695.0</v>
      </c>
      <c r="J781" s="31" t="s">
        <v>1796</v>
      </c>
      <c r="K781" s="31" t="s">
        <v>1793</v>
      </c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13" t="s">
        <v>1166</v>
      </c>
      <c r="B782" s="13" t="s">
        <v>411</v>
      </c>
      <c r="C782" s="13" t="s">
        <v>570</v>
      </c>
      <c r="D782" s="13" t="s">
        <v>1474</v>
      </c>
      <c r="E782" s="13">
        <v>-0.0412568170222659</v>
      </c>
      <c r="F782" s="13">
        <v>0.0127516501962478</v>
      </c>
      <c r="G782" s="13">
        <v>-3.23541003613836</v>
      </c>
      <c r="H782" s="13">
        <v>0.00121468156820367</v>
      </c>
      <c r="I782" s="13">
        <v>162596.0</v>
      </c>
      <c r="J782" s="31" t="s">
        <v>1796</v>
      </c>
      <c r="K782" s="31" t="s">
        <v>1793</v>
      </c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13" t="s">
        <v>1166</v>
      </c>
      <c r="B783" s="13" t="s">
        <v>411</v>
      </c>
      <c r="C783" s="13" t="s">
        <v>42</v>
      </c>
      <c r="D783" s="13" t="s">
        <v>1474</v>
      </c>
      <c r="E783" s="13">
        <v>0.019357083412502</v>
      </c>
      <c r="F783" s="13">
        <v>0.00493573203948865</v>
      </c>
      <c r="G783" s="13">
        <v>3.92182623724999</v>
      </c>
      <c r="H783" s="63">
        <v>8.78803598725257E-5</v>
      </c>
      <c r="I783" s="13">
        <v>2709971.0</v>
      </c>
      <c r="J783" s="31" t="s">
        <v>1796</v>
      </c>
      <c r="K783" s="31" t="s">
        <v>1793</v>
      </c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13" t="s">
        <v>1166</v>
      </c>
      <c r="B784" s="13" t="s">
        <v>411</v>
      </c>
      <c r="C784" s="13" t="s">
        <v>55</v>
      </c>
      <c r="D784" s="13" t="s">
        <v>1474</v>
      </c>
      <c r="E784" s="13">
        <v>-0.0447383524238613</v>
      </c>
      <c r="F784" s="13">
        <v>0.00542090349339946</v>
      </c>
      <c r="G784" s="13">
        <v>-8.25293283275291</v>
      </c>
      <c r="H784" s="63">
        <v>1.54553925382999E-16</v>
      </c>
      <c r="I784" s="13">
        <v>2704206.0</v>
      </c>
      <c r="J784" s="31" t="s">
        <v>1796</v>
      </c>
      <c r="K784" s="31" t="s">
        <v>1793</v>
      </c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13" t="s">
        <v>1166</v>
      </c>
      <c r="B785" s="13" t="s">
        <v>411</v>
      </c>
      <c r="C785" s="13" t="s">
        <v>1797</v>
      </c>
      <c r="D785" s="13" t="s">
        <v>1474</v>
      </c>
      <c r="E785" s="13">
        <v>-0.0263470472010113</v>
      </c>
      <c r="F785" s="13">
        <v>0.0051449723074238</v>
      </c>
      <c r="G785" s="13">
        <v>-5.12093080909193</v>
      </c>
      <c r="H785" s="63">
        <v>3.04031193540195E-7</v>
      </c>
      <c r="I785" s="13">
        <v>2710723.0</v>
      </c>
      <c r="J785" s="31" t="s">
        <v>1796</v>
      </c>
      <c r="K785" s="31" t="s">
        <v>1793</v>
      </c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13" t="s">
        <v>1168</v>
      </c>
      <c r="B786" s="13" t="s">
        <v>411</v>
      </c>
      <c r="C786" s="13" t="s">
        <v>570</v>
      </c>
      <c r="D786" s="13" t="s">
        <v>1474</v>
      </c>
      <c r="E786" s="13">
        <v>-0.0322869348868595</v>
      </c>
      <c r="F786" s="13">
        <v>0.012787518132708</v>
      </c>
      <c r="G786" s="13">
        <v>-2.52487891331123</v>
      </c>
      <c r="H786" s="13">
        <v>0.0115738159961425</v>
      </c>
      <c r="I786" s="13">
        <v>168826.0</v>
      </c>
      <c r="J786" s="31" t="s">
        <v>1796</v>
      </c>
      <c r="K786" s="31" t="s">
        <v>1793</v>
      </c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13" t="s">
        <v>1168</v>
      </c>
      <c r="B787" s="13" t="s">
        <v>411</v>
      </c>
      <c r="C787" s="13" t="s">
        <v>42</v>
      </c>
      <c r="D787" s="13" t="s">
        <v>1474</v>
      </c>
      <c r="E787" s="13">
        <v>0.0226078009491296</v>
      </c>
      <c r="F787" s="13">
        <v>0.00448964942944555</v>
      </c>
      <c r="G787" s="13">
        <v>5.03553814265662</v>
      </c>
      <c r="H787" s="63">
        <v>4.76508228868987E-7</v>
      </c>
      <c r="I787" s="13">
        <v>2818334.0</v>
      </c>
      <c r="J787" s="31" t="s">
        <v>1796</v>
      </c>
      <c r="K787" s="31" t="s">
        <v>1793</v>
      </c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13" t="s">
        <v>1168</v>
      </c>
      <c r="B788" s="13" t="s">
        <v>411</v>
      </c>
      <c r="C788" s="13" t="s">
        <v>55</v>
      </c>
      <c r="D788" s="13" t="s">
        <v>1474</v>
      </c>
      <c r="E788" s="13">
        <v>-0.0365484804864946</v>
      </c>
      <c r="F788" s="13">
        <v>0.00520883929156563</v>
      </c>
      <c r="G788" s="13">
        <v>-7.01662663036571</v>
      </c>
      <c r="H788" s="63">
        <v>2.27288912207825E-12</v>
      </c>
      <c r="I788" s="13">
        <v>2812301.0</v>
      </c>
      <c r="J788" s="31" t="s">
        <v>1796</v>
      </c>
      <c r="K788" s="31" t="s">
        <v>1793</v>
      </c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13" t="s">
        <v>1168</v>
      </c>
      <c r="B789" s="13" t="s">
        <v>411</v>
      </c>
      <c r="C789" s="13" t="s">
        <v>1797</v>
      </c>
      <c r="D789" s="13" t="s">
        <v>1474</v>
      </c>
      <c r="E789" s="13">
        <v>-0.0185815292115404</v>
      </c>
      <c r="F789" s="13">
        <v>0.00456085802279464</v>
      </c>
      <c r="G789" s="13">
        <v>-4.0741301567977</v>
      </c>
      <c r="H789" s="63">
        <v>4.61866470490699E-5</v>
      </c>
      <c r="I789" s="13">
        <v>2819135.0</v>
      </c>
      <c r="J789" s="31" t="s">
        <v>1796</v>
      </c>
      <c r="K789" s="31" t="s">
        <v>1793</v>
      </c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13" t="s">
        <v>1170</v>
      </c>
      <c r="B790" s="13" t="s">
        <v>411</v>
      </c>
      <c r="C790" s="13" t="s">
        <v>570</v>
      </c>
      <c r="D790" s="13" t="s">
        <v>1474</v>
      </c>
      <c r="E790" s="13">
        <v>-0.0204077465474365</v>
      </c>
      <c r="F790" s="13">
        <v>0.0127330090884026</v>
      </c>
      <c r="G790" s="13">
        <v>-1.60274342111513</v>
      </c>
      <c r="H790" s="13">
        <v>0.108991312815972</v>
      </c>
      <c r="I790" s="13">
        <v>168809.0</v>
      </c>
      <c r="J790" s="31" t="s">
        <v>1796</v>
      </c>
      <c r="K790" s="31" t="s">
        <v>1793</v>
      </c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13" t="s">
        <v>1170</v>
      </c>
      <c r="B791" s="13" t="s">
        <v>411</v>
      </c>
      <c r="C791" s="13" t="s">
        <v>42</v>
      </c>
      <c r="D791" s="13" t="s">
        <v>1474</v>
      </c>
      <c r="E791" s="13">
        <v>0.0179802558077214</v>
      </c>
      <c r="F791" s="13">
        <v>0.00509685215065133</v>
      </c>
      <c r="G791" s="13">
        <v>3.52771775132299</v>
      </c>
      <c r="H791" s="63">
        <v>4.191588437464E-4</v>
      </c>
      <c r="I791" s="13">
        <v>2818162.0</v>
      </c>
      <c r="J791" s="31" t="s">
        <v>1796</v>
      </c>
      <c r="K791" s="31" t="s">
        <v>1793</v>
      </c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13" t="s">
        <v>1170</v>
      </c>
      <c r="B792" s="13" t="s">
        <v>411</v>
      </c>
      <c r="C792" s="13" t="s">
        <v>55</v>
      </c>
      <c r="D792" s="13" t="s">
        <v>1474</v>
      </c>
      <c r="E792" s="13">
        <v>-0.0356441155418796</v>
      </c>
      <c r="F792" s="13">
        <v>0.00554327456859883</v>
      </c>
      <c r="G792" s="13">
        <v>-6.43015515482383</v>
      </c>
      <c r="H792" s="63">
        <v>1.27473761285788E-10</v>
      </c>
      <c r="I792" s="13">
        <v>2812134.0</v>
      </c>
      <c r="J792" s="31" t="s">
        <v>1796</v>
      </c>
      <c r="K792" s="31" t="s">
        <v>1793</v>
      </c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13" t="s">
        <v>1170</v>
      </c>
      <c r="B793" s="13" t="s">
        <v>411</v>
      </c>
      <c r="C793" s="13" t="s">
        <v>1797</v>
      </c>
      <c r="D793" s="13" t="s">
        <v>1474</v>
      </c>
      <c r="E793" s="13">
        <v>-0.0235538207550934</v>
      </c>
      <c r="F793" s="13">
        <v>0.00481178169460714</v>
      </c>
      <c r="G793" s="13">
        <v>-4.89503104047543</v>
      </c>
      <c r="H793" s="63">
        <v>9.82902130107815E-7</v>
      </c>
      <c r="I793" s="13">
        <v>2818965.0</v>
      </c>
      <c r="J793" s="31" t="s">
        <v>1796</v>
      </c>
      <c r="K793" s="31" t="s">
        <v>1793</v>
      </c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13" t="s">
        <v>1172</v>
      </c>
      <c r="B794" s="13" t="s">
        <v>411</v>
      </c>
      <c r="C794" s="13" t="s">
        <v>570</v>
      </c>
      <c r="D794" s="13" t="s">
        <v>1474</v>
      </c>
      <c r="E794" s="13">
        <v>-0.700622269905022</v>
      </c>
      <c r="F794" s="13">
        <v>0.00752518249696404</v>
      </c>
      <c r="G794" s="13">
        <v>-93.1036915300966</v>
      </c>
      <c r="H794" s="13">
        <v>0.0</v>
      </c>
      <c r="I794" s="13">
        <v>168127.0</v>
      </c>
      <c r="J794" s="31" t="s">
        <v>1796</v>
      </c>
      <c r="K794" s="31" t="s">
        <v>1793</v>
      </c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13" t="s">
        <v>1172</v>
      </c>
      <c r="B795" s="13" t="s">
        <v>411</v>
      </c>
      <c r="C795" s="13" t="s">
        <v>42</v>
      </c>
      <c r="D795" s="13" t="s">
        <v>1474</v>
      </c>
      <c r="E795" s="13">
        <v>-0.698612044119497</v>
      </c>
      <c r="F795" s="13">
        <v>0.00563369745752751</v>
      </c>
      <c r="G795" s="13">
        <v>-124.005956902432</v>
      </c>
      <c r="H795" s="13">
        <v>0.0</v>
      </c>
      <c r="I795" s="13">
        <v>2806129.0</v>
      </c>
      <c r="J795" s="31" t="s">
        <v>1796</v>
      </c>
      <c r="K795" s="31" t="s">
        <v>1793</v>
      </c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13" t="s">
        <v>1172</v>
      </c>
      <c r="B796" s="13" t="s">
        <v>411</v>
      </c>
      <c r="C796" s="13" t="s">
        <v>55</v>
      </c>
      <c r="D796" s="13" t="s">
        <v>1474</v>
      </c>
      <c r="E796" s="13">
        <v>-0.631084458928349</v>
      </c>
      <c r="F796" s="13">
        <v>0.00629270355777814</v>
      </c>
      <c r="G796" s="13">
        <v>-100.288286764802</v>
      </c>
      <c r="H796" s="13">
        <v>0.0</v>
      </c>
      <c r="I796" s="13">
        <v>2800164.0</v>
      </c>
      <c r="J796" s="31" t="s">
        <v>1796</v>
      </c>
      <c r="K796" s="31" t="s">
        <v>1793</v>
      </c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13" t="s">
        <v>1172</v>
      </c>
      <c r="B797" s="13" t="s">
        <v>411</v>
      </c>
      <c r="C797" s="13" t="s">
        <v>1797</v>
      </c>
      <c r="D797" s="13" t="s">
        <v>1474</v>
      </c>
      <c r="E797" s="13">
        <v>0.0394544016542582</v>
      </c>
      <c r="F797" s="13">
        <v>0.0114255334896962</v>
      </c>
      <c r="G797" s="13">
        <v>3.45317806733829</v>
      </c>
      <c r="H797" s="63">
        <v>5.54023156350466E-4</v>
      </c>
      <c r="I797" s="13">
        <v>2806953.0</v>
      </c>
      <c r="J797" s="31" t="s">
        <v>1796</v>
      </c>
      <c r="K797" s="31" t="s">
        <v>1793</v>
      </c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13" t="s">
        <v>1175</v>
      </c>
      <c r="B798" s="13" t="s">
        <v>411</v>
      </c>
      <c r="C798" s="13" t="s">
        <v>570</v>
      </c>
      <c r="D798" s="13" t="s">
        <v>1474</v>
      </c>
      <c r="E798" s="13">
        <v>-0.713554331951534</v>
      </c>
      <c r="F798" s="13">
        <v>0.006940540731352</v>
      </c>
      <c r="G798" s="13">
        <v>-102.809616652524</v>
      </c>
      <c r="H798" s="13">
        <v>0.0</v>
      </c>
      <c r="I798" s="13">
        <v>168302.0</v>
      </c>
      <c r="J798" s="31" t="s">
        <v>1796</v>
      </c>
      <c r="K798" s="31" t="s">
        <v>1793</v>
      </c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13" t="s">
        <v>1175</v>
      </c>
      <c r="B799" s="13" t="s">
        <v>411</v>
      </c>
      <c r="C799" s="13" t="s">
        <v>42</v>
      </c>
      <c r="D799" s="13" t="s">
        <v>1474</v>
      </c>
      <c r="E799" s="13">
        <v>-0.715340019884062</v>
      </c>
      <c r="F799" s="13">
        <v>0.00481171482674619</v>
      </c>
      <c r="G799" s="13">
        <v>-148.666337395517</v>
      </c>
      <c r="H799" s="13">
        <v>0.0</v>
      </c>
      <c r="I799" s="13">
        <v>2809852.0</v>
      </c>
      <c r="J799" s="31" t="s">
        <v>1796</v>
      </c>
      <c r="K799" s="31" t="s">
        <v>1793</v>
      </c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13" t="s">
        <v>1175</v>
      </c>
      <c r="B800" s="13" t="s">
        <v>411</v>
      </c>
      <c r="C800" s="13" t="s">
        <v>55</v>
      </c>
      <c r="D800" s="13" t="s">
        <v>1474</v>
      </c>
      <c r="E800" s="13">
        <v>-0.644884634898339</v>
      </c>
      <c r="F800" s="13">
        <v>0.00546776466613169</v>
      </c>
      <c r="G800" s="13">
        <v>-117.94301223183</v>
      </c>
      <c r="H800" s="13">
        <v>0.0</v>
      </c>
      <c r="I800" s="13">
        <v>2803868.0</v>
      </c>
      <c r="J800" s="31" t="s">
        <v>1796</v>
      </c>
      <c r="K800" s="31" t="s">
        <v>1793</v>
      </c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13" t="s">
        <v>1175</v>
      </c>
      <c r="B801" s="13" t="s">
        <v>411</v>
      </c>
      <c r="C801" s="13" t="s">
        <v>1797</v>
      </c>
      <c r="D801" s="13" t="s">
        <v>1474</v>
      </c>
      <c r="E801" s="13">
        <v>0.040272437292379</v>
      </c>
      <c r="F801" s="13">
        <v>0.0105401397189099</v>
      </c>
      <c r="G801" s="13">
        <v>3.82086370450352</v>
      </c>
      <c r="H801" s="63">
        <v>1.3298513335067E-4</v>
      </c>
      <c r="I801" s="13">
        <v>2810684.0</v>
      </c>
      <c r="J801" s="31" t="s">
        <v>1796</v>
      </c>
      <c r="K801" s="31" t="s">
        <v>1793</v>
      </c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13" t="s">
        <v>1177</v>
      </c>
      <c r="B802" s="13" t="s">
        <v>411</v>
      </c>
      <c r="C802" s="13" t="s">
        <v>570</v>
      </c>
      <c r="D802" s="13" t="s">
        <v>1474</v>
      </c>
      <c r="E802" s="13">
        <v>-0.713056618608607</v>
      </c>
      <c r="F802" s="13">
        <v>0.00686966900192806</v>
      </c>
      <c r="G802" s="13">
        <v>-103.797813025413</v>
      </c>
      <c r="H802" s="13">
        <v>0.0</v>
      </c>
      <c r="I802" s="13">
        <v>168175.0</v>
      </c>
      <c r="J802" s="31" t="s">
        <v>1796</v>
      </c>
      <c r="K802" s="31" t="s">
        <v>1793</v>
      </c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13" t="s">
        <v>1177</v>
      </c>
      <c r="B803" s="13" t="s">
        <v>411</v>
      </c>
      <c r="C803" s="13" t="s">
        <v>42</v>
      </c>
      <c r="D803" s="13" t="s">
        <v>1474</v>
      </c>
      <c r="E803" s="13">
        <v>-0.710838445379469</v>
      </c>
      <c r="F803" s="13">
        <v>0.00476453792338323</v>
      </c>
      <c r="G803" s="13">
        <v>-149.193574867111</v>
      </c>
      <c r="H803" s="13">
        <v>0.0</v>
      </c>
      <c r="I803" s="13">
        <v>2806904.0</v>
      </c>
      <c r="J803" s="31" t="s">
        <v>1796</v>
      </c>
      <c r="K803" s="31" t="s">
        <v>1793</v>
      </c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13" t="s">
        <v>1177</v>
      </c>
      <c r="B804" s="13" t="s">
        <v>411</v>
      </c>
      <c r="C804" s="13" t="s">
        <v>55</v>
      </c>
      <c r="D804" s="13" t="s">
        <v>1474</v>
      </c>
      <c r="E804" s="13">
        <v>-0.641751253343268</v>
      </c>
      <c r="F804" s="13">
        <v>0.00537720783777655</v>
      </c>
      <c r="G804" s="13">
        <v>-119.346559163059</v>
      </c>
      <c r="H804" s="13">
        <v>0.0</v>
      </c>
      <c r="I804" s="13">
        <v>2800924.0</v>
      </c>
      <c r="J804" s="31" t="s">
        <v>1796</v>
      </c>
      <c r="K804" s="31" t="s">
        <v>1793</v>
      </c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13" t="s">
        <v>1177</v>
      </c>
      <c r="B805" s="13" t="s">
        <v>411</v>
      </c>
      <c r="C805" s="13" t="s">
        <v>1797</v>
      </c>
      <c r="D805" s="13" t="s">
        <v>1474</v>
      </c>
      <c r="E805" s="13">
        <v>0.0529255711931065</v>
      </c>
      <c r="F805" s="13">
        <v>0.010461561887364</v>
      </c>
      <c r="G805" s="13">
        <v>5.05905062388747</v>
      </c>
      <c r="H805" s="63">
        <v>4.2134900352533E-7</v>
      </c>
      <c r="I805" s="13">
        <v>2807752.0</v>
      </c>
      <c r="J805" s="31" t="s">
        <v>1796</v>
      </c>
      <c r="K805" s="31" t="s">
        <v>1793</v>
      </c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13" t="s">
        <v>1179</v>
      </c>
      <c r="B806" s="13" t="s">
        <v>411</v>
      </c>
      <c r="C806" s="13" t="s">
        <v>570</v>
      </c>
      <c r="D806" s="13" t="s">
        <v>1474</v>
      </c>
      <c r="E806" s="13">
        <v>-0.691605537220918</v>
      </c>
      <c r="F806" s="13">
        <v>0.00750963190734727</v>
      </c>
      <c r="G806" s="13">
        <v>-92.0957972046892</v>
      </c>
      <c r="H806" s="13">
        <v>0.0</v>
      </c>
      <c r="I806" s="13">
        <v>166477.0</v>
      </c>
      <c r="J806" s="31" t="s">
        <v>1796</v>
      </c>
      <c r="K806" s="31" t="s">
        <v>1793</v>
      </c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13" t="s">
        <v>1179</v>
      </c>
      <c r="B807" s="13" t="s">
        <v>411</v>
      </c>
      <c r="C807" s="13" t="s">
        <v>42</v>
      </c>
      <c r="D807" s="13" t="s">
        <v>1474</v>
      </c>
      <c r="E807" s="13">
        <v>-0.698201611953626</v>
      </c>
      <c r="F807" s="13">
        <v>0.00528361005190395</v>
      </c>
      <c r="G807" s="13">
        <v>-132.144803476181</v>
      </c>
      <c r="H807" s="13">
        <v>0.0</v>
      </c>
      <c r="I807" s="13">
        <v>2780192.0</v>
      </c>
      <c r="J807" s="31" t="s">
        <v>1796</v>
      </c>
      <c r="K807" s="31" t="s">
        <v>1793</v>
      </c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13" t="s">
        <v>1179</v>
      </c>
      <c r="B808" s="13" t="s">
        <v>411</v>
      </c>
      <c r="C808" s="13" t="s">
        <v>55</v>
      </c>
      <c r="D808" s="13" t="s">
        <v>1474</v>
      </c>
      <c r="E808" s="13">
        <v>-0.624635515079873</v>
      </c>
      <c r="F808" s="13">
        <v>0.00595624020401912</v>
      </c>
      <c r="G808" s="13">
        <v>-104.870773119321</v>
      </c>
      <c r="H808" s="13">
        <v>0.0</v>
      </c>
      <c r="I808" s="13">
        <v>2774299.0</v>
      </c>
      <c r="J808" s="31" t="s">
        <v>1796</v>
      </c>
      <c r="K808" s="31" t="s">
        <v>1793</v>
      </c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13" t="s">
        <v>1179</v>
      </c>
      <c r="B809" s="13" t="s">
        <v>411</v>
      </c>
      <c r="C809" s="13" t="s">
        <v>1797</v>
      </c>
      <c r="D809" s="13" t="s">
        <v>1474</v>
      </c>
      <c r="E809" s="13">
        <v>0.0620059933299043</v>
      </c>
      <c r="F809" s="13">
        <v>0.0105006915298267</v>
      </c>
      <c r="G809" s="13">
        <v>5.90494379858498</v>
      </c>
      <c r="H809" s="63">
        <v>3.52766989774487E-9</v>
      </c>
      <c r="I809" s="13">
        <v>2781028.0</v>
      </c>
      <c r="J809" s="31" t="s">
        <v>1796</v>
      </c>
      <c r="K809" s="31" t="s">
        <v>1793</v>
      </c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13" t="s">
        <v>1181</v>
      </c>
      <c r="B810" s="13" t="s">
        <v>411</v>
      </c>
      <c r="C810" s="13" t="s">
        <v>570</v>
      </c>
      <c r="D810" s="13" t="s">
        <v>1474</v>
      </c>
      <c r="E810" s="13">
        <v>-0.680782002761791</v>
      </c>
      <c r="F810" s="13">
        <v>0.00742982477558677</v>
      </c>
      <c r="G810" s="13">
        <v>-91.6282716382131</v>
      </c>
      <c r="H810" s="13">
        <v>0.0</v>
      </c>
      <c r="I810" s="13">
        <v>168384.0</v>
      </c>
      <c r="J810" s="31" t="s">
        <v>1796</v>
      </c>
      <c r="K810" s="31" t="s">
        <v>1793</v>
      </c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13" t="s">
        <v>1181</v>
      </c>
      <c r="B811" s="13" t="s">
        <v>411</v>
      </c>
      <c r="C811" s="13" t="s">
        <v>42</v>
      </c>
      <c r="D811" s="13" t="s">
        <v>1474</v>
      </c>
      <c r="E811" s="13">
        <v>-0.683276712716321</v>
      </c>
      <c r="F811" s="13">
        <v>0.00526148140828458</v>
      </c>
      <c r="G811" s="13">
        <v>-129.863941292361</v>
      </c>
      <c r="H811" s="13">
        <v>0.0</v>
      </c>
      <c r="I811" s="13">
        <v>2811241.0</v>
      </c>
      <c r="J811" s="31" t="s">
        <v>1796</v>
      </c>
      <c r="K811" s="31" t="s">
        <v>1793</v>
      </c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13" t="s">
        <v>1181</v>
      </c>
      <c r="B812" s="13" t="s">
        <v>411</v>
      </c>
      <c r="C812" s="13" t="s">
        <v>55</v>
      </c>
      <c r="D812" s="13" t="s">
        <v>1474</v>
      </c>
      <c r="E812" s="13">
        <v>-0.614461526392757</v>
      </c>
      <c r="F812" s="13">
        <v>0.00577549501431469</v>
      </c>
      <c r="G812" s="13">
        <v>-106.391144805735</v>
      </c>
      <c r="H812" s="13">
        <v>0.0</v>
      </c>
      <c r="I812" s="13">
        <v>2805252.0</v>
      </c>
      <c r="J812" s="31" t="s">
        <v>1796</v>
      </c>
      <c r="K812" s="31" t="s">
        <v>1793</v>
      </c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13" t="s">
        <v>1181</v>
      </c>
      <c r="B813" s="13" t="s">
        <v>411</v>
      </c>
      <c r="C813" s="13" t="s">
        <v>1797</v>
      </c>
      <c r="D813" s="13" t="s">
        <v>1474</v>
      </c>
      <c r="E813" s="13">
        <v>0.0388267752844755</v>
      </c>
      <c r="F813" s="13">
        <v>0.0103155781577385</v>
      </c>
      <c r="G813" s="13">
        <v>3.76389715542491</v>
      </c>
      <c r="H813" s="63">
        <v>1.67285705164825E-4</v>
      </c>
      <c r="I813" s="13">
        <v>2812070.0</v>
      </c>
      <c r="J813" s="31" t="s">
        <v>1796</v>
      </c>
      <c r="K813" s="31" t="s">
        <v>1793</v>
      </c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13" t="s">
        <v>1186</v>
      </c>
      <c r="B814" s="13" t="s">
        <v>411</v>
      </c>
      <c r="C814" s="13" t="s">
        <v>570</v>
      </c>
      <c r="D814" s="13" t="s">
        <v>1474</v>
      </c>
      <c r="E814" s="13">
        <v>-0.604029161703004</v>
      </c>
      <c r="F814" s="13">
        <v>0.010186061428652</v>
      </c>
      <c r="G814" s="13">
        <v>-59.2995797182165</v>
      </c>
      <c r="H814" s="13">
        <v>0.0</v>
      </c>
      <c r="I814" s="13">
        <v>168673.0</v>
      </c>
      <c r="J814" s="31" t="s">
        <v>1796</v>
      </c>
      <c r="K814" s="31" t="s">
        <v>1793</v>
      </c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13" t="s">
        <v>1186</v>
      </c>
      <c r="B815" s="13" t="s">
        <v>411</v>
      </c>
      <c r="C815" s="13" t="s">
        <v>42</v>
      </c>
      <c r="D815" s="13" t="s">
        <v>1474</v>
      </c>
      <c r="E815" s="13">
        <v>-0.580649095676913</v>
      </c>
      <c r="F815" s="13">
        <v>0.00844016210979022</v>
      </c>
      <c r="G815" s="13">
        <v>-68.7959648314557</v>
      </c>
      <c r="H815" s="13">
        <v>0.0</v>
      </c>
      <c r="I815" s="13">
        <v>2815687.0</v>
      </c>
      <c r="J815" s="31" t="s">
        <v>1796</v>
      </c>
      <c r="K815" s="31" t="s">
        <v>1793</v>
      </c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13" t="s">
        <v>1186</v>
      </c>
      <c r="B816" s="13" t="s">
        <v>411</v>
      </c>
      <c r="C816" s="13" t="s">
        <v>55</v>
      </c>
      <c r="D816" s="13" t="s">
        <v>1474</v>
      </c>
      <c r="E816" s="13">
        <v>-0.549591399372533</v>
      </c>
      <c r="F816" s="13">
        <v>0.00784168281204253</v>
      </c>
      <c r="G816" s="13">
        <v>-70.085900251987</v>
      </c>
      <c r="H816" s="13">
        <v>0.0</v>
      </c>
      <c r="I816" s="13">
        <v>2809673.0</v>
      </c>
      <c r="J816" s="31" t="s">
        <v>1796</v>
      </c>
      <c r="K816" s="31" t="s">
        <v>1793</v>
      </c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13" t="s">
        <v>1186</v>
      </c>
      <c r="B817" s="13" t="s">
        <v>411</v>
      </c>
      <c r="C817" s="13" t="s">
        <v>1797</v>
      </c>
      <c r="D817" s="13" t="s">
        <v>1474</v>
      </c>
      <c r="E817" s="13">
        <v>-0.00645309518864429</v>
      </c>
      <c r="F817" s="13">
        <v>0.0113599047448288</v>
      </c>
      <c r="G817" s="13">
        <v>-0.568058917182539</v>
      </c>
      <c r="H817" s="13">
        <v>0.569994962608049</v>
      </c>
      <c r="I817" s="13">
        <v>2816498.0</v>
      </c>
      <c r="J817" s="31" t="s">
        <v>1796</v>
      </c>
      <c r="K817" s="31" t="s">
        <v>1793</v>
      </c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13" t="s">
        <v>1189</v>
      </c>
      <c r="B818" s="13" t="s">
        <v>411</v>
      </c>
      <c r="C818" s="13" t="s">
        <v>570</v>
      </c>
      <c r="D818" s="13" t="s">
        <v>1474</v>
      </c>
      <c r="E818" s="13">
        <v>-0.603691087423173</v>
      </c>
      <c r="F818" s="13">
        <v>0.00967300625280755</v>
      </c>
      <c r="G818" s="13">
        <v>-62.4098725510442</v>
      </c>
      <c r="H818" s="13">
        <v>0.0</v>
      </c>
      <c r="I818" s="13">
        <v>168460.0</v>
      </c>
      <c r="J818" s="31" t="s">
        <v>1796</v>
      </c>
      <c r="K818" s="31" t="s">
        <v>1793</v>
      </c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13" t="s">
        <v>1189</v>
      </c>
      <c r="B819" s="13" t="s">
        <v>411</v>
      </c>
      <c r="C819" s="13" t="s">
        <v>42</v>
      </c>
      <c r="D819" s="13" t="s">
        <v>1474</v>
      </c>
      <c r="E819" s="13">
        <v>-0.597062263393132</v>
      </c>
      <c r="F819" s="13">
        <v>0.00737507644902836</v>
      </c>
      <c r="G819" s="13">
        <v>-80.9567558410587</v>
      </c>
      <c r="H819" s="13">
        <v>0.0</v>
      </c>
      <c r="I819" s="13">
        <v>2812059.0</v>
      </c>
      <c r="J819" s="31" t="s">
        <v>1796</v>
      </c>
      <c r="K819" s="31" t="s">
        <v>1793</v>
      </c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13" t="s">
        <v>1189</v>
      </c>
      <c r="B820" s="13" t="s">
        <v>411</v>
      </c>
      <c r="C820" s="13" t="s">
        <v>55</v>
      </c>
      <c r="D820" s="13" t="s">
        <v>1474</v>
      </c>
      <c r="E820" s="13">
        <v>-0.564244066269594</v>
      </c>
      <c r="F820" s="13">
        <v>0.00697018618653332</v>
      </c>
      <c r="G820" s="13">
        <v>-80.9510752180101</v>
      </c>
      <c r="H820" s="13">
        <v>0.0</v>
      </c>
      <c r="I820" s="13">
        <v>2806066.0</v>
      </c>
      <c r="J820" s="31" t="s">
        <v>1796</v>
      </c>
      <c r="K820" s="31" t="s">
        <v>1793</v>
      </c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13" t="s">
        <v>1189</v>
      </c>
      <c r="B821" s="13" t="s">
        <v>411</v>
      </c>
      <c r="C821" s="13" t="s">
        <v>1797</v>
      </c>
      <c r="D821" s="13" t="s">
        <v>1474</v>
      </c>
      <c r="E821" s="13">
        <v>0.0165025762657259</v>
      </c>
      <c r="F821" s="13">
        <v>0.0105809042865424</v>
      </c>
      <c r="G821" s="13">
        <v>1.55965651127901</v>
      </c>
      <c r="H821" s="13">
        <v>0.118841074335722</v>
      </c>
      <c r="I821" s="13">
        <v>2812871.0</v>
      </c>
      <c r="J821" s="31" t="s">
        <v>1796</v>
      </c>
      <c r="K821" s="31" t="s">
        <v>1793</v>
      </c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13" t="s">
        <v>1191</v>
      </c>
      <c r="B822" s="13" t="s">
        <v>411</v>
      </c>
      <c r="C822" s="13" t="s">
        <v>570</v>
      </c>
      <c r="D822" s="13" t="s">
        <v>1474</v>
      </c>
      <c r="E822" s="13">
        <v>-0.517697443437954</v>
      </c>
      <c r="F822" s="13">
        <v>0.0119380039641429</v>
      </c>
      <c r="G822" s="13">
        <v>-43.3654943483778</v>
      </c>
      <c r="H822" s="13">
        <v>0.0</v>
      </c>
      <c r="I822" s="13">
        <v>168683.0</v>
      </c>
      <c r="J822" s="31" t="s">
        <v>1796</v>
      </c>
      <c r="K822" s="31" t="s">
        <v>1793</v>
      </c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13" t="s">
        <v>1191</v>
      </c>
      <c r="B823" s="13" t="s">
        <v>411</v>
      </c>
      <c r="C823" s="13" t="s">
        <v>42</v>
      </c>
      <c r="D823" s="13" t="s">
        <v>1474</v>
      </c>
      <c r="E823" s="13">
        <v>-0.490159060565023</v>
      </c>
      <c r="F823" s="13">
        <v>0.0099436571811792</v>
      </c>
      <c r="G823" s="13">
        <v>-49.2936403210651</v>
      </c>
      <c r="H823" s="13">
        <v>0.0</v>
      </c>
      <c r="I823" s="13">
        <v>2815769.0</v>
      </c>
      <c r="J823" s="31" t="s">
        <v>1796</v>
      </c>
      <c r="K823" s="31" t="s">
        <v>1793</v>
      </c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13" t="s">
        <v>1191</v>
      </c>
      <c r="B824" s="13" t="s">
        <v>411</v>
      </c>
      <c r="C824" s="13" t="s">
        <v>55</v>
      </c>
      <c r="D824" s="13" t="s">
        <v>1474</v>
      </c>
      <c r="E824" s="13">
        <v>-0.478214953723946</v>
      </c>
      <c r="F824" s="13">
        <v>0.0089289242947957</v>
      </c>
      <c r="G824" s="13">
        <v>-53.557958152101</v>
      </c>
      <c r="H824" s="13">
        <v>0.0</v>
      </c>
      <c r="I824" s="13">
        <v>2809757.0</v>
      </c>
      <c r="J824" s="31" t="s">
        <v>1796</v>
      </c>
      <c r="K824" s="31" t="s">
        <v>1793</v>
      </c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13" t="s">
        <v>1191</v>
      </c>
      <c r="B825" s="13" t="s">
        <v>411</v>
      </c>
      <c r="C825" s="13" t="s">
        <v>1797</v>
      </c>
      <c r="D825" s="13" t="s">
        <v>1474</v>
      </c>
      <c r="E825" s="13">
        <v>0.0340807287985076</v>
      </c>
      <c r="F825" s="13">
        <v>0.0105098336131009</v>
      </c>
      <c r="G825" s="13">
        <v>3.24274675062645</v>
      </c>
      <c r="H825" s="13">
        <v>0.00118383387663881</v>
      </c>
      <c r="I825" s="13">
        <v>2816589.0</v>
      </c>
      <c r="J825" s="31" t="s">
        <v>1796</v>
      </c>
      <c r="K825" s="31" t="s">
        <v>1793</v>
      </c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13" t="s">
        <v>1193</v>
      </c>
      <c r="B826" s="13" t="s">
        <v>411</v>
      </c>
      <c r="C826" s="13" t="s">
        <v>570</v>
      </c>
      <c r="D826" s="13" t="s">
        <v>1474</v>
      </c>
      <c r="E826" s="13">
        <v>-0.632977703707731</v>
      </c>
      <c r="F826" s="13">
        <v>0.00865295894732655</v>
      </c>
      <c r="G826" s="13">
        <v>-73.1515898273501</v>
      </c>
      <c r="H826" s="13">
        <v>0.0</v>
      </c>
      <c r="I826" s="13">
        <v>168669.0</v>
      </c>
      <c r="J826" s="31" t="s">
        <v>1796</v>
      </c>
      <c r="K826" s="31" t="s">
        <v>1793</v>
      </c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13" t="s">
        <v>1193</v>
      </c>
      <c r="B827" s="13" t="s">
        <v>411</v>
      </c>
      <c r="C827" s="13" t="s">
        <v>42</v>
      </c>
      <c r="D827" s="13" t="s">
        <v>1474</v>
      </c>
      <c r="E827" s="13">
        <v>-0.625673582744887</v>
      </c>
      <c r="F827" s="13">
        <v>0.00631465945587991</v>
      </c>
      <c r="G827" s="13">
        <v>-99.0827117624356</v>
      </c>
      <c r="H827" s="13">
        <v>0.0</v>
      </c>
      <c r="I827" s="13">
        <v>2815429.0</v>
      </c>
      <c r="J827" s="31" t="s">
        <v>1796</v>
      </c>
      <c r="K827" s="31" t="s">
        <v>1793</v>
      </c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13" t="s">
        <v>1193</v>
      </c>
      <c r="B828" s="13" t="s">
        <v>411</v>
      </c>
      <c r="C828" s="13" t="s">
        <v>55</v>
      </c>
      <c r="D828" s="13" t="s">
        <v>1474</v>
      </c>
      <c r="E828" s="13">
        <v>-0.587923268875946</v>
      </c>
      <c r="F828" s="13">
        <v>0.00624149665499819</v>
      </c>
      <c r="G828" s="13">
        <v>-94.1958798303828</v>
      </c>
      <c r="H828" s="13">
        <v>0.0</v>
      </c>
      <c r="I828" s="13">
        <v>2809406.0</v>
      </c>
      <c r="J828" s="31" t="s">
        <v>1796</v>
      </c>
      <c r="K828" s="31" t="s">
        <v>1793</v>
      </c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13" t="s">
        <v>1193</v>
      </c>
      <c r="B829" s="13" t="s">
        <v>411</v>
      </c>
      <c r="C829" s="13" t="s">
        <v>1797</v>
      </c>
      <c r="D829" s="13" t="s">
        <v>1474</v>
      </c>
      <c r="E829" s="13">
        <v>-0.0103543909706321</v>
      </c>
      <c r="F829" s="13">
        <v>0.0105975158443016</v>
      </c>
      <c r="G829" s="13">
        <v>-0.977058314680389</v>
      </c>
      <c r="H829" s="13">
        <v>0.328540283333291</v>
      </c>
      <c r="I829" s="13">
        <v>2816244.0</v>
      </c>
      <c r="J829" s="31" t="s">
        <v>1796</v>
      </c>
      <c r="K829" s="31" t="s">
        <v>1793</v>
      </c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13" t="s">
        <v>1195</v>
      </c>
      <c r="B830" s="13" t="s">
        <v>411</v>
      </c>
      <c r="C830" s="13" t="s">
        <v>570</v>
      </c>
      <c r="D830" s="13" t="s">
        <v>1474</v>
      </c>
      <c r="E830" s="13">
        <v>-0.652084003333126</v>
      </c>
      <c r="F830" s="13">
        <v>0.00828370062373607</v>
      </c>
      <c r="G830" s="13">
        <v>-78.7189244218518</v>
      </c>
      <c r="H830" s="13">
        <v>0.0</v>
      </c>
      <c r="I830" s="13">
        <v>168651.0</v>
      </c>
      <c r="J830" s="31" t="s">
        <v>1796</v>
      </c>
      <c r="K830" s="31" t="s">
        <v>1793</v>
      </c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13" t="s">
        <v>1195</v>
      </c>
      <c r="B831" s="13" t="s">
        <v>411</v>
      </c>
      <c r="C831" s="13" t="s">
        <v>42</v>
      </c>
      <c r="D831" s="13" t="s">
        <v>1474</v>
      </c>
      <c r="E831" s="13">
        <v>-0.638895405190189</v>
      </c>
      <c r="F831" s="13">
        <v>0.00641751720887758</v>
      </c>
      <c r="G831" s="13">
        <v>-99.554918887694</v>
      </c>
      <c r="H831" s="13">
        <v>0.0</v>
      </c>
      <c r="I831" s="13">
        <v>2815641.0</v>
      </c>
      <c r="J831" s="31" t="s">
        <v>1796</v>
      </c>
      <c r="K831" s="31" t="s">
        <v>1793</v>
      </c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13" t="s">
        <v>1195</v>
      </c>
      <c r="B832" s="13" t="s">
        <v>411</v>
      </c>
      <c r="C832" s="13" t="s">
        <v>55</v>
      </c>
      <c r="D832" s="13" t="s">
        <v>1474</v>
      </c>
      <c r="E832" s="13">
        <v>-0.595972889940485</v>
      </c>
      <c r="F832" s="13">
        <v>0.00625506693870166</v>
      </c>
      <c r="G832" s="13">
        <v>-95.2784192049251</v>
      </c>
      <c r="H832" s="13">
        <v>0.0</v>
      </c>
      <c r="I832" s="13">
        <v>2809627.0</v>
      </c>
      <c r="J832" s="31" t="s">
        <v>1796</v>
      </c>
      <c r="K832" s="31" t="s">
        <v>1793</v>
      </c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13" t="s">
        <v>1195</v>
      </c>
      <c r="B833" s="13" t="s">
        <v>411</v>
      </c>
      <c r="C833" s="13" t="s">
        <v>1797</v>
      </c>
      <c r="D833" s="13" t="s">
        <v>1474</v>
      </c>
      <c r="E833" s="13">
        <v>0.0114548651753406</v>
      </c>
      <c r="F833" s="13">
        <v>0.0107514538059322</v>
      </c>
      <c r="G833" s="13">
        <v>1.06542476785979</v>
      </c>
      <c r="H833" s="13">
        <v>0.286683753537193</v>
      </c>
      <c r="I833" s="13">
        <v>2816459.0</v>
      </c>
      <c r="J833" s="31" t="s">
        <v>1796</v>
      </c>
      <c r="K833" s="31" t="s">
        <v>1793</v>
      </c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13" t="s">
        <v>1197</v>
      </c>
      <c r="B834" s="13" t="s">
        <v>411</v>
      </c>
      <c r="C834" s="13" t="s">
        <v>570</v>
      </c>
      <c r="D834" s="13" t="s">
        <v>1474</v>
      </c>
      <c r="E834" s="13">
        <v>-0.0508130142197434</v>
      </c>
      <c r="F834" s="13">
        <v>0.012673866676175</v>
      </c>
      <c r="G834" s="13">
        <v>-4.00927479498141</v>
      </c>
      <c r="H834" s="63">
        <v>6.09055075275418E-5</v>
      </c>
      <c r="I834" s="13">
        <v>168869.0</v>
      </c>
      <c r="J834" s="31" t="s">
        <v>1796</v>
      </c>
      <c r="K834" s="31" t="s">
        <v>1793</v>
      </c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13" t="s">
        <v>1197</v>
      </c>
      <c r="B835" s="13" t="s">
        <v>411</v>
      </c>
      <c r="C835" s="13" t="s">
        <v>42</v>
      </c>
      <c r="D835" s="13" t="s">
        <v>1474</v>
      </c>
      <c r="E835" s="13">
        <v>0.0276672222639045</v>
      </c>
      <c r="F835" s="13">
        <v>0.00469706289421886</v>
      </c>
      <c r="G835" s="13">
        <v>5.89032399331024</v>
      </c>
      <c r="H835" s="63">
        <v>3.85439190171491E-9</v>
      </c>
      <c r="I835" s="13">
        <v>2819027.0</v>
      </c>
      <c r="J835" s="31" t="s">
        <v>1796</v>
      </c>
      <c r="K835" s="31" t="s">
        <v>1793</v>
      </c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13" t="s">
        <v>1197</v>
      </c>
      <c r="B836" s="13" t="s">
        <v>411</v>
      </c>
      <c r="C836" s="13" t="s">
        <v>55</v>
      </c>
      <c r="D836" s="13" t="s">
        <v>1474</v>
      </c>
      <c r="E836" s="13">
        <v>-0.0409981207638927</v>
      </c>
      <c r="F836" s="13">
        <v>0.00532716776841957</v>
      </c>
      <c r="G836" s="13">
        <v>-7.69604460496571</v>
      </c>
      <c r="H836" s="63">
        <v>1.40342836488859E-14</v>
      </c>
      <c r="I836" s="13">
        <v>2812995.0</v>
      </c>
      <c r="J836" s="31" t="s">
        <v>1796</v>
      </c>
      <c r="K836" s="31" t="s">
        <v>1793</v>
      </c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13" t="s">
        <v>1197</v>
      </c>
      <c r="B837" s="13" t="s">
        <v>411</v>
      </c>
      <c r="C837" s="13" t="s">
        <v>1797</v>
      </c>
      <c r="D837" s="13" t="s">
        <v>1474</v>
      </c>
      <c r="E837" s="13">
        <v>-0.0267532817396308</v>
      </c>
      <c r="F837" s="13">
        <v>0.0047028266809204</v>
      </c>
      <c r="G837" s="13">
        <v>-5.68876625799759</v>
      </c>
      <c r="H837" s="63">
        <v>1.27960476096897E-8</v>
      </c>
      <c r="I837" s="13">
        <v>2819830.0</v>
      </c>
      <c r="J837" s="31" t="s">
        <v>1796</v>
      </c>
      <c r="K837" s="31" t="s">
        <v>1793</v>
      </c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13" t="s">
        <v>1200</v>
      </c>
      <c r="B838" s="13" t="s">
        <v>411</v>
      </c>
      <c r="C838" s="13" t="s">
        <v>570</v>
      </c>
      <c r="D838" s="13" t="s">
        <v>1474</v>
      </c>
      <c r="E838" s="13">
        <v>-0.0414470075514218</v>
      </c>
      <c r="F838" s="13">
        <v>0.0129411517584948</v>
      </c>
      <c r="G838" s="13">
        <v>-3.20272942663044</v>
      </c>
      <c r="H838" s="13">
        <v>0.00136131817403058</v>
      </c>
      <c r="I838" s="13">
        <v>168882.0</v>
      </c>
      <c r="J838" s="31" t="s">
        <v>1796</v>
      </c>
      <c r="K838" s="31" t="s">
        <v>1793</v>
      </c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13" t="s">
        <v>1200</v>
      </c>
      <c r="B839" s="13" t="s">
        <v>411</v>
      </c>
      <c r="C839" s="13" t="s">
        <v>42</v>
      </c>
      <c r="D839" s="13" t="s">
        <v>1474</v>
      </c>
      <c r="E839" s="13">
        <v>0.0296966071879416</v>
      </c>
      <c r="F839" s="13">
        <v>0.00479122474745372</v>
      </c>
      <c r="G839" s="13">
        <v>6.1981244364969</v>
      </c>
      <c r="H839" s="63">
        <v>5.71399589164547E-10</v>
      </c>
      <c r="I839" s="13">
        <v>2819653.0</v>
      </c>
      <c r="J839" s="31" t="s">
        <v>1796</v>
      </c>
      <c r="K839" s="31" t="s">
        <v>1793</v>
      </c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13" t="s">
        <v>1200</v>
      </c>
      <c r="B840" s="13" t="s">
        <v>411</v>
      </c>
      <c r="C840" s="13" t="s">
        <v>55</v>
      </c>
      <c r="D840" s="13" t="s">
        <v>1474</v>
      </c>
      <c r="E840" s="13">
        <v>-0.0313420046690938</v>
      </c>
      <c r="F840" s="13">
        <v>0.00527757182364356</v>
      </c>
      <c r="G840" s="13">
        <v>-5.93871684108237</v>
      </c>
      <c r="H840" s="63">
        <v>2.87261520361519E-9</v>
      </c>
      <c r="I840" s="13">
        <v>2813619.0</v>
      </c>
      <c r="J840" s="31" t="s">
        <v>1796</v>
      </c>
      <c r="K840" s="31" t="s">
        <v>1793</v>
      </c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13" t="s">
        <v>1200</v>
      </c>
      <c r="B841" s="13" t="s">
        <v>411</v>
      </c>
      <c r="C841" s="13" t="s">
        <v>1797</v>
      </c>
      <c r="D841" s="13" t="s">
        <v>1474</v>
      </c>
      <c r="E841" s="13">
        <v>-0.0253246551073189</v>
      </c>
      <c r="F841" s="13">
        <v>0.00484198678540832</v>
      </c>
      <c r="G841" s="13">
        <v>-5.23021978986738</v>
      </c>
      <c r="H841" s="63">
        <v>1.69308624917625E-7</v>
      </c>
      <c r="I841" s="13">
        <v>2820457.0</v>
      </c>
      <c r="J841" s="31" t="s">
        <v>1796</v>
      </c>
      <c r="K841" s="31" t="s">
        <v>1793</v>
      </c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13" t="s">
        <v>1202</v>
      </c>
      <c r="B842" s="13" t="s">
        <v>411</v>
      </c>
      <c r="C842" s="13" t="s">
        <v>570</v>
      </c>
      <c r="D842" s="13" t="s">
        <v>1474</v>
      </c>
      <c r="E842" s="13">
        <v>-0.0490292725879231</v>
      </c>
      <c r="F842" s="13">
        <v>0.0124246317229521</v>
      </c>
      <c r="G842" s="13">
        <v>-3.94613487797396</v>
      </c>
      <c r="H842" s="63">
        <v>7.94228848284902E-5</v>
      </c>
      <c r="I842" s="13">
        <v>168887.0</v>
      </c>
      <c r="J842" s="31" t="s">
        <v>1796</v>
      </c>
      <c r="K842" s="31" t="s">
        <v>1793</v>
      </c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13" t="s">
        <v>1202</v>
      </c>
      <c r="B843" s="13" t="s">
        <v>411</v>
      </c>
      <c r="C843" s="13" t="s">
        <v>42</v>
      </c>
      <c r="D843" s="13" t="s">
        <v>1474</v>
      </c>
      <c r="E843" s="13">
        <v>0.0279957904784155</v>
      </c>
      <c r="F843" s="13">
        <v>0.00486200559763994</v>
      </c>
      <c r="G843" s="13">
        <v>5.75807450571528</v>
      </c>
      <c r="H843" s="63">
        <v>8.50788049666632E-9</v>
      </c>
      <c r="I843" s="13">
        <v>2819452.0</v>
      </c>
      <c r="J843" s="31" t="s">
        <v>1796</v>
      </c>
      <c r="K843" s="31" t="s">
        <v>1793</v>
      </c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13" t="s">
        <v>1202</v>
      </c>
      <c r="B844" s="13" t="s">
        <v>411</v>
      </c>
      <c r="C844" s="13" t="s">
        <v>55</v>
      </c>
      <c r="D844" s="13" t="s">
        <v>1474</v>
      </c>
      <c r="E844" s="13">
        <v>-0.045868037738151</v>
      </c>
      <c r="F844" s="13">
        <v>0.00551338820870593</v>
      </c>
      <c r="G844" s="13">
        <v>-8.31939199668961</v>
      </c>
      <c r="H844" s="63">
        <v>8.84156803705528E-17</v>
      </c>
      <c r="I844" s="13">
        <v>2813416.0</v>
      </c>
      <c r="J844" s="31" t="s">
        <v>1796</v>
      </c>
      <c r="K844" s="31" t="s">
        <v>1793</v>
      </c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13" t="s">
        <v>1202</v>
      </c>
      <c r="B845" s="13" t="s">
        <v>411</v>
      </c>
      <c r="C845" s="13" t="s">
        <v>1797</v>
      </c>
      <c r="D845" s="13" t="s">
        <v>1474</v>
      </c>
      <c r="E845" s="13">
        <v>-0.0249782211835127</v>
      </c>
      <c r="F845" s="13">
        <v>0.00475799145728348</v>
      </c>
      <c r="G845" s="13">
        <v>-5.24974065375345</v>
      </c>
      <c r="H845" s="63">
        <v>1.52313496868069E-7</v>
      </c>
      <c r="I845" s="13">
        <v>2820255.0</v>
      </c>
      <c r="J845" s="31" t="s">
        <v>1796</v>
      </c>
      <c r="K845" s="31" t="s">
        <v>1793</v>
      </c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13" t="s">
        <v>1204</v>
      </c>
      <c r="B846" s="13" t="s">
        <v>411</v>
      </c>
      <c r="C846" s="13" t="s">
        <v>570</v>
      </c>
      <c r="D846" s="13" t="s">
        <v>1474</v>
      </c>
      <c r="E846" s="13">
        <v>-0.0288705308913842</v>
      </c>
      <c r="F846" s="13">
        <v>0.012474933671539</v>
      </c>
      <c r="G846" s="13">
        <v>-2.31428331817515</v>
      </c>
      <c r="H846" s="13">
        <v>0.0206521862409495</v>
      </c>
      <c r="I846" s="13">
        <v>168864.0</v>
      </c>
      <c r="J846" s="31" t="s">
        <v>1796</v>
      </c>
      <c r="K846" s="31" t="s">
        <v>1793</v>
      </c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13" t="s">
        <v>1204</v>
      </c>
      <c r="B847" s="13" t="s">
        <v>411</v>
      </c>
      <c r="C847" s="13" t="s">
        <v>42</v>
      </c>
      <c r="D847" s="13" t="s">
        <v>1474</v>
      </c>
      <c r="E847" s="13">
        <v>0.0286383571905247</v>
      </c>
      <c r="F847" s="13">
        <v>0.00453148793511293</v>
      </c>
      <c r="G847" s="13">
        <v>6.31985731852357</v>
      </c>
      <c r="H847" s="63">
        <v>2.61804916335157E-10</v>
      </c>
      <c r="I847" s="13">
        <v>2819523.0</v>
      </c>
      <c r="J847" s="31" t="s">
        <v>1796</v>
      </c>
      <c r="K847" s="31" t="s">
        <v>1793</v>
      </c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13" t="s">
        <v>1204</v>
      </c>
      <c r="B848" s="13" t="s">
        <v>411</v>
      </c>
      <c r="C848" s="13" t="s">
        <v>55</v>
      </c>
      <c r="D848" s="13" t="s">
        <v>1474</v>
      </c>
      <c r="E848" s="13">
        <v>-0.0428961370348109</v>
      </c>
      <c r="F848" s="13">
        <v>0.0052285881835609</v>
      </c>
      <c r="G848" s="13">
        <v>-8.20415292404933</v>
      </c>
      <c r="H848" s="63">
        <v>2.32222361752456E-16</v>
      </c>
      <c r="I848" s="13">
        <v>2813497.0</v>
      </c>
      <c r="J848" s="31" t="s">
        <v>1796</v>
      </c>
      <c r="K848" s="31" t="s">
        <v>1793</v>
      </c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13" t="s">
        <v>1204</v>
      </c>
      <c r="B849" s="13" t="s">
        <v>411</v>
      </c>
      <c r="C849" s="13" t="s">
        <v>1797</v>
      </c>
      <c r="D849" s="13" t="s">
        <v>1474</v>
      </c>
      <c r="E849" s="13">
        <v>-0.0298485652717812</v>
      </c>
      <c r="F849" s="13">
        <v>0.00461206778245418</v>
      </c>
      <c r="G849" s="13">
        <v>-6.47184011157316</v>
      </c>
      <c r="H849" s="63">
        <v>9.68165413837915E-11</v>
      </c>
      <c r="I849" s="13">
        <v>2820326.0</v>
      </c>
      <c r="J849" s="31" t="s">
        <v>1796</v>
      </c>
      <c r="K849" s="31" t="s">
        <v>1793</v>
      </c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13" t="s">
        <v>1206</v>
      </c>
      <c r="B850" s="13" t="s">
        <v>411</v>
      </c>
      <c r="C850" s="13" t="s">
        <v>570</v>
      </c>
      <c r="D850" s="13" t="s">
        <v>1474</v>
      </c>
      <c r="E850" s="13">
        <v>-0.0414409681479649</v>
      </c>
      <c r="F850" s="13">
        <v>0.0127305937217492</v>
      </c>
      <c r="G850" s="13">
        <v>-3.25522666528632</v>
      </c>
      <c r="H850" s="13">
        <v>0.00113301900051474</v>
      </c>
      <c r="I850" s="13">
        <v>168885.0</v>
      </c>
      <c r="J850" s="31" t="s">
        <v>1796</v>
      </c>
      <c r="K850" s="31" t="s">
        <v>1793</v>
      </c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13" t="s">
        <v>1206</v>
      </c>
      <c r="B851" s="13" t="s">
        <v>411</v>
      </c>
      <c r="C851" s="13" t="s">
        <v>42</v>
      </c>
      <c r="D851" s="13" t="s">
        <v>1474</v>
      </c>
      <c r="E851" s="13">
        <v>0.0270012308658467</v>
      </c>
      <c r="F851" s="13">
        <v>0.00475486102635804</v>
      </c>
      <c r="G851" s="13">
        <v>5.67865826491423</v>
      </c>
      <c r="H851" s="63">
        <v>1.3575539058244E-8</v>
      </c>
      <c r="I851" s="13">
        <v>2819644.0</v>
      </c>
      <c r="J851" s="31" t="s">
        <v>1796</v>
      </c>
      <c r="K851" s="31" t="s">
        <v>1793</v>
      </c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13" t="s">
        <v>1206</v>
      </c>
      <c r="B852" s="13" t="s">
        <v>411</v>
      </c>
      <c r="C852" s="13" t="s">
        <v>55</v>
      </c>
      <c r="D852" s="13" t="s">
        <v>1474</v>
      </c>
      <c r="E852" s="13">
        <v>-0.0369107231001603</v>
      </c>
      <c r="F852" s="13">
        <v>0.00515396354099864</v>
      </c>
      <c r="G852" s="13">
        <v>-7.16161897664656</v>
      </c>
      <c r="H852" s="63">
        <v>7.97297727318359E-13</v>
      </c>
      <c r="I852" s="13">
        <v>2813607.0</v>
      </c>
      <c r="J852" s="31" t="s">
        <v>1796</v>
      </c>
      <c r="K852" s="31" t="s">
        <v>1793</v>
      </c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13" t="s">
        <v>1206</v>
      </c>
      <c r="B853" s="13" t="s">
        <v>411</v>
      </c>
      <c r="C853" s="13" t="s">
        <v>1797</v>
      </c>
      <c r="D853" s="13" t="s">
        <v>1474</v>
      </c>
      <c r="E853" s="13">
        <v>-0.0267164204978784</v>
      </c>
      <c r="F853" s="13">
        <v>0.00479639198298875</v>
      </c>
      <c r="G853" s="13">
        <v>-5.57010782117745</v>
      </c>
      <c r="H853" s="63">
        <v>2.54581740478174E-8</v>
      </c>
      <c r="I853" s="13">
        <v>2820447.0</v>
      </c>
      <c r="J853" s="31" t="s">
        <v>1796</v>
      </c>
      <c r="K853" s="31" t="s">
        <v>1793</v>
      </c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13" t="s">
        <v>1208</v>
      </c>
      <c r="B854" s="13" t="s">
        <v>411</v>
      </c>
      <c r="C854" s="13" t="s">
        <v>570</v>
      </c>
      <c r="D854" s="13" t="s">
        <v>1474</v>
      </c>
      <c r="E854" s="13">
        <v>-0.183431093438901</v>
      </c>
      <c r="F854" s="13">
        <v>0.014294273004479</v>
      </c>
      <c r="G854" s="13">
        <v>-12.8324884645357</v>
      </c>
      <c r="H854" s="63">
        <v>1.07843807776818E-37</v>
      </c>
      <c r="I854" s="13">
        <v>162612.0</v>
      </c>
      <c r="J854" s="31" t="s">
        <v>1796</v>
      </c>
      <c r="K854" s="31" t="s">
        <v>1793</v>
      </c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13" t="s">
        <v>1208</v>
      </c>
      <c r="B855" s="13" t="s">
        <v>411</v>
      </c>
      <c r="C855" s="13" t="s">
        <v>42</v>
      </c>
      <c r="D855" s="13" t="s">
        <v>1474</v>
      </c>
      <c r="E855" s="13">
        <v>-0.164999328900136</v>
      </c>
      <c r="F855" s="13">
        <v>0.00906983627724946</v>
      </c>
      <c r="G855" s="13">
        <v>-18.1920956295558</v>
      </c>
      <c r="H855" s="63">
        <v>5.96165153893122E-74</v>
      </c>
      <c r="I855" s="13">
        <v>2720633.0</v>
      </c>
      <c r="J855" s="31" t="s">
        <v>1796</v>
      </c>
      <c r="K855" s="31" t="s">
        <v>1793</v>
      </c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13" t="s">
        <v>1208</v>
      </c>
      <c r="B856" s="13" t="s">
        <v>411</v>
      </c>
      <c r="C856" s="13" t="s">
        <v>55</v>
      </c>
      <c r="D856" s="13" t="s">
        <v>1474</v>
      </c>
      <c r="E856" s="13">
        <v>-0.186897670172124</v>
      </c>
      <c r="F856" s="13">
        <v>0.00871792386700636</v>
      </c>
      <c r="G856" s="13">
        <v>-21.4383232777992</v>
      </c>
      <c r="H856" s="63">
        <v>5.86904210901788E-102</v>
      </c>
      <c r="I856" s="13">
        <v>2714687.0</v>
      </c>
      <c r="J856" s="31" t="s">
        <v>1796</v>
      </c>
      <c r="K856" s="31" t="s">
        <v>1793</v>
      </c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13" t="s">
        <v>1208</v>
      </c>
      <c r="B857" s="13" t="s">
        <v>411</v>
      </c>
      <c r="C857" s="13" t="s">
        <v>1797</v>
      </c>
      <c r="D857" s="13" t="s">
        <v>1474</v>
      </c>
      <c r="E857" s="13">
        <v>0.0721120113344534</v>
      </c>
      <c r="F857" s="13">
        <v>0.00753311576726039</v>
      </c>
      <c r="G857" s="13">
        <v>9.57266734806583</v>
      </c>
      <c r="H857" s="63">
        <v>1.04182472585521E-21</v>
      </c>
      <c r="I857" s="13">
        <v>2721439.0</v>
      </c>
      <c r="J857" s="31" t="s">
        <v>1796</v>
      </c>
      <c r="K857" s="31" t="s">
        <v>1793</v>
      </c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13" t="s">
        <v>1212</v>
      </c>
      <c r="B858" s="13" t="s">
        <v>411</v>
      </c>
      <c r="C858" s="13" t="s">
        <v>570</v>
      </c>
      <c r="D858" s="13" t="s">
        <v>1474</v>
      </c>
      <c r="E858" s="13">
        <v>-0.179683767487955</v>
      </c>
      <c r="F858" s="13">
        <v>0.0143503047063797</v>
      </c>
      <c r="G858" s="13">
        <v>-12.5212510231976</v>
      </c>
      <c r="H858" s="63">
        <v>5.71275543022095E-36</v>
      </c>
      <c r="I858" s="13">
        <v>167861.0</v>
      </c>
      <c r="J858" s="31" t="s">
        <v>1796</v>
      </c>
      <c r="K858" s="31" t="s">
        <v>1793</v>
      </c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13" t="s">
        <v>1212</v>
      </c>
      <c r="B859" s="13" t="s">
        <v>411</v>
      </c>
      <c r="C859" s="13" t="s">
        <v>42</v>
      </c>
      <c r="D859" s="13" t="s">
        <v>1474</v>
      </c>
      <c r="E859" s="13">
        <v>-0.163812008419603</v>
      </c>
      <c r="F859" s="13">
        <v>0.00947727821935344</v>
      </c>
      <c r="G859" s="13">
        <v>-17.2847102963681</v>
      </c>
      <c r="H859" s="63">
        <v>6.13287075404524E-67</v>
      </c>
      <c r="I859" s="13">
        <v>2802216.0</v>
      </c>
      <c r="J859" s="31" t="s">
        <v>1796</v>
      </c>
      <c r="K859" s="31" t="s">
        <v>1793</v>
      </c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13" t="s">
        <v>1212</v>
      </c>
      <c r="B860" s="13" t="s">
        <v>411</v>
      </c>
      <c r="C860" s="13" t="s">
        <v>55</v>
      </c>
      <c r="D860" s="13" t="s">
        <v>1474</v>
      </c>
      <c r="E860" s="13">
        <v>-0.18470315036891</v>
      </c>
      <c r="F860" s="13">
        <v>0.00920159225597893</v>
      </c>
      <c r="G860" s="13">
        <v>-20.0729553354089</v>
      </c>
      <c r="H860" s="63">
        <v>1.27210616582497E-89</v>
      </c>
      <c r="I860" s="13">
        <v>2796217.0</v>
      </c>
      <c r="J860" s="31" t="s">
        <v>1796</v>
      </c>
      <c r="K860" s="31" t="s">
        <v>1793</v>
      </c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13" t="s">
        <v>1212</v>
      </c>
      <c r="B861" s="13" t="s">
        <v>411</v>
      </c>
      <c r="C861" s="13" t="s">
        <v>1797</v>
      </c>
      <c r="D861" s="13" t="s">
        <v>1474</v>
      </c>
      <c r="E861" s="13">
        <v>0.0767230487706307</v>
      </c>
      <c r="F861" s="13">
        <v>0.00823173867701578</v>
      </c>
      <c r="G861" s="13">
        <v>9.32039412097138</v>
      </c>
      <c r="H861" s="63">
        <v>1.15908939741925E-20</v>
      </c>
      <c r="I861" s="13">
        <v>2803018.0</v>
      </c>
      <c r="J861" s="31" t="s">
        <v>1796</v>
      </c>
      <c r="K861" s="31" t="s">
        <v>1793</v>
      </c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13" t="s">
        <v>1214</v>
      </c>
      <c r="B862" s="13" t="s">
        <v>411</v>
      </c>
      <c r="C862" s="13" t="s">
        <v>570</v>
      </c>
      <c r="D862" s="13" t="s">
        <v>1474</v>
      </c>
      <c r="E862" s="13">
        <v>-0.193457494088617</v>
      </c>
      <c r="F862" s="13">
        <v>0.0146842440392822</v>
      </c>
      <c r="G862" s="13">
        <v>-13.1744946196136</v>
      </c>
      <c r="H862" s="63">
        <v>1.23048643183983E-39</v>
      </c>
      <c r="I862" s="13">
        <v>144478.0</v>
      </c>
      <c r="J862" s="31" t="s">
        <v>1796</v>
      </c>
      <c r="K862" s="31" t="s">
        <v>1793</v>
      </c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13" t="s">
        <v>1214</v>
      </c>
      <c r="B863" s="13" t="s">
        <v>411</v>
      </c>
      <c r="C863" s="13" t="s">
        <v>42</v>
      </c>
      <c r="D863" s="13" t="s">
        <v>1474</v>
      </c>
      <c r="E863" s="13">
        <v>-0.172722501784461</v>
      </c>
      <c r="F863" s="13">
        <v>0.00795623123118218</v>
      </c>
      <c r="G863" s="13">
        <v>-21.7090852145579</v>
      </c>
      <c r="H863" s="63">
        <v>1.68375484191972E-104</v>
      </c>
      <c r="I863" s="13">
        <v>2445369.0</v>
      </c>
      <c r="J863" s="31" t="s">
        <v>1796</v>
      </c>
      <c r="K863" s="31" t="s">
        <v>1793</v>
      </c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13" t="s">
        <v>1214</v>
      </c>
      <c r="B864" s="13" t="s">
        <v>411</v>
      </c>
      <c r="C864" s="13" t="s">
        <v>55</v>
      </c>
      <c r="D864" s="13" t="s">
        <v>1474</v>
      </c>
      <c r="E864" s="13">
        <v>-0.180768724388856</v>
      </c>
      <c r="F864" s="13">
        <v>0.00785473324574216</v>
      </c>
      <c r="G864" s="13">
        <v>-23.0139864376484</v>
      </c>
      <c r="H864" s="63">
        <v>3.37669453337364E-117</v>
      </c>
      <c r="I864" s="13">
        <v>2439593.0</v>
      </c>
      <c r="J864" s="31" t="s">
        <v>1796</v>
      </c>
      <c r="K864" s="31" t="s">
        <v>1793</v>
      </c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13" t="s">
        <v>1214</v>
      </c>
      <c r="B865" s="13" t="s">
        <v>411</v>
      </c>
      <c r="C865" s="13" t="s">
        <v>1797</v>
      </c>
      <c r="D865" s="13" t="s">
        <v>1474</v>
      </c>
      <c r="E865" s="13">
        <v>0.0755610813464579</v>
      </c>
      <c r="F865" s="13">
        <v>0.00726940736731865</v>
      </c>
      <c r="G865" s="13">
        <v>10.3943935906193</v>
      </c>
      <c r="H865" s="63">
        <v>2.6295422288129E-25</v>
      </c>
      <c r="I865" s="13">
        <v>2446169.0</v>
      </c>
      <c r="J865" s="31" t="s">
        <v>1796</v>
      </c>
      <c r="K865" s="31" t="s">
        <v>1793</v>
      </c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13" t="s">
        <v>1217</v>
      </c>
      <c r="B866" s="13" t="s">
        <v>411</v>
      </c>
      <c r="C866" s="13" t="s">
        <v>570</v>
      </c>
      <c r="D866" s="13" t="s">
        <v>1474</v>
      </c>
      <c r="E866" s="13">
        <v>-0.191652694009765</v>
      </c>
      <c r="F866" s="13">
        <v>0.0141597450594655</v>
      </c>
      <c r="G866" s="13">
        <v>-13.535038463256</v>
      </c>
      <c r="H866" s="63">
        <v>9.7131598341882E-42</v>
      </c>
      <c r="I866" s="13">
        <v>168721.0</v>
      </c>
      <c r="J866" s="31" t="s">
        <v>1796</v>
      </c>
      <c r="K866" s="31" t="s">
        <v>1793</v>
      </c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13" t="s">
        <v>1217</v>
      </c>
      <c r="B867" s="13" t="s">
        <v>411</v>
      </c>
      <c r="C867" s="13" t="s">
        <v>42</v>
      </c>
      <c r="D867" s="13" t="s">
        <v>1474</v>
      </c>
      <c r="E867" s="13">
        <v>-0.160836919176044</v>
      </c>
      <c r="F867" s="13">
        <v>0.00843977796116818</v>
      </c>
      <c r="G867" s="13">
        <v>-19.0570083616017</v>
      </c>
      <c r="H867" s="63">
        <v>5.7468252594769E-81</v>
      </c>
      <c r="I867" s="13">
        <v>2816750.0</v>
      </c>
      <c r="J867" s="31" t="s">
        <v>1796</v>
      </c>
      <c r="K867" s="31" t="s">
        <v>1793</v>
      </c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13" t="s">
        <v>1217</v>
      </c>
      <c r="B868" s="13" t="s">
        <v>411</v>
      </c>
      <c r="C868" s="13" t="s">
        <v>55</v>
      </c>
      <c r="D868" s="13" t="s">
        <v>1474</v>
      </c>
      <c r="E868" s="13">
        <v>-0.167656735484521</v>
      </c>
      <c r="F868" s="13">
        <v>0.00828613404367388</v>
      </c>
      <c r="G868" s="13">
        <v>-20.2334085595104</v>
      </c>
      <c r="H868" s="63">
        <v>4.97426738507799E-91</v>
      </c>
      <c r="I868" s="13">
        <v>2810736.0</v>
      </c>
      <c r="J868" s="31" t="s">
        <v>1796</v>
      </c>
      <c r="K868" s="31" t="s">
        <v>1793</v>
      </c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13" t="s">
        <v>1217</v>
      </c>
      <c r="B869" s="13" t="s">
        <v>411</v>
      </c>
      <c r="C869" s="13" t="s">
        <v>1797</v>
      </c>
      <c r="D869" s="13" t="s">
        <v>1474</v>
      </c>
      <c r="E869" s="13">
        <v>0.0713770719546698</v>
      </c>
      <c r="F869" s="13">
        <v>0.00745601768091431</v>
      </c>
      <c r="G869" s="13">
        <v>9.57308244284058</v>
      </c>
      <c r="H869" s="63">
        <v>1.03764903024751E-21</v>
      </c>
      <c r="I869" s="13">
        <v>2817556.0</v>
      </c>
      <c r="J869" s="31" t="s">
        <v>1796</v>
      </c>
      <c r="K869" s="31" t="s">
        <v>1793</v>
      </c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13" t="s">
        <v>1219</v>
      </c>
      <c r="B870" s="13" t="s">
        <v>411</v>
      </c>
      <c r="C870" s="13" t="s">
        <v>570</v>
      </c>
      <c r="D870" s="13" t="s">
        <v>1474</v>
      </c>
      <c r="E870" s="13">
        <v>-0.210539677643637</v>
      </c>
      <c r="F870" s="13">
        <v>0.0136642275799816</v>
      </c>
      <c r="G870" s="13">
        <v>-15.4080921450754</v>
      </c>
      <c r="H870" s="63">
        <v>1.44412743866597E-53</v>
      </c>
      <c r="I870" s="13">
        <v>168519.0</v>
      </c>
      <c r="J870" s="31" t="s">
        <v>1796</v>
      </c>
      <c r="K870" s="31" t="s">
        <v>1793</v>
      </c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13" t="s">
        <v>1219</v>
      </c>
      <c r="B871" s="13" t="s">
        <v>411</v>
      </c>
      <c r="C871" s="13" t="s">
        <v>42</v>
      </c>
      <c r="D871" s="13" t="s">
        <v>1474</v>
      </c>
      <c r="E871" s="13">
        <v>-0.172722691136964</v>
      </c>
      <c r="F871" s="13">
        <v>0.00857592326294628</v>
      </c>
      <c r="G871" s="13">
        <v>-20.1404193858918</v>
      </c>
      <c r="H871" s="63">
        <v>3.26559354749362E-90</v>
      </c>
      <c r="I871" s="13">
        <v>2812675.0</v>
      </c>
      <c r="J871" s="31" t="s">
        <v>1796</v>
      </c>
      <c r="K871" s="31" t="s">
        <v>1793</v>
      </c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13" t="s">
        <v>1219</v>
      </c>
      <c r="B872" s="13" t="s">
        <v>411</v>
      </c>
      <c r="C872" s="13" t="s">
        <v>55</v>
      </c>
      <c r="D872" s="13" t="s">
        <v>1474</v>
      </c>
      <c r="E872" s="13">
        <v>-0.17787315135075</v>
      </c>
      <c r="F872" s="13">
        <v>0.0082312054972473</v>
      </c>
      <c r="G872" s="13">
        <v>-21.6096113030145</v>
      </c>
      <c r="H872" s="63">
        <v>1.45871310609282E-103</v>
      </c>
      <c r="I872" s="13">
        <v>2806667.0</v>
      </c>
      <c r="J872" s="31" t="s">
        <v>1796</v>
      </c>
      <c r="K872" s="31" t="s">
        <v>1793</v>
      </c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13" t="s">
        <v>1219</v>
      </c>
      <c r="B873" s="13" t="s">
        <v>411</v>
      </c>
      <c r="C873" s="13" t="s">
        <v>1797</v>
      </c>
      <c r="D873" s="13" t="s">
        <v>1474</v>
      </c>
      <c r="E873" s="13">
        <v>0.0843338809684474</v>
      </c>
      <c r="F873" s="13">
        <v>0.0074163576998365</v>
      </c>
      <c r="G873" s="13">
        <v>11.3713340674367</v>
      </c>
      <c r="H873" s="63">
        <v>5.80928301012905E-30</v>
      </c>
      <c r="I873" s="13">
        <v>2813480.0</v>
      </c>
      <c r="J873" s="31" t="s">
        <v>1796</v>
      </c>
      <c r="K873" s="31" t="s">
        <v>1793</v>
      </c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13" t="s">
        <v>1221</v>
      </c>
      <c r="B874" s="13" t="s">
        <v>411</v>
      </c>
      <c r="C874" s="13" t="s">
        <v>570</v>
      </c>
      <c r="D874" s="13" t="s">
        <v>1474</v>
      </c>
      <c r="E874" s="13">
        <v>-0.0508513578328027</v>
      </c>
      <c r="F874" s="13">
        <v>0.0138751022243832</v>
      </c>
      <c r="G874" s="13">
        <v>-3.6649357251898</v>
      </c>
      <c r="H874" s="63">
        <v>2.47400707270306E-4</v>
      </c>
      <c r="I874" s="13">
        <v>140477.0</v>
      </c>
      <c r="J874" s="31" t="s">
        <v>1796</v>
      </c>
      <c r="K874" s="31" t="s">
        <v>1793</v>
      </c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13" t="s">
        <v>1221</v>
      </c>
      <c r="B875" s="13" t="s">
        <v>411</v>
      </c>
      <c r="C875" s="13" t="s">
        <v>42</v>
      </c>
      <c r="D875" s="13" t="s">
        <v>1474</v>
      </c>
      <c r="E875" s="13">
        <v>-0.00871890860784404</v>
      </c>
      <c r="F875" s="13">
        <v>0.00448100043131203</v>
      </c>
      <c r="G875" s="13">
        <v>-1.94575045048392</v>
      </c>
      <c r="H875" s="13">
        <v>0.0516847232190966</v>
      </c>
      <c r="I875" s="13">
        <v>2374826.0</v>
      </c>
      <c r="J875" s="31" t="s">
        <v>1796</v>
      </c>
      <c r="K875" s="31" t="s">
        <v>1793</v>
      </c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13" t="s">
        <v>1221</v>
      </c>
      <c r="B876" s="13" t="s">
        <v>411</v>
      </c>
      <c r="C876" s="13" t="s">
        <v>55</v>
      </c>
      <c r="D876" s="13" t="s">
        <v>1474</v>
      </c>
      <c r="E876" s="13">
        <v>-0.0586254102282413</v>
      </c>
      <c r="F876" s="13">
        <v>0.00513569018988934</v>
      </c>
      <c r="G876" s="13">
        <v>-11.4152933803634</v>
      </c>
      <c r="H876" s="63">
        <v>3.5071854347962E-30</v>
      </c>
      <c r="I876" s="13">
        <v>2369096.0</v>
      </c>
      <c r="J876" s="31" t="s">
        <v>1796</v>
      </c>
      <c r="K876" s="31" t="s">
        <v>1793</v>
      </c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13" t="s">
        <v>1221</v>
      </c>
      <c r="B877" s="13" t="s">
        <v>411</v>
      </c>
      <c r="C877" s="13" t="s">
        <v>1797</v>
      </c>
      <c r="D877" s="13" t="s">
        <v>1474</v>
      </c>
      <c r="E877" s="13">
        <v>-0.0403470748706185</v>
      </c>
      <c r="F877" s="13">
        <v>0.00465296613127681</v>
      </c>
      <c r="G877" s="13">
        <v>-8.67125909200353</v>
      </c>
      <c r="H877" s="63">
        <v>4.27368020278784E-18</v>
      </c>
      <c r="I877" s="13">
        <v>2375613.0</v>
      </c>
      <c r="J877" s="31" t="s">
        <v>1796</v>
      </c>
      <c r="K877" s="31" t="s">
        <v>1793</v>
      </c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13" t="s">
        <v>1225</v>
      </c>
      <c r="B878" s="13" t="s">
        <v>411</v>
      </c>
      <c r="C878" s="13" t="s">
        <v>570</v>
      </c>
      <c r="D878" s="13" t="s">
        <v>1474</v>
      </c>
      <c r="E878" s="13">
        <v>-0.0866545830331669</v>
      </c>
      <c r="F878" s="13">
        <v>0.0130052063728213</v>
      </c>
      <c r="G878" s="13">
        <v>-6.66306866258272</v>
      </c>
      <c r="H878" s="63">
        <v>2.68168294121697E-11</v>
      </c>
      <c r="I878" s="13">
        <v>168290.0</v>
      </c>
      <c r="J878" s="31" t="s">
        <v>1796</v>
      </c>
      <c r="K878" s="31" t="s">
        <v>1793</v>
      </c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13" t="s">
        <v>1225</v>
      </c>
      <c r="B879" s="13" t="s">
        <v>411</v>
      </c>
      <c r="C879" s="13" t="s">
        <v>42</v>
      </c>
      <c r="D879" s="13" t="s">
        <v>1474</v>
      </c>
      <c r="E879" s="13">
        <v>-0.0609294205569195</v>
      </c>
      <c r="F879" s="13">
        <v>0.00602737236859701</v>
      </c>
      <c r="G879" s="13">
        <v>-10.1087865210328</v>
      </c>
      <c r="H879" s="63">
        <v>5.05059514380897E-24</v>
      </c>
      <c r="I879" s="13">
        <v>2810376.0</v>
      </c>
      <c r="J879" s="31" t="s">
        <v>1796</v>
      </c>
      <c r="K879" s="31" t="s">
        <v>1793</v>
      </c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13" t="s">
        <v>1225</v>
      </c>
      <c r="B880" s="13" t="s">
        <v>411</v>
      </c>
      <c r="C880" s="13" t="s">
        <v>55</v>
      </c>
      <c r="D880" s="13" t="s">
        <v>1474</v>
      </c>
      <c r="E880" s="13">
        <v>0.0170771185769018</v>
      </c>
      <c r="F880" s="13">
        <v>0.00692314405824349</v>
      </c>
      <c r="G880" s="13">
        <v>2.4666709854994</v>
      </c>
      <c r="H880" s="13">
        <v>0.0136375600714439</v>
      </c>
      <c r="I880" s="13">
        <v>2804399.0</v>
      </c>
      <c r="J880" s="31" t="s">
        <v>1796</v>
      </c>
      <c r="K880" s="31" t="s">
        <v>1793</v>
      </c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13" t="s">
        <v>1225</v>
      </c>
      <c r="B881" s="13" t="s">
        <v>411</v>
      </c>
      <c r="C881" s="13" t="s">
        <v>1797</v>
      </c>
      <c r="D881" s="13" t="s">
        <v>1474</v>
      </c>
      <c r="E881" s="13">
        <v>-0.0181608889871656</v>
      </c>
      <c r="F881" s="13">
        <v>0.00576665040645408</v>
      </c>
      <c r="G881" s="13">
        <v>-3.14929598763951</v>
      </c>
      <c r="H881" s="13">
        <v>0.00163664337600572</v>
      </c>
      <c r="I881" s="13">
        <v>2811174.0</v>
      </c>
      <c r="J881" s="31" t="s">
        <v>1796</v>
      </c>
      <c r="K881" s="31" t="s">
        <v>1793</v>
      </c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13" t="s">
        <v>1228</v>
      </c>
      <c r="B882" s="13" t="s">
        <v>411</v>
      </c>
      <c r="C882" s="13" t="s">
        <v>570</v>
      </c>
      <c r="D882" s="13" t="s">
        <v>1474</v>
      </c>
      <c r="E882" s="13">
        <v>-0.084162210776952</v>
      </c>
      <c r="F882" s="13">
        <v>0.0133884403995954</v>
      </c>
      <c r="G882" s="13">
        <v>-6.28618481802367</v>
      </c>
      <c r="H882" s="63">
        <v>3.25362577966535E-10</v>
      </c>
      <c r="I882" s="13">
        <v>168277.0</v>
      </c>
      <c r="J882" s="31" t="s">
        <v>1796</v>
      </c>
      <c r="K882" s="31" t="s">
        <v>1793</v>
      </c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13" t="s">
        <v>1228</v>
      </c>
      <c r="B883" s="13" t="s">
        <v>411</v>
      </c>
      <c r="C883" s="13" t="s">
        <v>42</v>
      </c>
      <c r="D883" s="13" t="s">
        <v>1474</v>
      </c>
      <c r="E883" s="13">
        <v>-0.0692988933876732</v>
      </c>
      <c r="F883" s="13">
        <v>0.00661554174512537</v>
      </c>
      <c r="G883" s="13">
        <v>-10.4751653088328</v>
      </c>
      <c r="H883" s="63">
        <v>1.1234115787602E-25</v>
      </c>
      <c r="I883" s="13">
        <v>2810703.0</v>
      </c>
      <c r="J883" s="31" t="s">
        <v>1796</v>
      </c>
      <c r="K883" s="31" t="s">
        <v>1793</v>
      </c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13" t="s">
        <v>1228</v>
      </c>
      <c r="B884" s="13" t="s">
        <v>411</v>
      </c>
      <c r="C884" s="13" t="s">
        <v>55</v>
      </c>
      <c r="D884" s="13" t="s">
        <v>1474</v>
      </c>
      <c r="E884" s="13">
        <v>0.00930027623548194</v>
      </c>
      <c r="F884" s="13">
        <v>0.00725651043156267</v>
      </c>
      <c r="G884" s="13">
        <v>1.28164581629067</v>
      </c>
      <c r="H884" s="13">
        <v>0.199966920300452</v>
      </c>
      <c r="I884" s="13">
        <v>2804710.0</v>
      </c>
      <c r="J884" s="31" t="s">
        <v>1796</v>
      </c>
      <c r="K884" s="31" t="s">
        <v>1793</v>
      </c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13" t="s">
        <v>1228</v>
      </c>
      <c r="B885" s="13" t="s">
        <v>411</v>
      </c>
      <c r="C885" s="13" t="s">
        <v>1797</v>
      </c>
      <c r="D885" s="13" t="s">
        <v>1474</v>
      </c>
      <c r="E885" s="13">
        <v>-0.0222613814698086</v>
      </c>
      <c r="F885" s="13">
        <v>0.00607395362404804</v>
      </c>
      <c r="G885" s="13">
        <v>-3.66505621341447</v>
      </c>
      <c r="H885" s="63">
        <v>2.47284262366324E-4</v>
      </c>
      <c r="I885" s="13">
        <v>2811503.0</v>
      </c>
      <c r="J885" s="31" t="s">
        <v>1796</v>
      </c>
      <c r="K885" s="31" t="s">
        <v>1793</v>
      </c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13" t="s">
        <v>1230</v>
      </c>
      <c r="B886" s="13" t="s">
        <v>411</v>
      </c>
      <c r="C886" s="13" t="s">
        <v>570</v>
      </c>
      <c r="D886" s="13" t="s">
        <v>1474</v>
      </c>
      <c r="E886" s="13">
        <v>-0.0844654862046161</v>
      </c>
      <c r="F886" s="13">
        <v>0.0133135393549548</v>
      </c>
      <c r="G886" s="13">
        <v>-6.34432993005582</v>
      </c>
      <c r="H886" s="63">
        <v>2.23395615703559E-10</v>
      </c>
      <c r="I886" s="13">
        <v>163508.0</v>
      </c>
      <c r="J886" s="31" t="s">
        <v>1796</v>
      </c>
      <c r="K886" s="31" t="s">
        <v>1793</v>
      </c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13" t="s">
        <v>1230</v>
      </c>
      <c r="B887" s="13" t="s">
        <v>411</v>
      </c>
      <c r="C887" s="13" t="s">
        <v>42</v>
      </c>
      <c r="D887" s="13" t="s">
        <v>1474</v>
      </c>
      <c r="E887" s="13">
        <v>-0.065313253918135</v>
      </c>
      <c r="F887" s="13">
        <v>0.00616858217785728</v>
      </c>
      <c r="G887" s="13">
        <v>-10.5880495768676</v>
      </c>
      <c r="H887" s="63">
        <v>3.38572747122766E-26</v>
      </c>
      <c r="I887" s="13">
        <v>2736992.0</v>
      </c>
      <c r="J887" s="31" t="s">
        <v>1796</v>
      </c>
      <c r="K887" s="31" t="s">
        <v>1793</v>
      </c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13" t="s">
        <v>1230</v>
      </c>
      <c r="B888" s="13" t="s">
        <v>411</v>
      </c>
      <c r="C888" s="13" t="s">
        <v>55</v>
      </c>
      <c r="D888" s="13" t="s">
        <v>1474</v>
      </c>
      <c r="E888" s="13">
        <v>0.01315328290343</v>
      </c>
      <c r="F888" s="13">
        <v>0.00698268757262384</v>
      </c>
      <c r="G888" s="13">
        <v>1.88369918697186</v>
      </c>
      <c r="H888" s="13">
        <v>0.0596056764794561</v>
      </c>
      <c r="I888" s="13">
        <v>2731115.0</v>
      </c>
      <c r="J888" s="31" t="s">
        <v>1796</v>
      </c>
      <c r="K888" s="31" t="s">
        <v>1793</v>
      </c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13" t="s">
        <v>1230</v>
      </c>
      <c r="B889" s="13" t="s">
        <v>411</v>
      </c>
      <c r="C889" s="13" t="s">
        <v>1797</v>
      </c>
      <c r="D889" s="13" t="s">
        <v>1474</v>
      </c>
      <c r="E889" s="13">
        <v>-0.0217679019155916</v>
      </c>
      <c r="F889" s="13">
        <v>0.00574428197309744</v>
      </c>
      <c r="G889" s="13">
        <v>-3.78949049115948</v>
      </c>
      <c r="H889" s="63">
        <v>1.50956589422217E-4</v>
      </c>
      <c r="I889" s="13">
        <v>2737776.0</v>
      </c>
      <c r="J889" s="31" t="s">
        <v>1796</v>
      </c>
      <c r="K889" s="31" t="s">
        <v>1793</v>
      </c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13" t="s">
        <v>1232</v>
      </c>
      <c r="B890" s="13" t="s">
        <v>411</v>
      </c>
      <c r="C890" s="13" t="s">
        <v>570</v>
      </c>
      <c r="D890" s="13" t="s">
        <v>1474</v>
      </c>
      <c r="E890" s="13">
        <v>-0.0799621824380294</v>
      </c>
      <c r="F890" s="13">
        <v>0.0134015924517067</v>
      </c>
      <c r="G890" s="13">
        <v>-5.96661797664545</v>
      </c>
      <c r="H890" s="63">
        <v>2.42221620095327E-9</v>
      </c>
      <c r="I890" s="13">
        <v>167744.0</v>
      </c>
      <c r="J890" s="31" t="s">
        <v>1796</v>
      </c>
      <c r="K890" s="31" t="s">
        <v>1793</v>
      </c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13" t="s">
        <v>1232</v>
      </c>
      <c r="B891" s="13" t="s">
        <v>411</v>
      </c>
      <c r="C891" s="13" t="s">
        <v>42</v>
      </c>
      <c r="D891" s="13" t="s">
        <v>1474</v>
      </c>
      <c r="E891" s="13">
        <v>-0.0635158126670718</v>
      </c>
      <c r="F891" s="13">
        <v>0.00621985089439451</v>
      </c>
      <c r="G891" s="13">
        <v>-10.2117902415175</v>
      </c>
      <c r="H891" s="63">
        <v>1.75594672023588E-24</v>
      </c>
      <c r="I891" s="13">
        <v>2802782.0</v>
      </c>
      <c r="J891" s="31" t="s">
        <v>1796</v>
      </c>
      <c r="K891" s="31" t="s">
        <v>1793</v>
      </c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13" t="s">
        <v>1232</v>
      </c>
      <c r="B892" s="13" t="s">
        <v>411</v>
      </c>
      <c r="C892" s="13" t="s">
        <v>55</v>
      </c>
      <c r="D892" s="13" t="s">
        <v>1474</v>
      </c>
      <c r="E892" s="13">
        <v>0.00794547604424112</v>
      </c>
      <c r="F892" s="13">
        <v>0.00706698732737682</v>
      </c>
      <c r="G892" s="13">
        <v>1.12430880036548</v>
      </c>
      <c r="H892" s="13">
        <v>0.260882046278778</v>
      </c>
      <c r="I892" s="13">
        <v>2796803.0</v>
      </c>
      <c r="J892" s="31" t="s">
        <v>1796</v>
      </c>
      <c r="K892" s="31" t="s">
        <v>1793</v>
      </c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13" t="s">
        <v>1232</v>
      </c>
      <c r="B893" s="13" t="s">
        <v>411</v>
      </c>
      <c r="C893" s="13" t="s">
        <v>1797</v>
      </c>
      <c r="D893" s="13" t="s">
        <v>1474</v>
      </c>
      <c r="E893" s="13">
        <v>-0.0196597986700539</v>
      </c>
      <c r="F893" s="13">
        <v>0.00559086676207697</v>
      </c>
      <c r="G893" s="13">
        <v>-3.51641337679642</v>
      </c>
      <c r="H893" s="63">
        <v>4.37419366617374E-4</v>
      </c>
      <c r="I893" s="13">
        <v>2803585.0</v>
      </c>
      <c r="J893" s="31" t="s">
        <v>1796</v>
      </c>
      <c r="K893" s="31" t="s">
        <v>1793</v>
      </c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13" t="s">
        <v>1234</v>
      </c>
      <c r="B894" s="13" t="s">
        <v>411</v>
      </c>
      <c r="C894" s="13" t="s">
        <v>570</v>
      </c>
      <c r="D894" s="13" t="s">
        <v>1474</v>
      </c>
      <c r="E894" s="13">
        <v>-0.106792309987759</v>
      </c>
      <c r="F894" s="13">
        <v>0.0133218761209288</v>
      </c>
      <c r="G894" s="13">
        <v>-8.01631159292852</v>
      </c>
      <c r="H894" s="63">
        <v>1.08967864772628E-15</v>
      </c>
      <c r="I894" s="13">
        <v>168144.0</v>
      </c>
      <c r="J894" s="31" t="s">
        <v>1796</v>
      </c>
      <c r="K894" s="31" t="s">
        <v>1793</v>
      </c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13" t="s">
        <v>1234</v>
      </c>
      <c r="B895" s="13" t="s">
        <v>411</v>
      </c>
      <c r="C895" s="13" t="s">
        <v>42</v>
      </c>
      <c r="D895" s="13" t="s">
        <v>1474</v>
      </c>
      <c r="E895" s="13">
        <v>-0.066011255410507</v>
      </c>
      <c r="F895" s="13">
        <v>0.00638333506273202</v>
      </c>
      <c r="G895" s="13">
        <v>-10.3411860354788</v>
      </c>
      <c r="H895" s="63">
        <v>4.58823404650545E-25</v>
      </c>
      <c r="I895" s="13">
        <v>2808143.0</v>
      </c>
      <c r="J895" s="31" t="s">
        <v>1796</v>
      </c>
      <c r="K895" s="31" t="s">
        <v>1793</v>
      </c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13" t="s">
        <v>1234</v>
      </c>
      <c r="B896" s="13" t="s">
        <v>411</v>
      </c>
      <c r="C896" s="13" t="s">
        <v>55</v>
      </c>
      <c r="D896" s="13" t="s">
        <v>1474</v>
      </c>
      <c r="E896" s="13">
        <v>0.0127305592584855</v>
      </c>
      <c r="F896" s="13">
        <v>0.00724923285707833</v>
      </c>
      <c r="G896" s="13">
        <v>1.75612502860286</v>
      </c>
      <c r="H896" s="13">
        <v>0.0790670623687975</v>
      </c>
      <c r="I896" s="13">
        <v>2802188.0</v>
      </c>
      <c r="J896" s="31" t="s">
        <v>1796</v>
      </c>
      <c r="K896" s="31" t="s">
        <v>1793</v>
      </c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13" t="s">
        <v>1234</v>
      </c>
      <c r="B897" s="13" t="s">
        <v>411</v>
      </c>
      <c r="C897" s="13" t="s">
        <v>1797</v>
      </c>
      <c r="D897" s="13" t="s">
        <v>1474</v>
      </c>
      <c r="E897" s="13">
        <v>-0.0251523440588823</v>
      </c>
      <c r="F897" s="13">
        <v>0.00581584416379561</v>
      </c>
      <c r="G897" s="13">
        <v>-4.32479677076958</v>
      </c>
      <c r="H897" s="63">
        <v>1.52672545547122E-5</v>
      </c>
      <c r="I897" s="13">
        <v>2808941.0</v>
      </c>
      <c r="J897" s="31" t="s">
        <v>1796</v>
      </c>
      <c r="K897" s="31" t="s">
        <v>1793</v>
      </c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13" t="s">
        <v>1236</v>
      </c>
      <c r="B898" s="13" t="s">
        <v>411</v>
      </c>
      <c r="C898" s="13" t="s">
        <v>570</v>
      </c>
      <c r="D898" s="13" t="s">
        <v>1474</v>
      </c>
      <c r="E898" s="13">
        <v>-0.0855663176897959</v>
      </c>
      <c r="F898" s="13">
        <v>0.0136285164012325</v>
      </c>
      <c r="G898" s="13">
        <v>-6.27847633378914</v>
      </c>
      <c r="H898" s="63">
        <v>3.41907058792261E-10</v>
      </c>
      <c r="I898" s="13">
        <v>167989.0</v>
      </c>
      <c r="J898" s="31" t="s">
        <v>1796</v>
      </c>
      <c r="K898" s="31" t="s">
        <v>1793</v>
      </c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13" t="s">
        <v>1236</v>
      </c>
      <c r="B899" s="13" t="s">
        <v>411</v>
      </c>
      <c r="C899" s="13" t="s">
        <v>42</v>
      </c>
      <c r="D899" s="13" t="s">
        <v>1474</v>
      </c>
      <c r="E899" s="13">
        <v>-0.0630785951761628</v>
      </c>
      <c r="F899" s="13">
        <v>0.0062992293769235</v>
      </c>
      <c r="G899" s="13">
        <v>-10.0137003118578</v>
      </c>
      <c r="H899" s="63">
        <v>1.32694482911842E-23</v>
      </c>
      <c r="I899" s="13">
        <v>2806352.0</v>
      </c>
      <c r="J899" s="31" t="s">
        <v>1796</v>
      </c>
      <c r="K899" s="31" t="s">
        <v>1793</v>
      </c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13" t="s">
        <v>1236</v>
      </c>
      <c r="B900" s="13" t="s">
        <v>411</v>
      </c>
      <c r="C900" s="13" t="s">
        <v>55</v>
      </c>
      <c r="D900" s="13" t="s">
        <v>1474</v>
      </c>
      <c r="E900" s="13">
        <v>0.0132277452526702</v>
      </c>
      <c r="F900" s="13">
        <v>0.00704219633285123</v>
      </c>
      <c r="G900" s="13">
        <v>1.87835507950323</v>
      </c>
      <c r="H900" s="13">
        <v>0.0603326063109608</v>
      </c>
      <c r="I900" s="13">
        <v>2800383.0</v>
      </c>
      <c r="J900" s="31" t="s">
        <v>1796</v>
      </c>
      <c r="K900" s="31" t="s">
        <v>1793</v>
      </c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13" t="s">
        <v>1236</v>
      </c>
      <c r="B901" s="13" t="s">
        <v>411</v>
      </c>
      <c r="C901" s="13" t="s">
        <v>1797</v>
      </c>
      <c r="D901" s="13" t="s">
        <v>1474</v>
      </c>
      <c r="E901" s="13">
        <v>-0.022803198286563</v>
      </c>
      <c r="F901" s="13">
        <v>0.00577782085329945</v>
      </c>
      <c r="G901" s="13">
        <v>-3.9466779717722</v>
      </c>
      <c r="H901" s="63">
        <v>7.92430238310558E-5</v>
      </c>
      <c r="I901" s="13">
        <v>2807153.0</v>
      </c>
      <c r="J901" s="31" t="s">
        <v>1796</v>
      </c>
      <c r="K901" s="31" t="s">
        <v>1793</v>
      </c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13" t="s">
        <v>1238</v>
      </c>
      <c r="B902" s="13" t="s">
        <v>411</v>
      </c>
      <c r="C902" s="13" t="s">
        <v>570</v>
      </c>
      <c r="D902" s="13" t="s">
        <v>1474</v>
      </c>
      <c r="E902" s="13">
        <v>-0.0890165151724871</v>
      </c>
      <c r="F902" s="13">
        <v>0.0134081539027944</v>
      </c>
      <c r="G902" s="13">
        <v>-6.63898369737051</v>
      </c>
      <c r="H902" s="63">
        <v>3.15853324895505E-11</v>
      </c>
      <c r="I902" s="13">
        <v>167484.0</v>
      </c>
      <c r="J902" s="31" t="s">
        <v>1796</v>
      </c>
      <c r="K902" s="31" t="s">
        <v>1793</v>
      </c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13" t="s">
        <v>1238</v>
      </c>
      <c r="B903" s="13" t="s">
        <v>411</v>
      </c>
      <c r="C903" s="13" t="s">
        <v>42</v>
      </c>
      <c r="D903" s="13" t="s">
        <v>1474</v>
      </c>
      <c r="E903" s="13">
        <v>-0.0670051707420901</v>
      </c>
      <c r="F903" s="13">
        <v>0.00594240626348507</v>
      </c>
      <c r="G903" s="13">
        <v>-11.2757640206836</v>
      </c>
      <c r="H903" s="63">
        <v>1.72871329473559E-29</v>
      </c>
      <c r="I903" s="13">
        <v>2796521.0</v>
      </c>
      <c r="J903" s="31" t="s">
        <v>1796</v>
      </c>
      <c r="K903" s="31" t="s">
        <v>1793</v>
      </c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13" t="s">
        <v>1238</v>
      </c>
      <c r="B904" s="13" t="s">
        <v>411</v>
      </c>
      <c r="C904" s="13" t="s">
        <v>55</v>
      </c>
      <c r="D904" s="13" t="s">
        <v>1474</v>
      </c>
      <c r="E904" s="13">
        <v>0.0105073570607638</v>
      </c>
      <c r="F904" s="13">
        <v>0.00691293524649732</v>
      </c>
      <c r="G904" s="13">
        <v>1.51995595012809</v>
      </c>
      <c r="H904" s="13">
        <v>0.128522047030818</v>
      </c>
      <c r="I904" s="13">
        <v>2790574.0</v>
      </c>
      <c r="J904" s="31" t="s">
        <v>1796</v>
      </c>
      <c r="K904" s="31" t="s">
        <v>1793</v>
      </c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13" t="s">
        <v>1238</v>
      </c>
      <c r="B905" s="13" t="s">
        <v>411</v>
      </c>
      <c r="C905" s="13" t="s">
        <v>1797</v>
      </c>
      <c r="D905" s="13" t="s">
        <v>1474</v>
      </c>
      <c r="E905" s="13">
        <v>-0.0215480016757172</v>
      </c>
      <c r="F905" s="13">
        <v>0.0057940573628149</v>
      </c>
      <c r="G905" s="13">
        <v>-3.71898314538754</v>
      </c>
      <c r="H905" s="63">
        <v>2.00026396832831E-4</v>
      </c>
      <c r="I905" s="13">
        <v>2797311.0</v>
      </c>
      <c r="J905" s="31" t="s">
        <v>1796</v>
      </c>
      <c r="K905" s="31" t="s">
        <v>1793</v>
      </c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13" t="s">
        <v>1240</v>
      </c>
      <c r="B906" s="13" t="s">
        <v>411</v>
      </c>
      <c r="C906" s="13" t="s">
        <v>570</v>
      </c>
      <c r="D906" s="13" t="s">
        <v>1474</v>
      </c>
      <c r="E906" s="13">
        <v>-0.0749737165249022</v>
      </c>
      <c r="F906" s="13">
        <v>0.0128984736525311</v>
      </c>
      <c r="G906" s="13">
        <v>-5.81260376573237</v>
      </c>
      <c r="H906" s="63">
        <v>6.15085324942329E-9</v>
      </c>
      <c r="I906" s="13">
        <v>166521.0</v>
      </c>
      <c r="J906" s="31" t="s">
        <v>1796</v>
      </c>
      <c r="K906" s="31" t="s">
        <v>1793</v>
      </c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13" t="s">
        <v>1240</v>
      </c>
      <c r="B907" s="13" t="s">
        <v>411</v>
      </c>
      <c r="C907" s="13" t="s">
        <v>42</v>
      </c>
      <c r="D907" s="13" t="s">
        <v>1474</v>
      </c>
      <c r="E907" s="13">
        <v>-0.062465010973997</v>
      </c>
      <c r="F907" s="13">
        <v>0.00611412301950049</v>
      </c>
      <c r="G907" s="13">
        <v>-10.2165119633298</v>
      </c>
      <c r="H907" s="63">
        <v>1.67251079154394E-24</v>
      </c>
      <c r="I907" s="13">
        <v>2784292.0</v>
      </c>
      <c r="J907" s="31" t="s">
        <v>1796</v>
      </c>
      <c r="K907" s="31" t="s">
        <v>1793</v>
      </c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13" t="s">
        <v>1240</v>
      </c>
      <c r="B908" s="13" t="s">
        <v>411</v>
      </c>
      <c r="C908" s="13" t="s">
        <v>55</v>
      </c>
      <c r="D908" s="13" t="s">
        <v>1474</v>
      </c>
      <c r="E908" s="13">
        <v>0.0118729684186522</v>
      </c>
      <c r="F908" s="13">
        <v>0.00691936773442625</v>
      </c>
      <c r="G908" s="13">
        <v>1.71590365974915</v>
      </c>
      <c r="H908" s="13">
        <v>0.086179676785725</v>
      </c>
      <c r="I908" s="13">
        <v>2778340.0</v>
      </c>
      <c r="J908" s="31" t="s">
        <v>1796</v>
      </c>
      <c r="K908" s="31" t="s">
        <v>1793</v>
      </c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13" t="s">
        <v>1240</v>
      </c>
      <c r="B909" s="13" t="s">
        <v>411</v>
      </c>
      <c r="C909" s="13" t="s">
        <v>1797</v>
      </c>
      <c r="D909" s="13" t="s">
        <v>1474</v>
      </c>
      <c r="E909" s="13">
        <v>-0.0187083029605233</v>
      </c>
      <c r="F909" s="13">
        <v>0.00565603296192562</v>
      </c>
      <c r="G909" s="13">
        <v>-3.30767219470977</v>
      </c>
      <c r="H909" s="63">
        <v>9.40748567489824E-4</v>
      </c>
      <c r="I909" s="13">
        <v>2785088.0</v>
      </c>
      <c r="J909" s="31" t="s">
        <v>1796</v>
      </c>
      <c r="K909" s="31" t="s">
        <v>1793</v>
      </c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13" t="s">
        <v>261</v>
      </c>
      <c r="B910" s="13" t="s">
        <v>411</v>
      </c>
      <c r="C910" s="13" t="s">
        <v>570</v>
      </c>
      <c r="D910" s="13" t="s">
        <v>1474</v>
      </c>
      <c r="E910" s="13">
        <v>-0.0464803126520869</v>
      </c>
      <c r="F910" s="13">
        <v>0.0205852953622653</v>
      </c>
      <c r="G910" s="13">
        <v>-2.25793761197565</v>
      </c>
      <c r="H910" s="13">
        <v>0.0239495492840553</v>
      </c>
      <c r="I910" s="13">
        <v>64231.0</v>
      </c>
      <c r="J910" s="31" t="s">
        <v>1796</v>
      </c>
      <c r="K910" s="31" t="s">
        <v>1793</v>
      </c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13" t="s">
        <v>261</v>
      </c>
      <c r="B911" s="13" t="s">
        <v>411</v>
      </c>
      <c r="C911" s="13" t="s">
        <v>42</v>
      </c>
      <c r="D911" s="13" t="s">
        <v>1474</v>
      </c>
      <c r="E911" s="13">
        <v>-0.0728865321788086</v>
      </c>
      <c r="F911" s="13">
        <v>0.0082343824217581</v>
      </c>
      <c r="G911" s="13">
        <v>-8.85148739099328</v>
      </c>
      <c r="H911" s="63">
        <v>8.63605319519787E-19</v>
      </c>
      <c r="I911" s="13">
        <v>935934.0</v>
      </c>
      <c r="J911" s="31" t="s">
        <v>1796</v>
      </c>
      <c r="K911" s="31" t="s">
        <v>1793</v>
      </c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13" t="s">
        <v>261</v>
      </c>
      <c r="B912" s="13" t="s">
        <v>411</v>
      </c>
      <c r="C912" s="13" t="s">
        <v>55</v>
      </c>
      <c r="D912" s="13" t="s">
        <v>1474</v>
      </c>
      <c r="E912" s="13">
        <v>-0.0112861283055543</v>
      </c>
      <c r="F912" s="13">
        <v>0.00904278912155092</v>
      </c>
      <c r="G912" s="13">
        <v>-1.24808044883597</v>
      </c>
      <c r="H912" s="13">
        <v>0.212001597358027</v>
      </c>
      <c r="I912" s="13">
        <v>935663.0</v>
      </c>
      <c r="J912" s="31" t="s">
        <v>1796</v>
      </c>
      <c r="K912" s="31" t="s">
        <v>1793</v>
      </c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13" t="s">
        <v>261</v>
      </c>
      <c r="B913" s="13" t="s">
        <v>411</v>
      </c>
      <c r="C913" s="13" t="s">
        <v>1797</v>
      </c>
      <c r="D913" s="13" t="s">
        <v>1474</v>
      </c>
      <c r="E913" s="13">
        <v>0.0499661938832792</v>
      </c>
      <c r="F913" s="13">
        <v>0.00706036496406315</v>
      </c>
      <c r="G913" s="13">
        <v>7.07699872989629</v>
      </c>
      <c r="H913" s="63">
        <v>1.47309883080716E-12</v>
      </c>
      <c r="I913" s="13">
        <v>935879.0</v>
      </c>
      <c r="J913" s="31" t="s">
        <v>1796</v>
      </c>
      <c r="K913" s="31" t="s">
        <v>1793</v>
      </c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13" t="s">
        <v>286</v>
      </c>
      <c r="B914" s="13" t="s">
        <v>411</v>
      </c>
      <c r="C914" s="13" t="s">
        <v>570</v>
      </c>
      <c r="D914" s="13" t="s">
        <v>1474</v>
      </c>
      <c r="E914" s="13">
        <v>-0.0462877088332853</v>
      </c>
      <c r="F914" s="13">
        <v>0.0216640017014507</v>
      </c>
      <c r="G914" s="13">
        <v>-2.13661859296224</v>
      </c>
      <c r="H914" s="13">
        <v>0.032629026099605</v>
      </c>
      <c r="I914" s="13">
        <v>55726.0</v>
      </c>
      <c r="J914" s="31" t="s">
        <v>1796</v>
      </c>
      <c r="K914" s="31" t="s">
        <v>1793</v>
      </c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13" t="s">
        <v>286</v>
      </c>
      <c r="B915" s="13" t="s">
        <v>411</v>
      </c>
      <c r="C915" s="13" t="s">
        <v>42</v>
      </c>
      <c r="D915" s="13" t="s">
        <v>1474</v>
      </c>
      <c r="E915" s="13">
        <v>-0.0399235068129998</v>
      </c>
      <c r="F915" s="13">
        <v>0.00689190302655352</v>
      </c>
      <c r="G915" s="13">
        <v>-5.79281319820957</v>
      </c>
      <c r="H915" s="63">
        <v>6.92170815760589E-9</v>
      </c>
      <c r="I915" s="13">
        <v>805257.0</v>
      </c>
      <c r="J915" s="31" t="s">
        <v>1796</v>
      </c>
      <c r="K915" s="31" t="s">
        <v>1793</v>
      </c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13" t="s">
        <v>286</v>
      </c>
      <c r="B916" s="13" t="s">
        <v>411</v>
      </c>
      <c r="C916" s="13" t="s">
        <v>55</v>
      </c>
      <c r="D916" s="13" t="s">
        <v>1474</v>
      </c>
      <c r="E916" s="13">
        <v>0.0164606930266698</v>
      </c>
      <c r="F916" s="13">
        <v>0.00817976429772491</v>
      </c>
      <c r="G916" s="13">
        <v>2.01236764624723</v>
      </c>
      <c r="H916" s="13">
        <v>0.0441811963958738</v>
      </c>
      <c r="I916" s="13">
        <v>805011.0</v>
      </c>
      <c r="J916" s="31" t="s">
        <v>1796</v>
      </c>
      <c r="K916" s="31" t="s">
        <v>1793</v>
      </c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13" t="s">
        <v>286</v>
      </c>
      <c r="B917" s="13" t="s">
        <v>411</v>
      </c>
      <c r="C917" s="13" t="s">
        <v>1797</v>
      </c>
      <c r="D917" s="13" t="s">
        <v>1474</v>
      </c>
      <c r="E917" s="13">
        <v>0.0338438660668206</v>
      </c>
      <c r="F917" s="13">
        <v>0.00704757897854409</v>
      </c>
      <c r="G917" s="13">
        <v>4.80219748793964</v>
      </c>
      <c r="H917" s="63">
        <v>1.569338000768E-6</v>
      </c>
      <c r="I917" s="13">
        <v>805226.0</v>
      </c>
      <c r="J917" s="31" t="s">
        <v>1796</v>
      </c>
      <c r="K917" s="31" t="s">
        <v>1793</v>
      </c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13" t="s">
        <v>1242</v>
      </c>
      <c r="B918" s="13" t="s">
        <v>411</v>
      </c>
      <c r="C918" s="13" t="s">
        <v>570</v>
      </c>
      <c r="D918" s="13" t="s">
        <v>1474</v>
      </c>
      <c r="E918" s="13">
        <v>-0.295386026577411</v>
      </c>
      <c r="F918" s="13">
        <v>0.0131968829991888</v>
      </c>
      <c r="G918" s="13">
        <v>-22.3830147312487</v>
      </c>
      <c r="H918" s="63">
        <v>5.76146160050529E-111</v>
      </c>
      <c r="I918" s="13">
        <v>168533.0</v>
      </c>
      <c r="J918" s="31" t="s">
        <v>1796</v>
      </c>
      <c r="K918" s="31" t="s">
        <v>1793</v>
      </c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13" t="s">
        <v>1242</v>
      </c>
      <c r="B919" s="13" t="s">
        <v>411</v>
      </c>
      <c r="C919" s="13" t="s">
        <v>42</v>
      </c>
      <c r="D919" s="13" t="s">
        <v>1474</v>
      </c>
      <c r="E919" s="13">
        <v>-0.265292939448468</v>
      </c>
      <c r="F919" s="13">
        <v>0.009483489312768</v>
      </c>
      <c r="G919" s="13">
        <v>-27.9741907961338</v>
      </c>
      <c r="H919" s="63">
        <v>3.34883712004661E-172</v>
      </c>
      <c r="I919" s="13">
        <v>2813824.0</v>
      </c>
      <c r="J919" s="31" t="s">
        <v>1796</v>
      </c>
      <c r="K919" s="31" t="s">
        <v>1793</v>
      </c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13" t="s">
        <v>1242</v>
      </c>
      <c r="B920" s="13" t="s">
        <v>411</v>
      </c>
      <c r="C920" s="13" t="s">
        <v>55</v>
      </c>
      <c r="D920" s="13" t="s">
        <v>1474</v>
      </c>
      <c r="E920" s="13">
        <v>-0.242223181124542</v>
      </c>
      <c r="F920" s="13">
        <v>0.00925176089194694</v>
      </c>
      <c r="G920" s="13">
        <v>-26.1813058025939</v>
      </c>
      <c r="H920" s="63">
        <v>4.33912058791782E-151</v>
      </c>
      <c r="I920" s="13">
        <v>2807810.0</v>
      </c>
      <c r="J920" s="31" t="s">
        <v>1796</v>
      </c>
      <c r="K920" s="31" t="s">
        <v>1793</v>
      </c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13" t="s">
        <v>1242</v>
      </c>
      <c r="B921" s="13" t="s">
        <v>411</v>
      </c>
      <c r="C921" s="13" t="s">
        <v>1797</v>
      </c>
      <c r="D921" s="13" t="s">
        <v>1474</v>
      </c>
      <c r="E921" s="13">
        <v>0.106410939743842</v>
      </c>
      <c r="F921" s="13">
        <v>0.00781063665166471</v>
      </c>
      <c r="G921" s="13">
        <v>13.6238496923503</v>
      </c>
      <c r="H921" s="63">
        <v>2.8892688302053E-42</v>
      </c>
      <c r="I921" s="13">
        <v>2814631.0</v>
      </c>
      <c r="J921" s="31" t="s">
        <v>1796</v>
      </c>
      <c r="K921" s="31" t="s">
        <v>1793</v>
      </c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13" t="s">
        <v>1245</v>
      </c>
      <c r="B922" s="13" t="s">
        <v>411</v>
      </c>
      <c r="C922" s="13" t="s">
        <v>570</v>
      </c>
      <c r="D922" s="13" t="s">
        <v>1474</v>
      </c>
      <c r="E922" s="13">
        <v>-0.262841950223627</v>
      </c>
      <c r="F922" s="13">
        <v>0.0136393038183115</v>
      </c>
      <c r="G922" s="13">
        <v>-19.2709212819753</v>
      </c>
      <c r="H922" s="63">
        <v>9.42433990646353E-83</v>
      </c>
      <c r="I922" s="13">
        <v>168194.0</v>
      </c>
      <c r="J922" s="31" t="s">
        <v>1796</v>
      </c>
      <c r="K922" s="31" t="s">
        <v>1793</v>
      </c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13" t="s">
        <v>1245</v>
      </c>
      <c r="B923" s="13" t="s">
        <v>411</v>
      </c>
      <c r="C923" s="13" t="s">
        <v>42</v>
      </c>
      <c r="D923" s="13" t="s">
        <v>1474</v>
      </c>
      <c r="E923" s="13">
        <v>-0.216264731437007</v>
      </c>
      <c r="F923" s="13">
        <v>0.00964746510062891</v>
      </c>
      <c r="G923" s="13">
        <v>-22.416741515127</v>
      </c>
      <c r="H923" s="63">
        <v>2.70260363724441E-111</v>
      </c>
      <c r="I923" s="13">
        <v>2808687.0</v>
      </c>
      <c r="J923" s="31" t="s">
        <v>1796</v>
      </c>
      <c r="K923" s="31" t="s">
        <v>1793</v>
      </c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13" t="s">
        <v>1245</v>
      </c>
      <c r="B924" s="13" t="s">
        <v>411</v>
      </c>
      <c r="C924" s="13" t="s">
        <v>55</v>
      </c>
      <c r="D924" s="13" t="s">
        <v>1474</v>
      </c>
      <c r="E924" s="13">
        <v>-0.209764663363109</v>
      </c>
      <c r="F924" s="13">
        <v>0.00914990971462151</v>
      </c>
      <c r="G924" s="13">
        <v>-22.9253260311308</v>
      </c>
      <c r="H924" s="63">
        <v>2.59777848489458E-116</v>
      </c>
      <c r="I924" s="13">
        <v>2802655.0</v>
      </c>
      <c r="J924" s="31" t="s">
        <v>1796</v>
      </c>
      <c r="K924" s="31" t="s">
        <v>1793</v>
      </c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13" t="s">
        <v>1245</v>
      </c>
      <c r="B925" s="13" t="s">
        <v>411</v>
      </c>
      <c r="C925" s="13" t="s">
        <v>1797</v>
      </c>
      <c r="D925" s="13" t="s">
        <v>1474</v>
      </c>
      <c r="E925" s="13">
        <v>0.0930750344166509</v>
      </c>
      <c r="F925" s="13">
        <v>0.00824535229879431</v>
      </c>
      <c r="G925" s="13">
        <v>11.2881816378253</v>
      </c>
      <c r="H925" s="63">
        <v>1.5010999572987E-29</v>
      </c>
      <c r="I925" s="13">
        <v>2809495.0</v>
      </c>
      <c r="J925" s="31" t="s">
        <v>1796</v>
      </c>
      <c r="K925" s="31" t="s">
        <v>1793</v>
      </c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13" t="s">
        <v>1247</v>
      </c>
      <c r="B926" s="13" t="s">
        <v>411</v>
      </c>
      <c r="C926" s="13" t="s">
        <v>570</v>
      </c>
      <c r="D926" s="13" t="s">
        <v>1474</v>
      </c>
      <c r="E926" s="13">
        <v>-0.387504763379217</v>
      </c>
      <c r="F926" s="13">
        <v>0.0121534795862582</v>
      </c>
      <c r="G926" s="13">
        <v>-31.8842649653489</v>
      </c>
      <c r="H926" s="63">
        <v>4.41238037026134E-223</v>
      </c>
      <c r="I926" s="13">
        <v>168445.0</v>
      </c>
      <c r="J926" s="31" t="s">
        <v>1796</v>
      </c>
      <c r="K926" s="31" t="s">
        <v>1793</v>
      </c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13" t="s">
        <v>1247</v>
      </c>
      <c r="B927" s="13" t="s">
        <v>411</v>
      </c>
      <c r="C927" s="13" t="s">
        <v>42</v>
      </c>
      <c r="D927" s="13" t="s">
        <v>1474</v>
      </c>
      <c r="E927" s="13">
        <v>-0.366593667424614</v>
      </c>
      <c r="F927" s="13">
        <v>0.00906692174472717</v>
      </c>
      <c r="G927" s="13">
        <v>-40.4319875858425</v>
      </c>
      <c r="H927" s="13">
        <v>0.0</v>
      </c>
      <c r="I927" s="13">
        <v>2812527.0</v>
      </c>
      <c r="J927" s="31" t="s">
        <v>1796</v>
      </c>
      <c r="K927" s="31" t="s">
        <v>1793</v>
      </c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13" t="s">
        <v>1247</v>
      </c>
      <c r="B928" s="13" t="s">
        <v>411</v>
      </c>
      <c r="C928" s="13" t="s">
        <v>55</v>
      </c>
      <c r="D928" s="13" t="s">
        <v>1474</v>
      </c>
      <c r="E928" s="13">
        <v>-0.329088574033703</v>
      </c>
      <c r="F928" s="13">
        <v>0.00914400478906525</v>
      </c>
      <c r="G928" s="13">
        <v>-35.989545240313</v>
      </c>
      <c r="H928" s="63">
        <v>1.21909357017696E-283</v>
      </c>
      <c r="I928" s="13">
        <v>2806504.0</v>
      </c>
      <c r="J928" s="31" t="s">
        <v>1796</v>
      </c>
      <c r="K928" s="31" t="s">
        <v>1793</v>
      </c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13" t="s">
        <v>1247</v>
      </c>
      <c r="B929" s="13" t="s">
        <v>411</v>
      </c>
      <c r="C929" s="13" t="s">
        <v>1797</v>
      </c>
      <c r="D929" s="13" t="s">
        <v>1474</v>
      </c>
      <c r="E929" s="13">
        <v>0.124762800596337</v>
      </c>
      <c r="F929" s="13">
        <v>0.00849402907239093</v>
      </c>
      <c r="G929" s="13">
        <v>14.6882945105365</v>
      </c>
      <c r="H929" s="63">
        <v>7.66180002048469E-49</v>
      </c>
      <c r="I929" s="13">
        <v>2813336.0</v>
      </c>
      <c r="J929" s="31" t="s">
        <v>1796</v>
      </c>
      <c r="K929" s="31" t="s">
        <v>1793</v>
      </c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13" t="s">
        <v>1249</v>
      </c>
      <c r="B930" s="13" t="s">
        <v>411</v>
      </c>
      <c r="C930" s="13" t="s">
        <v>570</v>
      </c>
      <c r="D930" s="13" t="s">
        <v>1474</v>
      </c>
      <c r="E930" s="13">
        <v>-0.352041095640377</v>
      </c>
      <c r="F930" s="13">
        <v>0.0125514102404223</v>
      </c>
      <c r="G930" s="13">
        <v>-28.0479315787649</v>
      </c>
      <c r="H930" s="63">
        <v>4.23343949937114E-173</v>
      </c>
      <c r="I930" s="13">
        <v>167637.0</v>
      </c>
      <c r="J930" s="31" t="s">
        <v>1796</v>
      </c>
      <c r="K930" s="31" t="s">
        <v>1793</v>
      </c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13" t="s">
        <v>1249</v>
      </c>
      <c r="B931" s="13" t="s">
        <v>411</v>
      </c>
      <c r="C931" s="13" t="s">
        <v>42</v>
      </c>
      <c r="D931" s="13" t="s">
        <v>1474</v>
      </c>
      <c r="E931" s="13">
        <v>-0.321224463043398</v>
      </c>
      <c r="F931" s="13">
        <v>0.00933953141098618</v>
      </c>
      <c r="G931" s="13">
        <v>-34.3940663517163</v>
      </c>
      <c r="H931" s="63">
        <v>3.09293353949674E-259</v>
      </c>
      <c r="I931" s="13">
        <v>2800145.0</v>
      </c>
      <c r="J931" s="31" t="s">
        <v>1796</v>
      </c>
      <c r="K931" s="31" t="s">
        <v>1793</v>
      </c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13" t="s">
        <v>1249</v>
      </c>
      <c r="B932" s="13" t="s">
        <v>411</v>
      </c>
      <c r="C932" s="13" t="s">
        <v>55</v>
      </c>
      <c r="D932" s="13" t="s">
        <v>1474</v>
      </c>
      <c r="E932" s="13">
        <v>-0.289273871979052</v>
      </c>
      <c r="F932" s="13">
        <v>0.00910978515120109</v>
      </c>
      <c r="G932" s="13">
        <v>-31.7541925718097</v>
      </c>
      <c r="H932" s="63">
        <v>2.7791001715276E-221</v>
      </c>
      <c r="I932" s="13">
        <v>2794121.0</v>
      </c>
      <c r="J932" s="31" t="s">
        <v>1796</v>
      </c>
      <c r="K932" s="31" t="s">
        <v>1793</v>
      </c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13" t="s">
        <v>1249</v>
      </c>
      <c r="B933" s="13" t="s">
        <v>411</v>
      </c>
      <c r="C933" s="13" t="s">
        <v>1797</v>
      </c>
      <c r="D933" s="13" t="s">
        <v>1474</v>
      </c>
      <c r="E933" s="13">
        <v>0.127623921350416</v>
      </c>
      <c r="F933" s="13">
        <v>0.0082865787407961</v>
      </c>
      <c r="G933" s="13">
        <v>15.4012802318651</v>
      </c>
      <c r="H933" s="63">
        <v>1.60460757102795E-53</v>
      </c>
      <c r="I933" s="13">
        <v>2800950.0</v>
      </c>
      <c r="J933" s="31" t="s">
        <v>1796</v>
      </c>
      <c r="K933" s="31" t="s">
        <v>1793</v>
      </c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13" t="s">
        <v>1251</v>
      </c>
      <c r="B934" s="13" t="s">
        <v>411</v>
      </c>
      <c r="C934" s="13" t="s">
        <v>570</v>
      </c>
      <c r="D934" s="13" t="s">
        <v>1474</v>
      </c>
      <c r="E934" s="13">
        <v>-0.293992890787938</v>
      </c>
      <c r="F934" s="13">
        <v>0.0139184996195963</v>
      </c>
      <c r="G934" s="13">
        <v>-21.1224556398317</v>
      </c>
      <c r="H934" s="63">
        <v>4.94561372346629E-99</v>
      </c>
      <c r="I934" s="13">
        <v>168501.0</v>
      </c>
      <c r="J934" s="31" t="s">
        <v>1796</v>
      </c>
      <c r="K934" s="31" t="s">
        <v>1793</v>
      </c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13" t="s">
        <v>1251</v>
      </c>
      <c r="B935" s="13" t="s">
        <v>411</v>
      </c>
      <c r="C935" s="13" t="s">
        <v>42</v>
      </c>
      <c r="D935" s="13" t="s">
        <v>1474</v>
      </c>
      <c r="E935" s="13">
        <v>-0.257260064635086</v>
      </c>
      <c r="F935" s="13">
        <v>0.00984091135575365</v>
      </c>
      <c r="G935" s="13">
        <v>-26.1418943159848</v>
      </c>
      <c r="H935" s="63">
        <v>1.21854344584808E-150</v>
      </c>
      <c r="I935" s="13">
        <v>2813108.0</v>
      </c>
      <c r="J935" s="31" t="s">
        <v>1796</v>
      </c>
      <c r="K935" s="31" t="s">
        <v>1793</v>
      </c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13" t="s">
        <v>1251</v>
      </c>
      <c r="B936" s="13" t="s">
        <v>411</v>
      </c>
      <c r="C936" s="13" t="s">
        <v>55</v>
      </c>
      <c r="D936" s="13" t="s">
        <v>1474</v>
      </c>
      <c r="E936" s="13">
        <v>-0.244788529772011</v>
      </c>
      <c r="F936" s="13">
        <v>0.00928712323997893</v>
      </c>
      <c r="G936" s="13">
        <v>-26.3578422991366</v>
      </c>
      <c r="H936" s="63">
        <v>4.17286328157761E-153</v>
      </c>
      <c r="I936" s="13">
        <v>2807069.0</v>
      </c>
      <c r="J936" s="31" t="s">
        <v>1796</v>
      </c>
      <c r="K936" s="31" t="s">
        <v>1793</v>
      </c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13" t="s">
        <v>1251</v>
      </c>
      <c r="B937" s="13" t="s">
        <v>411</v>
      </c>
      <c r="C937" s="13" t="s">
        <v>1797</v>
      </c>
      <c r="D937" s="13" t="s">
        <v>1474</v>
      </c>
      <c r="E937" s="13">
        <v>0.0885116903624761</v>
      </c>
      <c r="F937" s="13">
        <v>0.008991873325346</v>
      </c>
      <c r="G937" s="13">
        <v>9.84352060576546</v>
      </c>
      <c r="H937" s="63">
        <v>7.31068204813957E-23</v>
      </c>
      <c r="I937" s="13">
        <v>2813911.0</v>
      </c>
      <c r="J937" s="31" t="s">
        <v>1796</v>
      </c>
      <c r="K937" s="31" t="s">
        <v>1793</v>
      </c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13" t="s">
        <v>1253</v>
      </c>
      <c r="B938" s="13" t="s">
        <v>411</v>
      </c>
      <c r="C938" s="13" t="s">
        <v>570</v>
      </c>
      <c r="D938" s="13" t="s">
        <v>1474</v>
      </c>
      <c r="E938" s="13">
        <v>-0.0670981582405781</v>
      </c>
      <c r="F938" s="13">
        <v>0.0126607906701019</v>
      </c>
      <c r="G938" s="13">
        <v>-5.29968151191602</v>
      </c>
      <c r="H938" s="63">
        <v>1.16004858771881E-7</v>
      </c>
      <c r="I938" s="13">
        <v>167067.0</v>
      </c>
      <c r="J938" s="31" t="s">
        <v>1796</v>
      </c>
      <c r="K938" s="31" t="s">
        <v>1793</v>
      </c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13" t="s">
        <v>1253</v>
      </c>
      <c r="B939" s="13" t="s">
        <v>411</v>
      </c>
      <c r="C939" s="13" t="s">
        <v>42</v>
      </c>
      <c r="D939" s="13" t="s">
        <v>1474</v>
      </c>
      <c r="E939" s="63">
        <v>5.71503897927983E-4</v>
      </c>
      <c r="F939" s="13">
        <v>0.00509871455997537</v>
      </c>
      <c r="G939" s="13">
        <v>0.112087839239767</v>
      </c>
      <c r="H939" s="13">
        <v>0.910753759541989</v>
      </c>
      <c r="I939" s="13">
        <v>2781244.0</v>
      </c>
      <c r="J939" s="31" t="s">
        <v>1796</v>
      </c>
      <c r="K939" s="31" t="s">
        <v>1793</v>
      </c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13" t="s">
        <v>1253</v>
      </c>
      <c r="B940" s="13" t="s">
        <v>411</v>
      </c>
      <c r="C940" s="13" t="s">
        <v>55</v>
      </c>
      <c r="D940" s="13" t="s">
        <v>1474</v>
      </c>
      <c r="E940" s="13">
        <v>-0.0518349563452177</v>
      </c>
      <c r="F940" s="13">
        <v>0.00544589423417347</v>
      </c>
      <c r="G940" s="13">
        <v>-9.51817169344727</v>
      </c>
      <c r="H940" s="63">
        <v>1.76252556872995E-21</v>
      </c>
      <c r="I940" s="13">
        <v>2775749.0</v>
      </c>
      <c r="J940" s="31" t="s">
        <v>1796</v>
      </c>
      <c r="K940" s="31" t="s">
        <v>1793</v>
      </c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13" t="s">
        <v>1253</v>
      </c>
      <c r="B941" s="13" t="s">
        <v>411</v>
      </c>
      <c r="C941" s="13" t="s">
        <v>1797</v>
      </c>
      <c r="D941" s="13" t="s">
        <v>1474</v>
      </c>
      <c r="E941" s="13">
        <v>-0.0231432553810601</v>
      </c>
      <c r="F941" s="13">
        <v>0.00506274959867018</v>
      </c>
      <c r="G941" s="13">
        <v>-4.57128185583959</v>
      </c>
      <c r="H941" s="63">
        <v>4.84749746960419E-6</v>
      </c>
      <c r="I941" s="13">
        <v>2781863.0</v>
      </c>
      <c r="J941" s="31" t="s">
        <v>1796</v>
      </c>
      <c r="K941" s="31" t="s">
        <v>1793</v>
      </c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13" t="s">
        <v>1256</v>
      </c>
      <c r="B942" s="13" t="s">
        <v>411</v>
      </c>
      <c r="C942" s="13" t="s">
        <v>570</v>
      </c>
      <c r="D942" s="13" t="s">
        <v>1474</v>
      </c>
      <c r="E942" s="13">
        <v>-0.0673875752864334</v>
      </c>
      <c r="F942" s="13">
        <v>0.0129773886094157</v>
      </c>
      <c r="G942" s="13">
        <v>-5.1926914816699</v>
      </c>
      <c r="H942" s="63">
        <v>2.07275509469509E-7</v>
      </c>
      <c r="I942" s="13">
        <v>167722.0</v>
      </c>
      <c r="J942" s="31" t="s">
        <v>1796</v>
      </c>
      <c r="K942" s="31" t="s">
        <v>1793</v>
      </c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13" t="s">
        <v>1256</v>
      </c>
      <c r="B943" s="13" t="s">
        <v>411</v>
      </c>
      <c r="C943" s="13" t="s">
        <v>42</v>
      </c>
      <c r="D943" s="13" t="s">
        <v>1474</v>
      </c>
      <c r="E943" s="63">
        <v>9.73008392122681E-4</v>
      </c>
      <c r="F943" s="13">
        <v>0.00586972693219597</v>
      </c>
      <c r="G943" s="13">
        <v>0.165767233018225</v>
      </c>
      <c r="H943" s="13">
        <v>0.868340133571533</v>
      </c>
      <c r="I943" s="13">
        <v>2796162.0</v>
      </c>
      <c r="J943" s="31" t="s">
        <v>1796</v>
      </c>
      <c r="K943" s="31" t="s">
        <v>1793</v>
      </c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13" t="s">
        <v>1256</v>
      </c>
      <c r="B944" s="13" t="s">
        <v>411</v>
      </c>
      <c r="C944" s="13" t="s">
        <v>55</v>
      </c>
      <c r="D944" s="13" t="s">
        <v>1474</v>
      </c>
      <c r="E944" s="13">
        <v>-0.0456929687862528</v>
      </c>
      <c r="F944" s="13">
        <v>0.00639587762285157</v>
      </c>
      <c r="G944" s="13">
        <v>-7.14412805882936</v>
      </c>
      <c r="H944" s="63">
        <v>9.05689382010223E-13</v>
      </c>
      <c r="I944" s="13">
        <v>2790443.0</v>
      </c>
      <c r="J944" s="31" t="s">
        <v>1796</v>
      </c>
      <c r="K944" s="31" t="s">
        <v>1793</v>
      </c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13" t="s">
        <v>1256</v>
      </c>
      <c r="B945" s="13" t="s">
        <v>411</v>
      </c>
      <c r="C945" s="13" t="s">
        <v>1797</v>
      </c>
      <c r="D945" s="13" t="s">
        <v>1474</v>
      </c>
      <c r="E945" s="13">
        <v>-0.0271172544564677</v>
      </c>
      <c r="F945" s="13">
        <v>0.00500576213928717</v>
      </c>
      <c r="G945" s="13">
        <v>-5.41720794994252</v>
      </c>
      <c r="H945" s="63">
        <v>6.05369184994091E-8</v>
      </c>
      <c r="I945" s="13">
        <v>2796845.0</v>
      </c>
      <c r="J945" s="31" t="s">
        <v>1796</v>
      </c>
      <c r="K945" s="31" t="s">
        <v>1793</v>
      </c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13" t="s">
        <v>1258</v>
      </c>
      <c r="B946" s="13" t="s">
        <v>411</v>
      </c>
      <c r="C946" s="13" t="s">
        <v>570</v>
      </c>
      <c r="D946" s="13" t="s">
        <v>1474</v>
      </c>
      <c r="E946" s="13">
        <v>-0.0590675463854281</v>
      </c>
      <c r="F946" s="13">
        <v>0.0128583643003409</v>
      </c>
      <c r="G946" s="13">
        <v>-4.59370608933998</v>
      </c>
      <c r="H946" s="63">
        <v>4.35442561919144E-6</v>
      </c>
      <c r="I946" s="13">
        <v>167883.0</v>
      </c>
      <c r="J946" s="31" t="s">
        <v>1796</v>
      </c>
      <c r="K946" s="31" t="s">
        <v>1793</v>
      </c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13" t="s">
        <v>1258</v>
      </c>
      <c r="B947" s="13" t="s">
        <v>411</v>
      </c>
      <c r="C947" s="13" t="s">
        <v>42</v>
      </c>
      <c r="D947" s="13" t="s">
        <v>1474</v>
      </c>
      <c r="E947" s="13">
        <v>0.00725586370979342</v>
      </c>
      <c r="F947" s="13">
        <v>0.00564977586675379</v>
      </c>
      <c r="G947" s="13">
        <v>1.28427461211172</v>
      </c>
      <c r="H947" s="13">
        <v>0.199045886684171</v>
      </c>
      <c r="I947" s="13">
        <v>2798621.0</v>
      </c>
      <c r="J947" s="31" t="s">
        <v>1796</v>
      </c>
      <c r="K947" s="31" t="s">
        <v>1793</v>
      </c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13" t="s">
        <v>1258</v>
      </c>
      <c r="B948" s="13" t="s">
        <v>411</v>
      </c>
      <c r="C948" s="13" t="s">
        <v>55</v>
      </c>
      <c r="D948" s="13" t="s">
        <v>1474</v>
      </c>
      <c r="E948" s="13">
        <v>-0.0386632515688558</v>
      </c>
      <c r="F948" s="13">
        <v>0.00604756415968496</v>
      </c>
      <c r="G948" s="13">
        <v>-6.39319411054746</v>
      </c>
      <c r="H948" s="63">
        <v>1.62455811872375E-10</v>
      </c>
      <c r="I948" s="13">
        <v>2792892.0</v>
      </c>
      <c r="J948" s="31" t="s">
        <v>1796</v>
      </c>
      <c r="K948" s="31" t="s">
        <v>1793</v>
      </c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13" t="s">
        <v>1258</v>
      </c>
      <c r="B949" s="13" t="s">
        <v>411</v>
      </c>
      <c r="C949" s="13" t="s">
        <v>1797</v>
      </c>
      <c r="D949" s="13" t="s">
        <v>1474</v>
      </c>
      <c r="E949" s="13">
        <v>-0.025740798752059</v>
      </c>
      <c r="F949" s="13">
        <v>0.00502357290334378</v>
      </c>
      <c r="G949" s="13">
        <v>-5.12400222855838</v>
      </c>
      <c r="H949" s="63">
        <v>2.99117443875057E-7</v>
      </c>
      <c r="I949" s="13">
        <v>2799320.0</v>
      </c>
      <c r="J949" s="31" t="s">
        <v>1796</v>
      </c>
      <c r="K949" s="31" t="s">
        <v>1793</v>
      </c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13" t="s">
        <v>1260</v>
      </c>
      <c r="B950" s="13" t="s">
        <v>411</v>
      </c>
      <c r="C950" s="13" t="s">
        <v>570</v>
      </c>
      <c r="D950" s="13" t="s">
        <v>1474</v>
      </c>
      <c r="E950" s="13">
        <v>-0.0712906541754403</v>
      </c>
      <c r="F950" s="13">
        <v>0.0128843104472368</v>
      </c>
      <c r="G950" s="13">
        <v>-5.53313694724959</v>
      </c>
      <c r="H950" s="63">
        <v>3.14553681406654E-8</v>
      </c>
      <c r="I950" s="13">
        <v>167300.0</v>
      </c>
      <c r="J950" s="31" t="s">
        <v>1796</v>
      </c>
      <c r="K950" s="31" t="s">
        <v>1793</v>
      </c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13" t="s">
        <v>1260</v>
      </c>
      <c r="B951" s="13" t="s">
        <v>411</v>
      </c>
      <c r="C951" s="13" t="s">
        <v>42</v>
      </c>
      <c r="D951" s="13" t="s">
        <v>1474</v>
      </c>
      <c r="E951" s="13">
        <v>0.0016578241687414</v>
      </c>
      <c r="F951" s="13">
        <v>0.00574005513766789</v>
      </c>
      <c r="G951" s="13">
        <v>0.288816767257562</v>
      </c>
      <c r="H951" s="13">
        <v>0.772721600242993</v>
      </c>
      <c r="I951" s="13">
        <v>2786548.0</v>
      </c>
      <c r="J951" s="31" t="s">
        <v>1796</v>
      </c>
      <c r="K951" s="31" t="s">
        <v>1793</v>
      </c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13" t="s">
        <v>1260</v>
      </c>
      <c r="B952" s="13" t="s">
        <v>411</v>
      </c>
      <c r="C952" s="13" t="s">
        <v>55</v>
      </c>
      <c r="D952" s="13" t="s">
        <v>1474</v>
      </c>
      <c r="E952" s="13">
        <v>-0.0505415471069934</v>
      </c>
      <c r="F952" s="13">
        <v>0.0061225119319109</v>
      </c>
      <c r="G952" s="13">
        <v>-8.25503448079339</v>
      </c>
      <c r="H952" s="63">
        <v>1.51858391970721E-16</v>
      </c>
      <c r="I952" s="13">
        <v>2780981.0</v>
      </c>
      <c r="J952" s="31" t="s">
        <v>1796</v>
      </c>
      <c r="K952" s="31" t="s">
        <v>1793</v>
      </c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13" t="s">
        <v>1260</v>
      </c>
      <c r="B953" s="13" t="s">
        <v>411</v>
      </c>
      <c r="C953" s="13" t="s">
        <v>1797</v>
      </c>
      <c r="D953" s="13" t="s">
        <v>1474</v>
      </c>
      <c r="E953" s="13">
        <v>-0.0248923028908637</v>
      </c>
      <c r="F953" s="13">
        <v>0.00526755508422104</v>
      </c>
      <c r="G953" s="13">
        <v>-4.72558947991424</v>
      </c>
      <c r="H953" s="63">
        <v>2.29448769832317E-6</v>
      </c>
      <c r="I953" s="13">
        <v>2787184.0</v>
      </c>
      <c r="J953" s="31" t="s">
        <v>1796</v>
      </c>
      <c r="K953" s="31" t="s">
        <v>1793</v>
      </c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13" t="s">
        <v>1262</v>
      </c>
      <c r="B954" s="13" t="s">
        <v>411</v>
      </c>
      <c r="C954" s="13" t="s">
        <v>570</v>
      </c>
      <c r="D954" s="13" t="s">
        <v>1474</v>
      </c>
      <c r="E954" s="13">
        <v>-0.0675244682198029</v>
      </c>
      <c r="F954" s="13">
        <v>0.0130452094625634</v>
      </c>
      <c r="G954" s="13">
        <v>-5.17618888478421</v>
      </c>
      <c r="H954" s="63">
        <v>2.26464190653752E-7</v>
      </c>
      <c r="I954" s="13">
        <v>167768.0</v>
      </c>
      <c r="J954" s="31" t="s">
        <v>1796</v>
      </c>
      <c r="K954" s="31" t="s">
        <v>1793</v>
      </c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13" t="s">
        <v>1262</v>
      </c>
      <c r="B955" s="13" t="s">
        <v>411</v>
      </c>
      <c r="C955" s="13" t="s">
        <v>42</v>
      </c>
      <c r="D955" s="13" t="s">
        <v>1474</v>
      </c>
      <c r="E955" s="13">
        <v>0.00531193791727063</v>
      </c>
      <c r="F955" s="13">
        <v>0.00544333845802216</v>
      </c>
      <c r="G955" s="13">
        <v>0.975860303053931</v>
      </c>
      <c r="H955" s="13">
        <v>0.32913369640562</v>
      </c>
      <c r="I955" s="13">
        <v>2796334.0</v>
      </c>
      <c r="J955" s="31" t="s">
        <v>1796</v>
      </c>
      <c r="K955" s="31" t="s">
        <v>1793</v>
      </c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13" t="s">
        <v>1262</v>
      </c>
      <c r="B956" s="13" t="s">
        <v>411</v>
      </c>
      <c r="C956" s="13" t="s">
        <v>55</v>
      </c>
      <c r="D956" s="13" t="s">
        <v>1474</v>
      </c>
      <c r="E956" s="13">
        <v>-0.0540935156357261</v>
      </c>
      <c r="F956" s="13">
        <v>0.00570216275682353</v>
      </c>
      <c r="G956" s="13">
        <v>-9.48649099343835</v>
      </c>
      <c r="H956" s="63">
        <v>2.38942369430227E-21</v>
      </c>
      <c r="I956" s="13">
        <v>2790615.0</v>
      </c>
      <c r="J956" s="31" t="s">
        <v>1796</v>
      </c>
      <c r="K956" s="31" t="s">
        <v>1793</v>
      </c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13" t="s">
        <v>1262</v>
      </c>
      <c r="B957" s="13" t="s">
        <v>411</v>
      </c>
      <c r="C957" s="13" t="s">
        <v>1797</v>
      </c>
      <c r="D957" s="13" t="s">
        <v>1474</v>
      </c>
      <c r="E957" s="13">
        <v>-0.0239449040909739</v>
      </c>
      <c r="F957" s="13">
        <v>0.00497199435121118</v>
      </c>
      <c r="G957" s="13">
        <v>-4.8159556104767</v>
      </c>
      <c r="H957" s="63">
        <v>1.46497090359512E-6</v>
      </c>
      <c r="I957" s="13">
        <v>2797030.0</v>
      </c>
      <c r="J957" s="31" t="s">
        <v>1796</v>
      </c>
      <c r="K957" s="31" t="s">
        <v>1793</v>
      </c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13" t="s">
        <v>1264</v>
      </c>
      <c r="B958" s="13" t="s">
        <v>411</v>
      </c>
      <c r="C958" s="13" t="s">
        <v>570</v>
      </c>
      <c r="D958" s="13" t="s">
        <v>1474</v>
      </c>
      <c r="E958" s="13">
        <v>0.0539536801420055</v>
      </c>
      <c r="F958" s="13">
        <v>0.0124410059946486</v>
      </c>
      <c r="G958" s="13">
        <v>4.33676184749151</v>
      </c>
      <c r="H958" s="63">
        <v>1.44597145959972E-5</v>
      </c>
      <c r="I958" s="13">
        <v>164782.0</v>
      </c>
      <c r="J958" s="31" t="s">
        <v>1796</v>
      </c>
      <c r="K958" s="31" t="s">
        <v>1793</v>
      </c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13" t="s">
        <v>1264</v>
      </c>
      <c r="B959" s="13" t="s">
        <v>411</v>
      </c>
      <c r="C959" s="13" t="s">
        <v>42</v>
      </c>
      <c r="D959" s="13" t="s">
        <v>1474</v>
      </c>
      <c r="E959" s="13">
        <v>-0.0949190198828525</v>
      </c>
      <c r="F959" s="13">
        <v>0.00441369950380852</v>
      </c>
      <c r="G959" s="13">
        <v>-21.5055464924488</v>
      </c>
      <c r="H959" s="63">
        <v>1.38148862898323E-102</v>
      </c>
      <c r="I959" s="13">
        <v>2752589.0</v>
      </c>
      <c r="J959" s="31" t="s">
        <v>1796</v>
      </c>
      <c r="K959" s="31" t="s">
        <v>1793</v>
      </c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13" t="s">
        <v>1264</v>
      </c>
      <c r="B960" s="13" t="s">
        <v>411</v>
      </c>
      <c r="C960" s="13" t="s">
        <v>55</v>
      </c>
      <c r="D960" s="13" t="s">
        <v>1474</v>
      </c>
      <c r="E960" s="13">
        <v>-0.0265996856147117</v>
      </c>
      <c r="F960" s="13">
        <v>0.00545873813777395</v>
      </c>
      <c r="G960" s="13">
        <v>-4.87286346099741</v>
      </c>
      <c r="H960" s="63">
        <v>1.09992244237813E-6</v>
      </c>
      <c r="I960" s="13">
        <v>2746659.0</v>
      </c>
      <c r="J960" s="31" t="s">
        <v>1796</v>
      </c>
      <c r="K960" s="31" t="s">
        <v>1793</v>
      </c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13" t="s">
        <v>1264</v>
      </c>
      <c r="B961" s="13" t="s">
        <v>411</v>
      </c>
      <c r="C961" s="13" t="s">
        <v>1797</v>
      </c>
      <c r="D961" s="13" t="s">
        <v>1474</v>
      </c>
      <c r="E961" s="13">
        <v>-0.0325702278674418</v>
      </c>
      <c r="F961" s="13">
        <v>0.00449533636360999</v>
      </c>
      <c r="G961" s="13">
        <v>-7.24533721905655</v>
      </c>
      <c r="H961" s="63">
        <v>4.31364578953862E-13</v>
      </c>
      <c r="I961" s="13">
        <v>2753389.0</v>
      </c>
      <c r="J961" s="31" t="s">
        <v>1796</v>
      </c>
      <c r="K961" s="31" t="s">
        <v>1793</v>
      </c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13" t="s">
        <v>1267</v>
      </c>
      <c r="B962" s="13" t="s">
        <v>411</v>
      </c>
      <c r="C962" s="13" t="s">
        <v>570</v>
      </c>
      <c r="D962" s="13" t="s">
        <v>1474</v>
      </c>
      <c r="E962" s="13">
        <v>0.0429231695826259</v>
      </c>
      <c r="F962" s="13">
        <v>0.0128198495577858</v>
      </c>
      <c r="G962" s="13">
        <v>3.34818044386157</v>
      </c>
      <c r="H962" s="63">
        <v>8.1344029785887E-4</v>
      </c>
      <c r="I962" s="13">
        <v>167799.0</v>
      </c>
      <c r="J962" s="31" t="s">
        <v>1796</v>
      </c>
      <c r="K962" s="31" t="s">
        <v>1793</v>
      </c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13" t="s">
        <v>1267</v>
      </c>
      <c r="B963" s="13" t="s">
        <v>411</v>
      </c>
      <c r="C963" s="13" t="s">
        <v>42</v>
      </c>
      <c r="D963" s="13" t="s">
        <v>1474</v>
      </c>
      <c r="E963" s="13">
        <v>-0.0938283095963375</v>
      </c>
      <c r="F963" s="13">
        <v>0.0047683751288104</v>
      </c>
      <c r="G963" s="13">
        <v>-19.6772080764848</v>
      </c>
      <c r="H963" s="63">
        <v>3.3812334172695E-86</v>
      </c>
      <c r="I963" s="13">
        <v>2801634.0</v>
      </c>
      <c r="J963" s="31" t="s">
        <v>1796</v>
      </c>
      <c r="K963" s="31" t="s">
        <v>1793</v>
      </c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13" t="s">
        <v>1267</v>
      </c>
      <c r="B964" s="13" t="s">
        <v>411</v>
      </c>
      <c r="C964" s="13" t="s">
        <v>55</v>
      </c>
      <c r="D964" s="13" t="s">
        <v>1474</v>
      </c>
      <c r="E964" s="13">
        <v>-0.0297780649452909</v>
      </c>
      <c r="F964" s="13">
        <v>0.00575580998603287</v>
      </c>
      <c r="G964" s="13">
        <v>-5.17356636469076</v>
      </c>
      <c r="H964" s="63">
        <v>2.29667495689632E-7</v>
      </c>
      <c r="I964" s="13">
        <v>2795651.0</v>
      </c>
      <c r="J964" s="31" t="s">
        <v>1796</v>
      </c>
      <c r="K964" s="31" t="s">
        <v>1793</v>
      </c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13" t="s">
        <v>1267</v>
      </c>
      <c r="B965" s="13" t="s">
        <v>411</v>
      </c>
      <c r="C965" s="13" t="s">
        <v>1797</v>
      </c>
      <c r="D965" s="13" t="s">
        <v>1474</v>
      </c>
      <c r="E965" s="13">
        <v>-0.0328584815940983</v>
      </c>
      <c r="F965" s="13">
        <v>0.00461571253437091</v>
      </c>
      <c r="G965" s="13">
        <v>-7.1188318920248</v>
      </c>
      <c r="H965" s="63">
        <v>1.08845567562736E-12</v>
      </c>
      <c r="I965" s="13">
        <v>2802438.0</v>
      </c>
      <c r="J965" s="31" t="s">
        <v>1796</v>
      </c>
      <c r="K965" s="31" t="s">
        <v>1793</v>
      </c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13" t="s">
        <v>1269</v>
      </c>
      <c r="B966" s="13" t="s">
        <v>411</v>
      </c>
      <c r="C966" s="13" t="s">
        <v>570</v>
      </c>
      <c r="D966" s="13" t="s">
        <v>1474</v>
      </c>
      <c r="E966" s="13">
        <v>0.0385817771793182</v>
      </c>
      <c r="F966" s="13">
        <v>0.0125006007080751</v>
      </c>
      <c r="G966" s="13">
        <v>3.08639385260862</v>
      </c>
      <c r="H966" s="13">
        <v>0.00202600268744681</v>
      </c>
      <c r="I966" s="13">
        <v>167486.0</v>
      </c>
      <c r="J966" s="31" t="s">
        <v>1796</v>
      </c>
      <c r="K966" s="31" t="s">
        <v>1793</v>
      </c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13" t="s">
        <v>1269</v>
      </c>
      <c r="B967" s="13" t="s">
        <v>411</v>
      </c>
      <c r="C967" s="13" t="s">
        <v>42</v>
      </c>
      <c r="D967" s="13" t="s">
        <v>1474</v>
      </c>
      <c r="E967" s="13">
        <v>-0.0953868990996661</v>
      </c>
      <c r="F967" s="13">
        <v>0.0048693001983786</v>
      </c>
      <c r="G967" s="13">
        <v>-19.5894471923148</v>
      </c>
      <c r="H967" s="63">
        <v>1.90244664162283E-85</v>
      </c>
      <c r="I967" s="13">
        <v>2796391.0</v>
      </c>
      <c r="J967" s="31" t="s">
        <v>1796</v>
      </c>
      <c r="K967" s="31" t="s">
        <v>1793</v>
      </c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13" t="s">
        <v>1269</v>
      </c>
      <c r="B968" s="13" t="s">
        <v>411</v>
      </c>
      <c r="C968" s="13" t="s">
        <v>55</v>
      </c>
      <c r="D968" s="13" t="s">
        <v>1474</v>
      </c>
      <c r="E968" s="13">
        <v>-0.02719802884764</v>
      </c>
      <c r="F968" s="13">
        <v>0.00555300858184636</v>
      </c>
      <c r="G968" s="13">
        <v>-4.89789065634701</v>
      </c>
      <c r="H968" s="63">
        <v>9.68709115440475E-7</v>
      </c>
      <c r="I968" s="13">
        <v>2790402.0</v>
      </c>
      <c r="J968" s="31" t="s">
        <v>1796</v>
      </c>
      <c r="K968" s="31" t="s">
        <v>1793</v>
      </c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13" t="s">
        <v>1269</v>
      </c>
      <c r="B969" s="13" t="s">
        <v>411</v>
      </c>
      <c r="C969" s="13" t="s">
        <v>1797</v>
      </c>
      <c r="D969" s="13" t="s">
        <v>1474</v>
      </c>
      <c r="E969" s="13">
        <v>-0.0243934091272473</v>
      </c>
      <c r="F969" s="13">
        <v>0.0049977292578084</v>
      </c>
      <c r="G969" s="13">
        <v>-4.88089847787077</v>
      </c>
      <c r="H969" s="63">
        <v>1.05603599314981E-6</v>
      </c>
      <c r="I969" s="13">
        <v>2797194.0</v>
      </c>
      <c r="J969" s="31" t="s">
        <v>1796</v>
      </c>
      <c r="K969" s="31" t="s">
        <v>1793</v>
      </c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13" t="s">
        <v>1271</v>
      </c>
      <c r="B970" s="13" t="s">
        <v>411</v>
      </c>
      <c r="C970" s="13" t="s">
        <v>570</v>
      </c>
      <c r="D970" s="13" t="s">
        <v>1474</v>
      </c>
      <c r="E970" s="13">
        <v>0.0380960157436118</v>
      </c>
      <c r="F970" s="13">
        <v>0.0123136109115801</v>
      </c>
      <c r="G970" s="13">
        <v>3.09381350581614</v>
      </c>
      <c r="H970" s="13">
        <v>0.00197601656180592</v>
      </c>
      <c r="I970" s="13">
        <v>167919.0</v>
      </c>
      <c r="J970" s="31" t="s">
        <v>1796</v>
      </c>
      <c r="K970" s="31" t="s">
        <v>1793</v>
      </c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13" t="s">
        <v>1271</v>
      </c>
      <c r="B971" s="13" t="s">
        <v>411</v>
      </c>
      <c r="C971" s="13" t="s">
        <v>42</v>
      </c>
      <c r="D971" s="13" t="s">
        <v>1474</v>
      </c>
      <c r="E971" s="13">
        <v>-0.0993479025588311</v>
      </c>
      <c r="F971" s="13">
        <v>0.00491638117635808</v>
      </c>
      <c r="G971" s="13">
        <v>-20.207526429516</v>
      </c>
      <c r="H971" s="63">
        <v>8.40562125905143E-91</v>
      </c>
      <c r="I971" s="13">
        <v>2804185.0</v>
      </c>
      <c r="J971" s="31" t="s">
        <v>1796</v>
      </c>
      <c r="K971" s="31" t="s">
        <v>1793</v>
      </c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13" t="s">
        <v>1271</v>
      </c>
      <c r="B972" s="13" t="s">
        <v>411</v>
      </c>
      <c r="C972" s="13" t="s">
        <v>55</v>
      </c>
      <c r="D972" s="13" t="s">
        <v>1474</v>
      </c>
      <c r="E972" s="13">
        <v>-0.0329335470692271</v>
      </c>
      <c r="F972" s="13">
        <v>0.00573165450884346</v>
      </c>
      <c r="G972" s="13">
        <v>-5.74590583197459</v>
      </c>
      <c r="H972" s="63">
        <v>9.1430182497645E-9</v>
      </c>
      <c r="I972" s="13">
        <v>2798170.0</v>
      </c>
      <c r="J972" s="31" t="s">
        <v>1796</v>
      </c>
      <c r="K972" s="31" t="s">
        <v>1793</v>
      </c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13" t="s">
        <v>1271</v>
      </c>
      <c r="B973" s="13" t="s">
        <v>411</v>
      </c>
      <c r="C973" s="13" t="s">
        <v>1797</v>
      </c>
      <c r="D973" s="13" t="s">
        <v>1474</v>
      </c>
      <c r="E973" s="13">
        <v>-0.0239045400053436</v>
      </c>
      <c r="F973" s="13">
        <v>0.005402121947632</v>
      </c>
      <c r="G973" s="13">
        <v>-4.42502783851854</v>
      </c>
      <c r="H973" s="63">
        <v>9.64298472124124E-6</v>
      </c>
      <c r="I973" s="13">
        <v>2804986.0</v>
      </c>
      <c r="J973" s="31" t="s">
        <v>1796</v>
      </c>
      <c r="K973" s="31" t="s">
        <v>1793</v>
      </c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13" t="s">
        <v>1273</v>
      </c>
      <c r="B974" s="13" t="s">
        <v>411</v>
      </c>
      <c r="C974" s="13" t="s">
        <v>570</v>
      </c>
      <c r="D974" s="13" t="s">
        <v>1474</v>
      </c>
      <c r="E974" s="13">
        <v>0.0584749171338365</v>
      </c>
      <c r="F974" s="13">
        <v>0.0128261027011695</v>
      </c>
      <c r="G974" s="13">
        <v>4.55905573939499</v>
      </c>
      <c r="H974" s="63">
        <v>5.13841332104308E-6</v>
      </c>
      <c r="I974" s="13">
        <v>168308.0</v>
      </c>
      <c r="J974" s="31" t="s">
        <v>1796</v>
      </c>
      <c r="K974" s="31" t="s">
        <v>1793</v>
      </c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13" t="s">
        <v>1273</v>
      </c>
      <c r="B975" s="13" t="s">
        <v>411</v>
      </c>
      <c r="C975" s="13" t="s">
        <v>42</v>
      </c>
      <c r="D975" s="13" t="s">
        <v>1474</v>
      </c>
      <c r="E975" s="13">
        <v>-0.0877688458677468</v>
      </c>
      <c r="F975" s="13">
        <v>0.00430933888393714</v>
      </c>
      <c r="G975" s="13">
        <v>-20.3671254992038</v>
      </c>
      <c r="H975" s="63">
        <v>3.2733640583733E-92</v>
      </c>
      <c r="I975" s="13">
        <v>2809990.0</v>
      </c>
      <c r="J975" s="31" t="s">
        <v>1796</v>
      </c>
      <c r="K975" s="31" t="s">
        <v>1793</v>
      </c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13" t="s">
        <v>1273</v>
      </c>
      <c r="B976" s="13" t="s">
        <v>411</v>
      </c>
      <c r="C976" s="13" t="s">
        <v>55</v>
      </c>
      <c r="D976" s="13" t="s">
        <v>1474</v>
      </c>
      <c r="E976" s="13">
        <v>-0.0192727988487042</v>
      </c>
      <c r="F976" s="13">
        <v>0.00518781914976987</v>
      </c>
      <c r="G976" s="13">
        <v>-3.71500977430162</v>
      </c>
      <c r="H976" s="63">
        <v>2.03195839919896E-4</v>
      </c>
      <c r="I976" s="13">
        <v>2803983.0</v>
      </c>
      <c r="J976" s="31" t="s">
        <v>1796</v>
      </c>
      <c r="K976" s="31" t="s">
        <v>1793</v>
      </c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13" t="s">
        <v>1273</v>
      </c>
      <c r="B977" s="13" t="s">
        <v>411</v>
      </c>
      <c r="C977" s="13" t="s">
        <v>1797</v>
      </c>
      <c r="D977" s="13" t="s">
        <v>1474</v>
      </c>
      <c r="E977" s="13">
        <v>-0.0358682102199552</v>
      </c>
      <c r="F977" s="13">
        <v>0.00452092941000397</v>
      </c>
      <c r="G977" s="13">
        <v>-7.93381337487499</v>
      </c>
      <c r="H977" s="63">
        <v>2.12517375030517E-15</v>
      </c>
      <c r="I977" s="13">
        <v>2810791.0</v>
      </c>
      <c r="J977" s="31" t="s">
        <v>1796</v>
      </c>
      <c r="K977" s="31" t="s">
        <v>1793</v>
      </c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13" t="s">
        <v>1275</v>
      </c>
      <c r="B978" s="13" t="s">
        <v>411</v>
      </c>
      <c r="C978" s="13" t="s">
        <v>570</v>
      </c>
      <c r="D978" s="13" t="s">
        <v>1474</v>
      </c>
      <c r="E978" s="13">
        <v>0.0400575588411375</v>
      </c>
      <c r="F978" s="13">
        <v>0.0128693441938138</v>
      </c>
      <c r="G978" s="13">
        <v>3.11263404240853</v>
      </c>
      <c r="H978" s="13">
        <v>0.00185425788350759</v>
      </c>
      <c r="I978" s="13">
        <v>165727.0</v>
      </c>
      <c r="J978" s="31" t="s">
        <v>1796</v>
      </c>
      <c r="K978" s="31" t="s">
        <v>1793</v>
      </c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13" t="s">
        <v>1275</v>
      </c>
      <c r="B979" s="13" t="s">
        <v>411</v>
      </c>
      <c r="C979" s="13" t="s">
        <v>42</v>
      </c>
      <c r="D979" s="13" t="s">
        <v>1474</v>
      </c>
      <c r="E979" s="13">
        <v>-0.100824677970875</v>
      </c>
      <c r="F979" s="13">
        <v>0.00489208674396248</v>
      </c>
      <c r="G979" s="13">
        <v>-20.6097486098968</v>
      </c>
      <c r="H979" s="63">
        <v>2.24394111660847E-94</v>
      </c>
      <c r="I979" s="13">
        <v>2768499.0</v>
      </c>
      <c r="J979" s="31" t="s">
        <v>1796</v>
      </c>
      <c r="K979" s="31" t="s">
        <v>1793</v>
      </c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13" t="s">
        <v>1275</v>
      </c>
      <c r="B980" s="13" t="s">
        <v>411</v>
      </c>
      <c r="C980" s="13" t="s">
        <v>55</v>
      </c>
      <c r="D980" s="13" t="s">
        <v>1474</v>
      </c>
      <c r="E980" s="13">
        <v>-0.0326004346551805</v>
      </c>
      <c r="F980" s="13">
        <v>0.00564039822110006</v>
      </c>
      <c r="G980" s="13">
        <v>-5.77981081782951</v>
      </c>
      <c r="H980" s="63">
        <v>7.478467117189E-9</v>
      </c>
      <c r="I980" s="13">
        <v>2762578.0</v>
      </c>
      <c r="J980" s="31" t="s">
        <v>1796</v>
      </c>
      <c r="K980" s="31" t="s">
        <v>1793</v>
      </c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13" t="s">
        <v>1275</v>
      </c>
      <c r="B981" s="13" t="s">
        <v>411</v>
      </c>
      <c r="C981" s="13" t="s">
        <v>1797</v>
      </c>
      <c r="D981" s="13" t="s">
        <v>1474</v>
      </c>
      <c r="E981" s="13">
        <v>-0.0274789826403538</v>
      </c>
      <c r="F981" s="13">
        <v>0.00491043208931185</v>
      </c>
      <c r="G981" s="13">
        <v>-5.59604168035745</v>
      </c>
      <c r="H981" s="63">
        <v>2.19301000691003E-8</v>
      </c>
      <c r="I981" s="13">
        <v>2769300.0</v>
      </c>
      <c r="J981" s="31" t="s">
        <v>1796</v>
      </c>
      <c r="K981" s="31" t="s">
        <v>1793</v>
      </c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13" t="s">
        <v>1277</v>
      </c>
      <c r="B982" s="13" t="s">
        <v>411</v>
      </c>
      <c r="C982" s="13" t="s">
        <v>570</v>
      </c>
      <c r="D982" s="13" t="s">
        <v>1474</v>
      </c>
      <c r="E982" s="13">
        <v>0.0515510238704908</v>
      </c>
      <c r="F982" s="13">
        <v>0.0127038109355409</v>
      </c>
      <c r="G982" s="13">
        <v>4.0579180634898</v>
      </c>
      <c r="H982" s="63">
        <v>4.95121317974814E-5</v>
      </c>
      <c r="I982" s="13">
        <v>166401.0</v>
      </c>
      <c r="J982" s="31" t="s">
        <v>1796</v>
      </c>
      <c r="K982" s="31" t="s">
        <v>1793</v>
      </c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13" t="s">
        <v>1277</v>
      </c>
      <c r="B983" s="13" t="s">
        <v>411</v>
      </c>
      <c r="C983" s="13" t="s">
        <v>42</v>
      </c>
      <c r="D983" s="13" t="s">
        <v>1474</v>
      </c>
      <c r="E983" s="13">
        <v>-0.10106267675217</v>
      </c>
      <c r="F983" s="13">
        <v>0.00512057189432443</v>
      </c>
      <c r="G983" s="13">
        <v>-19.7365995122901</v>
      </c>
      <c r="H983" s="63">
        <v>1.04584046202702E-86</v>
      </c>
      <c r="I983" s="13">
        <v>2779783.0</v>
      </c>
      <c r="J983" s="31" t="s">
        <v>1796</v>
      </c>
      <c r="K983" s="31" t="s">
        <v>1793</v>
      </c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13" t="s">
        <v>1277</v>
      </c>
      <c r="B984" s="13" t="s">
        <v>411</v>
      </c>
      <c r="C984" s="13" t="s">
        <v>55</v>
      </c>
      <c r="D984" s="13" t="s">
        <v>1474</v>
      </c>
      <c r="E984" s="13">
        <v>-0.03143753728266</v>
      </c>
      <c r="F984" s="13">
        <v>0.00580354034374876</v>
      </c>
      <c r="G984" s="13">
        <v>-5.41695851507652</v>
      </c>
      <c r="H984" s="63">
        <v>6.06213990829879E-8</v>
      </c>
      <c r="I984" s="13">
        <v>2773794.0</v>
      </c>
      <c r="J984" s="31" t="s">
        <v>1796</v>
      </c>
      <c r="K984" s="31" t="s">
        <v>1793</v>
      </c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13" t="s">
        <v>1277</v>
      </c>
      <c r="B985" s="13" t="s">
        <v>411</v>
      </c>
      <c r="C985" s="13" t="s">
        <v>1797</v>
      </c>
      <c r="D985" s="13" t="s">
        <v>1474</v>
      </c>
      <c r="E985" s="13">
        <v>-0.0231921813983056</v>
      </c>
      <c r="F985" s="13">
        <v>0.00509617165479363</v>
      </c>
      <c r="G985" s="13">
        <v>-4.55090271076136</v>
      </c>
      <c r="H985" s="63">
        <v>5.3416244532362E-6</v>
      </c>
      <c r="I985" s="13">
        <v>2780586.0</v>
      </c>
      <c r="J985" s="31" t="s">
        <v>1796</v>
      </c>
      <c r="K985" s="31" t="s">
        <v>1793</v>
      </c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13" t="s">
        <v>1279</v>
      </c>
      <c r="B986" s="13" t="s">
        <v>411</v>
      </c>
      <c r="C986" s="13" t="s">
        <v>570</v>
      </c>
      <c r="D986" s="13" t="s">
        <v>1474</v>
      </c>
      <c r="E986" s="13">
        <v>-0.732950657162275</v>
      </c>
      <c r="F986" s="13">
        <v>0.00638765842265917</v>
      </c>
      <c r="G986" s="13">
        <v>-114.744810799878</v>
      </c>
      <c r="H986" s="13">
        <v>0.0</v>
      </c>
      <c r="I986" s="13">
        <v>167302.0</v>
      </c>
      <c r="J986" s="31" t="s">
        <v>1796</v>
      </c>
      <c r="K986" s="31" t="s">
        <v>1793</v>
      </c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13" t="s">
        <v>1279</v>
      </c>
      <c r="B987" s="13" t="s">
        <v>411</v>
      </c>
      <c r="C987" s="13" t="s">
        <v>42</v>
      </c>
      <c r="D987" s="13" t="s">
        <v>1474</v>
      </c>
      <c r="E987" s="13">
        <v>-0.732538854642944</v>
      </c>
      <c r="F987" s="13">
        <v>0.00475309336229166</v>
      </c>
      <c r="G987" s="13">
        <v>-154.118339112479</v>
      </c>
      <c r="H987" s="13">
        <v>0.0</v>
      </c>
      <c r="I987" s="13">
        <v>2794689.0</v>
      </c>
      <c r="J987" s="31" t="s">
        <v>1796</v>
      </c>
      <c r="K987" s="31" t="s">
        <v>1793</v>
      </c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13" t="s">
        <v>1279</v>
      </c>
      <c r="B988" s="13" t="s">
        <v>411</v>
      </c>
      <c r="C988" s="13" t="s">
        <v>55</v>
      </c>
      <c r="D988" s="13" t="s">
        <v>1474</v>
      </c>
      <c r="E988" s="13">
        <v>-0.669705716312605</v>
      </c>
      <c r="F988" s="13">
        <v>0.00528467897646433</v>
      </c>
      <c r="G988" s="13">
        <v>-126.725903180719</v>
      </c>
      <c r="H988" s="13">
        <v>0.0</v>
      </c>
      <c r="I988" s="13">
        <v>2788720.0</v>
      </c>
      <c r="J988" s="31" t="s">
        <v>1796</v>
      </c>
      <c r="K988" s="31" t="s">
        <v>1793</v>
      </c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13" t="s">
        <v>1279</v>
      </c>
      <c r="B989" s="13" t="s">
        <v>411</v>
      </c>
      <c r="C989" s="13" t="s">
        <v>1797</v>
      </c>
      <c r="D989" s="13" t="s">
        <v>1474</v>
      </c>
      <c r="E989" s="13">
        <v>-0.00280790389125352</v>
      </c>
      <c r="F989" s="13">
        <v>0.0110164054639681</v>
      </c>
      <c r="G989" s="13">
        <v>-0.25488385485061</v>
      </c>
      <c r="H989" s="13">
        <v>0.798812806486582</v>
      </c>
      <c r="I989" s="13">
        <v>2795529.0</v>
      </c>
      <c r="J989" s="31" t="s">
        <v>1796</v>
      </c>
      <c r="K989" s="31" t="s">
        <v>1793</v>
      </c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13" t="s">
        <v>1282</v>
      </c>
      <c r="B990" s="13" t="s">
        <v>411</v>
      </c>
      <c r="C990" s="13" t="s">
        <v>570</v>
      </c>
      <c r="D990" s="13" t="s">
        <v>1474</v>
      </c>
      <c r="E990" s="13">
        <v>-0.547639569048453</v>
      </c>
      <c r="F990" s="13">
        <v>0.00954100198729395</v>
      </c>
      <c r="G990" s="13">
        <v>-57.3985384111398</v>
      </c>
      <c r="H990" s="13">
        <v>0.0</v>
      </c>
      <c r="I990" s="13">
        <v>168728.0</v>
      </c>
      <c r="J990" s="31" t="s">
        <v>1796</v>
      </c>
      <c r="K990" s="31" t="s">
        <v>1793</v>
      </c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13" t="s">
        <v>1282</v>
      </c>
      <c r="B991" s="13" t="s">
        <v>411</v>
      </c>
      <c r="C991" s="13" t="s">
        <v>42</v>
      </c>
      <c r="D991" s="13" t="s">
        <v>1474</v>
      </c>
      <c r="E991" s="13">
        <v>-0.527650721455049</v>
      </c>
      <c r="F991" s="13">
        <v>0.00646810896117488</v>
      </c>
      <c r="G991" s="13">
        <v>-81.5772777827796</v>
      </c>
      <c r="H991" s="13">
        <v>0.0</v>
      </c>
      <c r="I991" s="13">
        <v>2816762.0</v>
      </c>
      <c r="J991" s="31" t="s">
        <v>1796</v>
      </c>
      <c r="K991" s="31" t="s">
        <v>1793</v>
      </c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13" t="s">
        <v>1282</v>
      </c>
      <c r="B992" s="13" t="s">
        <v>411</v>
      </c>
      <c r="C992" s="13" t="s">
        <v>55</v>
      </c>
      <c r="D992" s="13" t="s">
        <v>1474</v>
      </c>
      <c r="E992" s="13">
        <v>-0.503438203525917</v>
      </c>
      <c r="F992" s="13">
        <v>0.00676626099691745</v>
      </c>
      <c r="G992" s="13">
        <v>-74.4041951315907</v>
      </c>
      <c r="H992" s="13">
        <v>0.0</v>
      </c>
      <c r="I992" s="13">
        <v>2810735.0</v>
      </c>
      <c r="J992" s="31" t="s">
        <v>1796</v>
      </c>
      <c r="K992" s="31" t="s">
        <v>1793</v>
      </c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13" t="s">
        <v>1282</v>
      </c>
      <c r="B993" s="13" t="s">
        <v>411</v>
      </c>
      <c r="C993" s="13" t="s">
        <v>1797</v>
      </c>
      <c r="D993" s="13" t="s">
        <v>1474</v>
      </c>
      <c r="E993" s="13">
        <v>-0.00623483373925548</v>
      </c>
      <c r="F993" s="13">
        <v>0.0104302572014543</v>
      </c>
      <c r="G993" s="13">
        <v>-0.597764141270275</v>
      </c>
      <c r="H993" s="13">
        <v>0.549997320465875</v>
      </c>
      <c r="I993" s="13">
        <v>2817567.0</v>
      </c>
      <c r="J993" s="31" t="s">
        <v>1796</v>
      </c>
      <c r="K993" s="31" t="s">
        <v>1793</v>
      </c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13" t="s">
        <v>1284</v>
      </c>
      <c r="B994" s="13" t="s">
        <v>411</v>
      </c>
      <c r="C994" s="13" t="s">
        <v>570</v>
      </c>
      <c r="D994" s="13" t="s">
        <v>1474</v>
      </c>
      <c r="E994" s="13">
        <v>-0.292149292861307</v>
      </c>
      <c r="F994" s="13">
        <v>0.0146873153811236</v>
      </c>
      <c r="G994" s="13">
        <v>-19.891265713323</v>
      </c>
      <c r="H994" s="63">
        <v>4.84369874463245E-88</v>
      </c>
      <c r="I994" s="13">
        <v>168588.0</v>
      </c>
      <c r="J994" s="31" t="s">
        <v>1796</v>
      </c>
      <c r="K994" s="31" t="s">
        <v>1793</v>
      </c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13" t="s">
        <v>1284</v>
      </c>
      <c r="B995" s="13" t="s">
        <v>411</v>
      </c>
      <c r="C995" s="13" t="s">
        <v>42</v>
      </c>
      <c r="D995" s="13" t="s">
        <v>1474</v>
      </c>
      <c r="E995" s="13">
        <v>-0.367424162290118</v>
      </c>
      <c r="F995" s="13">
        <v>0.00937046451014563</v>
      </c>
      <c r="G995" s="13">
        <v>-39.210880302924</v>
      </c>
      <c r="H995" s="13">
        <v>0.0</v>
      </c>
      <c r="I995" s="13">
        <v>2813774.0</v>
      </c>
      <c r="J995" s="31" t="s">
        <v>1796</v>
      </c>
      <c r="K995" s="31" t="s">
        <v>1793</v>
      </c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13" t="s">
        <v>1284</v>
      </c>
      <c r="B996" s="13" t="s">
        <v>411</v>
      </c>
      <c r="C996" s="13" t="s">
        <v>55</v>
      </c>
      <c r="D996" s="13" t="s">
        <v>1474</v>
      </c>
      <c r="E996" s="13">
        <v>-0.296465609616194</v>
      </c>
      <c r="F996" s="13">
        <v>0.00994199451126169</v>
      </c>
      <c r="G996" s="13">
        <v>-29.819530606296</v>
      </c>
      <c r="H996" s="63">
        <v>2.18106647647924E-195</v>
      </c>
      <c r="I996" s="13">
        <v>2807764.0</v>
      </c>
      <c r="J996" s="31" t="s">
        <v>1796</v>
      </c>
      <c r="K996" s="31" t="s">
        <v>1793</v>
      </c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13" t="s">
        <v>1284</v>
      </c>
      <c r="B997" s="13" t="s">
        <v>411</v>
      </c>
      <c r="C997" s="13" t="s">
        <v>1797</v>
      </c>
      <c r="D997" s="13" t="s">
        <v>1474</v>
      </c>
      <c r="E997" s="13">
        <v>0.14765898352618</v>
      </c>
      <c r="F997" s="13">
        <v>0.00864819643365724</v>
      </c>
      <c r="G997" s="13">
        <v>17.0739627226224</v>
      </c>
      <c r="H997" s="63">
        <v>2.31910688278107E-65</v>
      </c>
      <c r="I997" s="13">
        <v>2814582.0</v>
      </c>
      <c r="J997" s="31" t="s">
        <v>1796</v>
      </c>
      <c r="K997" s="31" t="s">
        <v>1793</v>
      </c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13" t="s">
        <v>1287</v>
      </c>
      <c r="B998" s="13" t="s">
        <v>411</v>
      </c>
      <c r="C998" s="13" t="s">
        <v>570</v>
      </c>
      <c r="D998" s="13" t="s">
        <v>1474</v>
      </c>
      <c r="E998" s="13">
        <v>-0.276288120618936</v>
      </c>
      <c r="F998" s="13">
        <v>0.0144649019510954</v>
      </c>
      <c r="G998" s="13">
        <v>-19.1005871697603</v>
      </c>
      <c r="H998" s="63">
        <v>2.49663677854853E-81</v>
      </c>
      <c r="I998" s="13">
        <v>168711.0</v>
      </c>
      <c r="J998" s="31" t="s">
        <v>1796</v>
      </c>
      <c r="K998" s="31" t="s">
        <v>1793</v>
      </c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13" t="s">
        <v>1287</v>
      </c>
      <c r="B999" s="13" t="s">
        <v>411</v>
      </c>
      <c r="C999" s="13" t="s">
        <v>42</v>
      </c>
      <c r="D999" s="13" t="s">
        <v>1474</v>
      </c>
      <c r="E999" s="13">
        <v>-0.354642737835153</v>
      </c>
      <c r="F999" s="13">
        <v>0.00922541752703956</v>
      </c>
      <c r="G999" s="13">
        <v>-38.4419173219749</v>
      </c>
      <c r="H999" s="13">
        <v>0.0</v>
      </c>
      <c r="I999" s="13">
        <v>2816143.0</v>
      </c>
      <c r="J999" s="31" t="s">
        <v>1796</v>
      </c>
      <c r="K999" s="31" t="s">
        <v>1793</v>
      </c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13" t="s">
        <v>1287</v>
      </c>
      <c r="B1000" s="13" t="s">
        <v>411</v>
      </c>
      <c r="C1000" s="13" t="s">
        <v>55</v>
      </c>
      <c r="D1000" s="13" t="s">
        <v>1474</v>
      </c>
      <c r="E1000" s="13">
        <v>-0.288021795667715</v>
      </c>
      <c r="F1000" s="13">
        <v>0.00952135674332668</v>
      </c>
      <c r="G1000" s="13">
        <v>-30.2500792095184</v>
      </c>
      <c r="H1000" s="63">
        <v>5.2047808579204E-201</v>
      </c>
      <c r="I1000" s="13">
        <v>2810127.0</v>
      </c>
      <c r="J1000" s="31" t="s">
        <v>1796</v>
      </c>
      <c r="K1000" s="31" t="s">
        <v>1793</v>
      </c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ht="15.75" customHeight="1">
      <c r="A1001" s="13" t="s">
        <v>1287</v>
      </c>
      <c r="B1001" s="13" t="s">
        <v>411</v>
      </c>
      <c r="C1001" s="13" t="s">
        <v>1797</v>
      </c>
      <c r="D1001" s="13" t="s">
        <v>1474</v>
      </c>
      <c r="E1001" s="13">
        <v>0.125449031608101</v>
      </c>
      <c r="F1001" s="13">
        <v>0.00805840708490767</v>
      </c>
      <c r="G1001" s="13">
        <v>15.567472614166</v>
      </c>
      <c r="H1001" s="63">
        <v>1.21098444572905E-54</v>
      </c>
      <c r="I1001" s="13">
        <v>2816950.0</v>
      </c>
      <c r="J1001" s="31" t="s">
        <v>1796</v>
      </c>
      <c r="K1001" s="31" t="s">
        <v>1793</v>
      </c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ht="15.75" customHeight="1">
      <c r="A1002" s="13" t="s">
        <v>1289</v>
      </c>
      <c r="B1002" s="13" t="s">
        <v>411</v>
      </c>
      <c r="C1002" s="13" t="s">
        <v>570</v>
      </c>
      <c r="D1002" s="13" t="s">
        <v>1474</v>
      </c>
      <c r="E1002" s="13">
        <v>-0.232725460686965</v>
      </c>
      <c r="F1002" s="13">
        <v>0.0145208852482598</v>
      </c>
      <c r="G1002" s="13">
        <v>-16.026947166658</v>
      </c>
      <c r="H1002" s="63">
        <v>8.28543251106168E-58</v>
      </c>
      <c r="I1002" s="13">
        <v>168510.0</v>
      </c>
      <c r="J1002" s="31" t="s">
        <v>1796</v>
      </c>
      <c r="K1002" s="31" t="s">
        <v>1793</v>
      </c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ht="15.75" customHeight="1">
      <c r="A1003" s="13" t="s">
        <v>1289</v>
      </c>
      <c r="B1003" s="13" t="s">
        <v>411</v>
      </c>
      <c r="C1003" s="13" t="s">
        <v>42</v>
      </c>
      <c r="D1003" s="13" t="s">
        <v>1474</v>
      </c>
      <c r="E1003" s="13">
        <v>-0.323986247697514</v>
      </c>
      <c r="F1003" s="13">
        <v>0.00899851519245267</v>
      </c>
      <c r="G1003" s="13">
        <v>-36.0044119244529</v>
      </c>
      <c r="H1003" s="63">
        <v>7.13580184576644E-284</v>
      </c>
      <c r="I1003" s="13">
        <v>2812181.0</v>
      </c>
      <c r="J1003" s="31" t="s">
        <v>1796</v>
      </c>
      <c r="K1003" s="31" t="s">
        <v>1793</v>
      </c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ht="15.75" customHeight="1">
      <c r="A1004" s="13" t="s">
        <v>1289</v>
      </c>
      <c r="B1004" s="13" t="s">
        <v>411</v>
      </c>
      <c r="C1004" s="13" t="s">
        <v>55</v>
      </c>
      <c r="D1004" s="13" t="s">
        <v>1474</v>
      </c>
      <c r="E1004" s="13">
        <v>-0.254152352965877</v>
      </c>
      <c r="F1004" s="13">
        <v>0.00938011855785721</v>
      </c>
      <c r="G1004" s="13">
        <v>-27.094791115725</v>
      </c>
      <c r="H1004" s="63">
        <v>1.13411971028532E-161</v>
      </c>
      <c r="I1004" s="13">
        <v>2806186.0</v>
      </c>
      <c r="J1004" s="31" t="s">
        <v>1796</v>
      </c>
      <c r="K1004" s="31" t="s">
        <v>1793</v>
      </c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ht="15.75" customHeight="1">
      <c r="A1005" s="13" t="s">
        <v>1289</v>
      </c>
      <c r="B1005" s="13" t="s">
        <v>411</v>
      </c>
      <c r="C1005" s="13" t="s">
        <v>1797</v>
      </c>
      <c r="D1005" s="13" t="s">
        <v>1474</v>
      </c>
      <c r="E1005" s="13">
        <v>0.119533695586233</v>
      </c>
      <c r="F1005" s="13">
        <v>0.00857288110098411</v>
      </c>
      <c r="G1005" s="13">
        <v>13.9432349729557</v>
      </c>
      <c r="H1005" s="63">
        <v>3.45899608190186E-44</v>
      </c>
      <c r="I1005" s="13">
        <v>2812984.0</v>
      </c>
      <c r="J1005" s="31" t="s">
        <v>1796</v>
      </c>
      <c r="K1005" s="31" t="s">
        <v>1793</v>
      </c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ht="15.75" customHeight="1">
      <c r="A1006" s="13" t="s">
        <v>1291</v>
      </c>
      <c r="B1006" s="13" t="s">
        <v>411</v>
      </c>
      <c r="C1006" s="13" t="s">
        <v>570</v>
      </c>
      <c r="D1006" s="13" t="s">
        <v>1474</v>
      </c>
      <c r="E1006" s="13">
        <v>-0.251496371578586</v>
      </c>
      <c r="F1006" s="13">
        <v>0.014554034266663</v>
      </c>
      <c r="G1006" s="13">
        <v>-17.280182729448</v>
      </c>
      <c r="H1006" s="63">
        <v>6.63375252003881E-67</v>
      </c>
      <c r="I1006" s="13">
        <v>168723.0</v>
      </c>
      <c r="J1006" s="31" t="s">
        <v>1796</v>
      </c>
      <c r="K1006" s="31" t="s">
        <v>1793</v>
      </c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ht="15.75" customHeight="1">
      <c r="A1007" s="13" t="s">
        <v>1291</v>
      </c>
      <c r="B1007" s="13" t="s">
        <v>411</v>
      </c>
      <c r="C1007" s="13" t="s">
        <v>42</v>
      </c>
      <c r="D1007" s="13" t="s">
        <v>1474</v>
      </c>
      <c r="E1007" s="13">
        <v>-0.340152427633881</v>
      </c>
      <c r="F1007" s="13">
        <v>0.00911076273752167</v>
      </c>
      <c r="G1007" s="13">
        <v>-37.3352305875556</v>
      </c>
      <c r="H1007" s="63">
        <v>4.40300374566229E-305</v>
      </c>
      <c r="I1007" s="13">
        <v>2815897.0</v>
      </c>
      <c r="J1007" s="31" t="s">
        <v>1796</v>
      </c>
      <c r="K1007" s="31" t="s">
        <v>1793</v>
      </c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ht="15.75" customHeight="1">
      <c r="A1008" s="13" t="s">
        <v>1291</v>
      </c>
      <c r="B1008" s="13" t="s">
        <v>411</v>
      </c>
      <c r="C1008" s="13" t="s">
        <v>55</v>
      </c>
      <c r="D1008" s="13" t="s">
        <v>1474</v>
      </c>
      <c r="E1008" s="13">
        <v>-0.269558613218534</v>
      </c>
      <c r="F1008" s="13">
        <v>0.0095243292887598</v>
      </c>
      <c r="G1008" s="13">
        <v>-28.3021097912537</v>
      </c>
      <c r="H1008" s="63">
        <v>3.25533370541956E-176</v>
      </c>
      <c r="I1008" s="13">
        <v>2809899.0</v>
      </c>
      <c r="J1008" s="31" t="s">
        <v>1796</v>
      </c>
      <c r="K1008" s="31" t="s">
        <v>1793</v>
      </c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ht="15.75" customHeight="1">
      <c r="A1009" s="13" t="s">
        <v>1291</v>
      </c>
      <c r="B1009" s="13" t="s">
        <v>411</v>
      </c>
      <c r="C1009" s="13" t="s">
        <v>1797</v>
      </c>
      <c r="D1009" s="13" t="s">
        <v>1474</v>
      </c>
      <c r="E1009" s="13">
        <v>0.127151181955359</v>
      </c>
      <c r="F1009" s="13">
        <v>0.00863018769336592</v>
      </c>
      <c r="G1009" s="13">
        <v>14.7333043582703</v>
      </c>
      <c r="H1009" s="63">
        <v>3.93961931894745E-49</v>
      </c>
      <c r="I1009" s="13">
        <v>2816699.0</v>
      </c>
      <c r="J1009" s="31" t="s">
        <v>1796</v>
      </c>
      <c r="K1009" s="31" t="s">
        <v>1793</v>
      </c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 ht="15.75" customHeight="1">
      <c r="A1010" s="13" t="s">
        <v>1293</v>
      </c>
      <c r="B1010" s="13" t="s">
        <v>411</v>
      </c>
      <c r="C1010" s="13" t="s">
        <v>570</v>
      </c>
      <c r="D1010" s="13" t="s">
        <v>1474</v>
      </c>
      <c r="E1010" s="13">
        <v>-0.253668102904275</v>
      </c>
      <c r="F1010" s="13">
        <v>0.0145655059741358</v>
      </c>
      <c r="G1010" s="13">
        <v>-17.4156739460145</v>
      </c>
      <c r="H1010" s="63">
        <v>6.27456783540568E-68</v>
      </c>
      <c r="I1010" s="13">
        <v>168621.0</v>
      </c>
      <c r="J1010" s="31" t="s">
        <v>1796</v>
      </c>
      <c r="K1010" s="31" t="s">
        <v>1793</v>
      </c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 ht="15.75" customHeight="1">
      <c r="A1011" s="13" t="s">
        <v>1293</v>
      </c>
      <c r="B1011" s="13" t="s">
        <v>411</v>
      </c>
      <c r="C1011" s="13" t="s">
        <v>42</v>
      </c>
      <c r="D1011" s="13" t="s">
        <v>1474</v>
      </c>
      <c r="E1011" s="13">
        <v>-0.353395679675022</v>
      </c>
      <c r="F1011" s="13">
        <v>0.00946315801672303</v>
      </c>
      <c r="G1011" s="13">
        <v>-37.3443705632423</v>
      </c>
      <c r="H1011" s="63">
        <v>3.12913835141794E-305</v>
      </c>
      <c r="I1011" s="13">
        <v>2814353.0</v>
      </c>
      <c r="J1011" s="31" t="s">
        <v>1796</v>
      </c>
      <c r="K1011" s="31" t="s">
        <v>1793</v>
      </c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  <row r="1012" ht="15.75" customHeight="1">
      <c r="A1012" s="13" t="s">
        <v>1293</v>
      </c>
      <c r="B1012" s="13" t="s">
        <v>411</v>
      </c>
      <c r="C1012" s="13" t="s">
        <v>55</v>
      </c>
      <c r="D1012" s="13" t="s">
        <v>1474</v>
      </c>
      <c r="E1012" s="13">
        <v>-0.278966612233835</v>
      </c>
      <c r="F1012" s="13">
        <v>0.00973462680767236</v>
      </c>
      <c r="G1012" s="13">
        <v>-28.6571450293263</v>
      </c>
      <c r="H1012" s="63">
        <v>1.30594637580017E-180</v>
      </c>
      <c r="I1012" s="13">
        <v>2808346.0</v>
      </c>
      <c r="J1012" s="31" t="s">
        <v>1796</v>
      </c>
      <c r="K1012" s="31" t="s">
        <v>1793</v>
      </c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</row>
    <row r="1013" ht="15.75" customHeight="1">
      <c r="A1013" s="13" t="s">
        <v>1293</v>
      </c>
      <c r="B1013" s="13" t="s">
        <v>411</v>
      </c>
      <c r="C1013" s="13" t="s">
        <v>1797</v>
      </c>
      <c r="D1013" s="13" t="s">
        <v>1474</v>
      </c>
      <c r="E1013" s="13">
        <v>0.135078264619763</v>
      </c>
      <c r="F1013" s="13">
        <v>0.00892877009582682</v>
      </c>
      <c r="G1013" s="13">
        <v>15.1284290187847</v>
      </c>
      <c r="H1013" s="63">
        <v>1.05176303402439E-51</v>
      </c>
      <c r="I1013" s="13">
        <v>2815163.0</v>
      </c>
      <c r="J1013" s="31" t="s">
        <v>1796</v>
      </c>
      <c r="K1013" s="31" t="s">
        <v>1793</v>
      </c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</row>
    <row r="1014" ht="15.75" customHeight="1">
      <c r="A1014" s="13" t="s">
        <v>1295</v>
      </c>
      <c r="B1014" s="13" t="s">
        <v>411</v>
      </c>
      <c r="C1014" s="13" t="s">
        <v>570</v>
      </c>
      <c r="D1014" s="13" t="s">
        <v>1474</v>
      </c>
      <c r="E1014" s="13">
        <v>-0.242518690174226</v>
      </c>
      <c r="F1014" s="13">
        <v>0.0143378347949915</v>
      </c>
      <c r="G1014" s="13">
        <v>-16.9145964953468</v>
      </c>
      <c r="H1014" s="63">
        <v>3.51213860745587E-64</v>
      </c>
      <c r="I1014" s="13">
        <v>168670.0</v>
      </c>
      <c r="J1014" s="31" t="s">
        <v>1796</v>
      </c>
      <c r="K1014" s="31" t="s">
        <v>1793</v>
      </c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</row>
    <row r="1015" ht="15.75" customHeight="1">
      <c r="A1015" s="13" t="s">
        <v>1295</v>
      </c>
      <c r="B1015" s="13" t="s">
        <v>411</v>
      </c>
      <c r="C1015" s="13" t="s">
        <v>42</v>
      </c>
      <c r="D1015" s="13" t="s">
        <v>1474</v>
      </c>
      <c r="E1015" s="13">
        <v>-0.325882329768546</v>
      </c>
      <c r="F1015" s="13">
        <v>0.00927003454517127</v>
      </c>
      <c r="G1015" s="13">
        <v>-35.1543813758814</v>
      </c>
      <c r="H1015" s="63">
        <v>9.96368604327483E-271</v>
      </c>
      <c r="I1015" s="13">
        <v>2815759.0</v>
      </c>
      <c r="J1015" s="31" t="s">
        <v>1796</v>
      </c>
      <c r="K1015" s="31" t="s">
        <v>1793</v>
      </c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</row>
    <row r="1016" ht="15.75" customHeight="1">
      <c r="A1016" s="13" t="s">
        <v>1295</v>
      </c>
      <c r="B1016" s="13" t="s">
        <v>411</v>
      </c>
      <c r="C1016" s="13" t="s">
        <v>55</v>
      </c>
      <c r="D1016" s="13" t="s">
        <v>1474</v>
      </c>
      <c r="E1016" s="13">
        <v>-0.263493089133067</v>
      </c>
      <c r="F1016" s="13">
        <v>0.00961081719123</v>
      </c>
      <c r="G1016" s="13">
        <v>-27.416304346472</v>
      </c>
      <c r="H1016" s="63">
        <v>1.75314811197787E-165</v>
      </c>
      <c r="I1016" s="13">
        <v>2809755.0</v>
      </c>
      <c r="J1016" s="31" t="s">
        <v>1796</v>
      </c>
      <c r="K1016" s="31" t="s">
        <v>1793</v>
      </c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</row>
    <row r="1017" ht="15.75" customHeight="1">
      <c r="A1017" s="13" t="s">
        <v>1295</v>
      </c>
      <c r="B1017" s="13" t="s">
        <v>411</v>
      </c>
      <c r="C1017" s="13" t="s">
        <v>1797</v>
      </c>
      <c r="D1017" s="13" t="s">
        <v>1474</v>
      </c>
      <c r="E1017" s="13">
        <v>0.106236682976355</v>
      </c>
      <c r="F1017" s="13">
        <v>0.00804433923364925</v>
      </c>
      <c r="G1017" s="13">
        <v>13.2063902193445</v>
      </c>
      <c r="H1017" s="63">
        <v>8.05978216727764E-40</v>
      </c>
      <c r="I1017" s="13">
        <v>2816561.0</v>
      </c>
      <c r="J1017" s="31" t="s">
        <v>1796</v>
      </c>
      <c r="K1017" s="31" t="s">
        <v>1793</v>
      </c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</row>
    <row r="1018" ht="15.75" customHeight="1">
      <c r="A1018" s="13" t="s">
        <v>1297</v>
      </c>
      <c r="B1018" s="13" t="s">
        <v>411</v>
      </c>
      <c r="C1018" s="13" t="s">
        <v>570</v>
      </c>
      <c r="D1018" s="13" t="s">
        <v>1474</v>
      </c>
      <c r="E1018" s="13">
        <v>-0.299080728540143</v>
      </c>
      <c r="F1018" s="13">
        <v>0.0146174046523454</v>
      </c>
      <c r="G1018" s="13">
        <v>-20.4605903478326</v>
      </c>
      <c r="H1018" s="63">
        <v>4.83493835559961E-93</v>
      </c>
      <c r="I1018" s="13">
        <v>168622.0</v>
      </c>
      <c r="J1018" s="31" t="s">
        <v>1796</v>
      </c>
      <c r="K1018" s="31" t="s">
        <v>1793</v>
      </c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</row>
    <row r="1019" ht="15.75" customHeight="1">
      <c r="A1019" s="13" t="s">
        <v>1297</v>
      </c>
      <c r="B1019" s="13" t="s">
        <v>411</v>
      </c>
      <c r="C1019" s="13" t="s">
        <v>42</v>
      </c>
      <c r="D1019" s="13" t="s">
        <v>1474</v>
      </c>
      <c r="E1019" s="13">
        <v>-0.371741929244717</v>
      </c>
      <c r="F1019" s="13">
        <v>0.00916132191179779</v>
      </c>
      <c r="G1019" s="13">
        <v>-40.5773241922647</v>
      </c>
      <c r="H1019" s="13">
        <v>0.0</v>
      </c>
      <c r="I1019" s="13">
        <v>2814433.0</v>
      </c>
      <c r="J1019" s="31" t="s">
        <v>1796</v>
      </c>
      <c r="K1019" s="31" t="s">
        <v>1793</v>
      </c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</row>
    <row r="1020" ht="15.75" customHeight="1">
      <c r="A1020" s="13" t="s">
        <v>1297</v>
      </c>
      <c r="B1020" s="13" t="s">
        <v>411</v>
      </c>
      <c r="C1020" s="13" t="s">
        <v>55</v>
      </c>
      <c r="D1020" s="13" t="s">
        <v>1474</v>
      </c>
      <c r="E1020" s="13">
        <v>-0.305526648528282</v>
      </c>
      <c r="F1020" s="13">
        <v>0.00924572999256248</v>
      </c>
      <c r="G1020" s="13">
        <v>-33.0451623369983</v>
      </c>
      <c r="H1020" s="63">
        <v>1.82554774072133E-239</v>
      </c>
      <c r="I1020" s="13">
        <v>2808424.0</v>
      </c>
      <c r="J1020" s="31" t="s">
        <v>1796</v>
      </c>
      <c r="K1020" s="31" t="s">
        <v>1793</v>
      </c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</row>
    <row r="1021" ht="15.75" customHeight="1">
      <c r="A1021" s="13" t="s">
        <v>1297</v>
      </c>
      <c r="B1021" s="13" t="s">
        <v>411</v>
      </c>
      <c r="C1021" s="13" t="s">
        <v>1797</v>
      </c>
      <c r="D1021" s="13" t="s">
        <v>1474</v>
      </c>
      <c r="E1021" s="13">
        <v>0.13191279549738</v>
      </c>
      <c r="F1021" s="13">
        <v>0.00786570373696221</v>
      </c>
      <c r="G1021" s="13">
        <v>16.7706285297145</v>
      </c>
      <c r="H1021" s="63">
        <v>4.00252482692477E-63</v>
      </c>
      <c r="I1021" s="13">
        <v>2815243.0</v>
      </c>
      <c r="J1021" s="31" t="s">
        <v>1796</v>
      </c>
      <c r="K1021" s="31" t="s">
        <v>1793</v>
      </c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</row>
    <row r="1022" ht="15.75" customHeight="1">
      <c r="A1022" s="13" t="s">
        <v>1299</v>
      </c>
      <c r="B1022" s="13" t="s">
        <v>411</v>
      </c>
      <c r="C1022" s="13" t="s">
        <v>570</v>
      </c>
      <c r="D1022" s="13" t="s">
        <v>1474</v>
      </c>
      <c r="E1022" s="13">
        <v>-0.280730679076804</v>
      </c>
      <c r="F1022" s="13">
        <v>0.0148450832958672</v>
      </c>
      <c r="G1022" s="13">
        <v>-18.9106839942729</v>
      </c>
      <c r="H1022" s="63">
        <v>9.31408192886553E-80</v>
      </c>
      <c r="I1022" s="13">
        <v>168696.0</v>
      </c>
      <c r="J1022" s="31" t="s">
        <v>1796</v>
      </c>
      <c r="K1022" s="31" t="s">
        <v>1793</v>
      </c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</row>
    <row r="1023" ht="15.75" customHeight="1">
      <c r="A1023" s="13" t="s">
        <v>1299</v>
      </c>
      <c r="B1023" s="13" t="s">
        <v>411</v>
      </c>
      <c r="C1023" s="13" t="s">
        <v>42</v>
      </c>
      <c r="D1023" s="13" t="s">
        <v>1474</v>
      </c>
      <c r="E1023" s="13">
        <v>-0.371272778055902</v>
      </c>
      <c r="F1023" s="13">
        <v>0.00940786883266247</v>
      </c>
      <c r="G1023" s="13">
        <v>-39.464068287911</v>
      </c>
      <c r="H1023" s="13">
        <v>0.0</v>
      </c>
      <c r="I1023" s="13">
        <v>2816061.0</v>
      </c>
      <c r="J1023" s="31" t="s">
        <v>1796</v>
      </c>
      <c r="K1023" s="31" t="s">
        <v>1793</v>
      </c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</row>
    <row r="1024" ht="15.75" customHeight="1">
      <c r="A1024" s="13" t="s">
        <v>1299</v>
      </c>
      <c r="B1024" s="13" t="s">
        <v>411</v>
      </c>
      <c r="C1024" s="13" t="s">
        <v>55</v>
      </c>
      <c r="D1024" s="13" t="s">
        <v>1474</v>
      </c>
      <c r="E1024" s="13">
        <v>-0.300777309757993</v>
      </c>
      <c r="F1024" s="13">
        <v>0.00986220314649623</v>
      </c>
      <c r="G1024" s="13">
        <v>-30.4979835935392</v>
      </c>
      <c r="H1024" s="63">
        <v>2.77134611712195E-204</v>
      </c>
      <c r="I1024" s="13">
        <v>2810046.0</v>
      </c>
      <c r="J1024" s="31" t="s">
        <v>1796</v>
      </c>
      <c r="K1024" s="31" t="s">
        <v>1793</v>
      </c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</row>
    <row r="1025" ht="15.75" customHeight="1">
      <c r="A1025" s="13" t="s">
        <v>1299</v>
      </c>
      <c r="B1025" s="13" t="s">
        <v>411</v>
      </c>
      <c r="C1025" s="13" t="s">
        <v>1797</v>
      </c>
      <c r="D1025" s="13" t="s">
        <v>1474</v>
      </c>
      <c r="E1025" s="13">
        <v>0.138604601538191</v>
      </c>
      <c r="F1025" s="13">
        <v>0.00808520999683094</v>
      </c>
      <c r="G1025" s="13">
        <v>17.1429810224494</v>
      </c>
      <c r="H1025" s="63">
        <v>7.09196561856754E-66</v>
      </c>
      <c r="I1025" s="13">
        <v>2816863.0</v>
      </c>
      <c r="J1025" s="31" t="s">
        <v>1796</v>
      </c>
      <c r="K1025" s="31" t="s">
        <v>1793</v>
      </c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</row>
    <row r="1026" ht="15.75" customHeight="1">
      <c r="A1026" s="13" t="s">
        <v>1300</v>
      </c>
      <c r="B1026" s="13" t="s">
        <v>411</v>
      </c>
      <c r="C1026" s="13" t="s">
        <v>570</v>
      </c>
      <c r="D1026" s="13" t="s">
        <v>1474</v>
      </c>
      <c r="E1026" s="13">
        <v>-0.235428704896923</v>
      </c>
      <c r="F1026" s="13">
        <v>0.0147803401402274</v>
      </c>
      <c r="G1026" s="13">
        <v>-15.9285038546683</v>
      </c>
      <c r="H1026" s="63">
        <v>4.01857728456394E-57</v>
      </c>
      <c r="I1026" s="13">
        <v>168697.0</v>
      </c>
      <c r="J1026" s="31" t="s">
        <v>1796</v>
      </c>
      <c r="K1026" s="31" t="s">
        <v>1793</v>
      </c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</row>
    <row r="1027" ht="15.75" customHeight="1">
      <c r="A1027" s="13" t="s">
        <v>1300</v>
      </c>
      <c r="B1027" s="13" t="s">
        <v>411</v>
      </c>
      <c r="C1027" s="13" t="s">
        <v>42</v>
      </c>
      <c r="D1027" s="13" t="s">
        <v>1474</v>
      </c>
      <c r="E1027" s="13">
        <v>-0.336850886348132</v>
      </c>
      <c r="F1027" s="13">
        <v>0.00908500717097904</v>
      </c>
      <c r="G1027" s="13">
        <v>-37.0776687358224</v>
      </c>
      <c r="H1027" s="63">
        <v>6.43544662540306E-301</v>
      </c>
      <c r="I1027" s="13">
        <v>2816287.0</v>
      </c>
      <c r="J1027" s="31" t="s">
        <v>1796</v>
      </c>
      <c r="K1027" s="31" t="s">
        <v>1793</v>
      </c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</row>
    <row r="1028" ht="15.75" customHeight="1">
      <c r="A1028" s="13" t="s">
        <v>1300</v>
      </c>
      <c r="B1028" s="13" t="s">
        <v>411</v>
      </c>
      <c r="C1028" s="13" t="s">
        <v>55</v>
      </c>
      <c r="D1028" s="13" t="s">
        <v>1474</v>
      </c>
      <c r="E1028" s="13">
        <v>-0.271266141141903</v>
      </c>
      <c r="F1028" s="13">
        <v>0.00958617946795855</v>
      </c>
      <c r="G1028" s="13">
        <v>-28.2976280642982</v>
      </c>
      <c r="H1028" s="63">
        <v>3.69612527994888E-176</v>
      </c>
      <c r="I1028" s="13">
        <v>2810277.0</v>
      </c>
      <c r="J1028" s="31" t="s">
        <v>1796</v>
      </c>
      <c r="K1028" s="31" t="s">
        <v>1793</v>
      </c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</row>
    <row r="1029" ht="15.75" customHeight="1">
      <c r="A1029" s="13" t="s">
        <v>1300</v>
      </c>
      <c r="B1029" s="13" t="s">
        <v>411</v>
      </c>
      <c r="C1029" s="13" t="s">
        <v>1797</v>
      </c>
      <c r="D1029" s="13" t="s">
        <v>1474</v>
      </c>
      <c r="E1029" s="13">
        <v>0.116841558644755</v>
      </c>
      <c r="F1029" s="13">
        <v>0.00833369098084958</v>
      </c>
      <c r="G1029" s="13">
        <v>14.0203853146524</v>
      </c>
      <c r="H1029" s="63">
        <v>1.16977813894847E-44</v>
      </c>
      <c r="I1029" s="13">
        <v>2817096.0</v>
      </c>
      <c r="J1029" s="31" t="s">
        <v>1796</v>
      </c>
      <c r="K1029" s="31" t="s">
        <v>1793</v>
      </c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</row>
    <row r="1030" ht="15.75" customHeight="1">
      <c r="A1030" s="13" t="s">
        <v>1301</v>
      </c>
      <c r="B1030" s="13" t="s">
        <v>411</v>
      </c>
      <c r="C1030" s="13" t="s">
        <v>570</v>
      </c>
      <c r="D1030" s="13" t="s">
        <v>1474</v>
      </c>
      <c r="E1030" s="13">
        <v>-0.244050617435526</v>
      </c>
      <c r="F1030" s="13">
        <v>0.0148119319862738</v>
      </c>
      <c r="G1030" s="13">
        <v>-16.4766228782097</v>
      </c>
      <c r="H1030" s="63">
        <v>5.40192730905789E-61</v>
      </c>
      <c r="I1030" s="13">
        <v>168691.0</v>
      </c>
      <c r="J1030" s="31" t="s">
        <v>1796</v>
      </c>
      <c r="K1030" s="31" t="s">
        <v>1793</v>
      </c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</row>
    <row r="1031" ht="15.75" customHeight="1">
      <c r="A1031" s="13" t="s">
        <v>1301</v>
      </c>
      <c r="B1031" s="13" t="s">
        <v>411</v>
      </c>
      <c r="C1031" s="13" t="s">
        <v>42</v>
      </c>
      <c r="D1031" s="13" t="s">
        <v>1474</v>
      </c>
      <c r="E1031" s="13">
        <v>-0.336389811802672</v>
      </c>
      <c r="F1031" s="13">
        <v>0.00936260797577832</v>
      </c>
      <c r="G1031" s="13">
        <v>-35.9290715442678</v>
      </c>
      <c r="H1031" s="63">
        <v>1.07443391812937E-282</v>
      </c>
      <c r="I1031" s="13">
        <v>2816030.0</v>
      </c>
      <c r="J1031" s="31" t="s">
        <v>1796</v>
      </c>
      <c r="K1031" s="31" t="s">
        <v>1793</v>
      </c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</row>
    <row r="1032" ht="15.75" customHeight="1">
      <c r="A1032" s="13" t="s">
        <v>1301</v>
      </c>
      <c r="B1032" s="13" t="s">
        <v>411</v>
      </c>
      <c r="C1032" s="13" t="s">
        <v>55</v>
      </c>
      <c r="D1032" s="13" t="s">
        <v>1474</v>
      </c>
      <c r="E1032" s="13">
        <v>-0.261016511020293</v>
      </c>
      <c r="F1032" s="13">
        <v>0.00987419487982378</v>
      </c>
      <c r="G1032" s="13">
        <v>-26.4342069603705</v>
      </c>
      <c r="H1032" s="63">
        <v>5.54324051159857E-154</v>
      </c>
      <c r="I1032" s="13">
        <v>2810014.0</v>
      </c>
      <c r="J1032" s="31" t="s">
        <v>1796</v>
      </c>
      <c r="K1032" s="31" t="s">
        <v>1793</v>
      </c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</row>
    <row r="1033" ht="15.75" customHeight="1">
      <c r="A1033" s="13" t="s">
        <v>1301</v>
      </c>
      <c r="B1033" s="13" t="s">
        <v>411</v>
      </c>
      <c r="C1033" s="13" t="s">
        <v>1797</v>
      </c>
      <c r="D1033" s="13" t="s">
        <v>1474</v>
      </c>
      <c r="E1033" s="13">
        <v>0.130636759150679</v>
      </c>
      <c r="F1033" s="13">
        <v>0.0090288281587527</v>
      </c>
      <c r="G1033" s="13">
        <v>14.4688498721772</v>
      </c>
      <c r="H1033" s="63">
        <v>1.9063313793201E-47</v>
      </c>
      <c r="I1033" s="13">
        <v>2816835.0</v>
      </c>
      <c r="J1033" s="31" t="s">
        <v>1796</v>
      </c>
      <c r="K1033" s="31" t="s">
        <v>1793</v>
      </c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</row>
    <row r="1034" ht="15.75" customHeight="1">
      <c r="A1034" s="13" t="s">
        <v>1302</v>
      </c>
      <c r="B1034" s="13" t="s">
        <v>411</v>
      </c>
      <c r="C1034" s="13" t="s">
        <v>570</v>
      </c>
      <c r="D1034" s="13" t="s">
        <v>1474</v>
      </c>
      <c r="E1034" s="13">
        <v>-0.773708638841552</v>
      </c>
      <c r="F1034" s="13">
        <v>0.00500555666017246</v>
      </c>
      <c r="G1034" s="13">
        <v>-154.569949232158</v>
      </c>
      <c r="H1034" s="13">
        <v>0.0</v>
      </c>
      <c r="I1034" s="13">
        <v>153939.0</v>
      </c>
      <c r="J1034" s="31" t="s">
        <v>1796</v>
      </c>
      <c r="K1034" s="31" t="s">
        <v>1793</v>
      </c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</row>
    <row r="1035" ht="15.75" customHeight="1">
      <c r="A1035" s="13" t="s">
        <v>1302</v>
      </c>
      <c r="B1035" s="13" t="s">
        <v>411</v>
      </c>
      <c r="C1035" s="13" t="s">
        <v>42</v>
      </c>
      <c r="D1035" s="13" t="s">
        <v>1474</v>
      </c>
      <c r="E1035" s="13">
        <v>-0.785498022290152</v>
      </c>
      <c r="F1035" s="13">
        <v>0.00244930908670779</v>
      </c>
      <c r="G1035" s="13">
        <v>-320.701877338791</v>
      </c>
      <c r="H1035" s="13">
        <v>0.0</v>
      </c>
      <c r="I1035" s="13">
        <v>2534330.0</v>
      </c>
      <c r="J1035" s="31" t="s">
        <v>1796</v>
      </c>
      <c r="K1035" s="31" t="s">
        <v>1793</v>
      </c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</row>
    <row r="1036" ht="15.75" customHeight="1">
      <c r="A1036" s="13" t="s">
        <v>1302</v>
      </c>
      <c r="B1036" s="13" t="s">
        <v>411</v>
      </c>
      <c r="C1036" s="13" t="s">
        <v>55</v>
      </c>
      <c r="D1036" s="13" t="s">
        <v>1474</v>
      </c>
      <c r="E1036" s="13">
        <v>-0.691240354059271</v>
      </c>
      <c r="F1036" s="13">
        <v>0.00314819430188138</v>
      </c>
      <c r="G1036" s="13">
        <v>-219.567246420013</v>
      </c>
      <c r="H1036" s="13">
        <v>0.0</v>
      </c>
      <c r="I1036" s="13">
        <v>2529203.0</v>
      </c>
      <c r="J1036" s="31" t="s">
        <v>1796</v>
      </c>
      <c r="K1036" s="31" t="s">
        <v>1793</v>
      </c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</row>
    <row r="1037" ht="15.75" customHeight="1">
      <c r="A1037" s="13" t="s">
        <v>1302</v>
      </c>
      <c r="B1037" s="13" t="s">
        <v>411</v>
      </c>
      <c r="C1037" s="13" t="s">
        <v>1797</v>
      </c>
      <c r="D1037" s="13" t="s">
        <v>1474</v>
      </c>
      <c r="E1037" s="13">
        <v>0.282067715363296</v>
      </c>
      <c r="F1037" s="13">
        <v>0.00634499390819341</v>
      </c>
      <c r="G1037" s="13">
        <v>44.4551593657255</v>
      </c>
      <c r="H1037" s="13">
        <v>0.0</v>
      </c>
      <c r="I1037" s="13">
        <v>2535088.0</v>
      </c>
      <c r="J1037" s="31" t="s">
        <v>1796</v>
      </c>
      <c r="K1037" s="31" t="s">
        <v>1793</v>
      </c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</row>
    <row r="1038" ht="15.75" customHeight="1">
      <c r="A1038" s="13" t="s">
        <v>1306</v>
      </c>
      <c r="B1038" s="13" t="s">
        <v>411</v>
      </c>
      <c r="C1038" s="13" t="s">
        <v>570</v>
      </c>
      <c r="D1038" s="13" t="s">
        <v>1474</v>
      </c>
      <c r="E1038" s="13">
        <v>-0.77080223804437</v>
      </c>
      <c r="F1038" s="13">
        <v>0.00517142516701794</v>
      </c>
      <c r="G1038" s="13">
        <v>-149.050254649405</v>
      </c>
      <c r="H1038" s="13">
        <v>0.0</v>
      </c>
      <c r="I1038" s="13">
        <v>151879.0</v>
      </c>
      <c r="J1038" s="31" t="s">
        <v>1796</v>
      </c>
      <c r="K1038" s="31" t="s">
        <v>1793</v>
      </c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</row>
    <row r="1039" ht="15.75" customHeight="1">
      <c r="A1039" s="13" t="s">
        <v>1306</v>
      </c>
      <c r="B1039" s="13" t="s">
        <v>411</v>
      </c>
      <c r="C1039" s="13" t="s">
        <v>42</v>
      </c>
      <c r="D1039" s="13" t="s">
        <v>1474</v>
      </c>
      <c r="E1039" s="13">
        <v>-0.783194333919216</v>
      </c>
      <c r="F1039" s="13">
        <v>0.00244880682358151</v>
      </c>
      <c r="G1039" s="13">
        <v>-319.826915858454</v>
      </c>
      <c r="H1039" s="13">
        <v>0.0</v>
      </c>
      <c r="I1039" s="13">
        <v>2509338.0</v>
      </c>
      <c r="J1039" s="31" t="s">
        <v>1796</v>
      </c>
      <c r="K1039" s="31" t="s">
        <v>1793</v>
      </c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</row>
    <row r="1040" ht="15.75" customHeight="1">
      <c r="A1040" s="13" t="s">
        <v>1306</v>
      </c>
      <c r="B1040" s="13" t="s">
        <v>411</v>
      </c>
      <c r="C1040" s="13" t="s">
        <v>55</v>
      </c>
      <c r="D1040" s="13" t="s">
        <v>1474</v>
      </c>
      <c r="E1040" s="13">
        <v>-0.688896209918938</v>
      </c>
      <c r="F1040" s="13">
        <v>0.0031742500985992</v>
      </c>
      <c r="G1040" s="13">
        <v>-217.026443575743</v>
      </c>
      <c r="H1040" s="13">
        <v>0.0</v>
      </c>
      <c r="I1040" s="13">
        <v>2504189.0</v>
      </c>
      <c r="J1040" s="31" t="s">
        <v>1796</v>
      </c>
      <c r="K1040" s="31" t="s">
        <v>1793</v>
      </c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</row>
    <row r="1041" ht="15.75" customHeight="1">
      <c r="A1041" s="13" t="s">
        <v>1306</v>
      </c>
      <c r="B1041" s="13" t="s">
        <v>411</v>
      </c>
      <c r="C1041" s="13" t="s">
        <v>1797</v>
      </c>
      <c r="D1041" s="13" t="s">
        <v>1474</v>
      </c>
      <c r="E1041" s="13">
        <v>0.286414656050583</v>
      </c>
      <c r="F1041" s="13">
        <v>0.00633640786566224</v>
      </c>
      <c r="G1041" s="13">
        <v>45.2014236019589</v>
      </c>
      <c r="H1041" s="13">
        <v>0.0</v>
      </c>
      <c r="I1041" s="13">
        <v>2510119.0</v>
      </c>
      <c r="J1041" s="31" t="s">
        <v>1796</v>
      </c>
      <c r="K1041" s="31" t="s">
        <v>1793</v>
      </c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</row>
    <row r="1042" ht="15.75" customHeight="1">
      <c r="A1042" s="13" t="s">
        <v>1308</v>
      </c>
      <c r="B1042" s="13" t="s">
        <v>411</v>
      </c>
      <c r="C1042" s="13" t="s">
        <v>570</v>
      </c>
      <c r="D1042" s="13" t="s">
        <v>1474</v>
      </c>
      <c r="E1042" s="13">
        <v>-0.053162327428094</v>
      </c>
      <c r="F1042" s="13">
        <v>0.0130834320649149</v>
      </c>
      <c r="G1042" s="13">
        <v>-4.06333194259145</v>
      </c>
      <c r="H1042" s="63">
        <v>4.83771563773428E-5</v>
      </c>
      <c r="I1042" s="13">
        <v>167859.0</v>
      </c>
      <c r="J1042" s="31" t="s">
        <v>1796</v>
      </c>
      <c r="K1042" s="31" t="s">
        <v>1793</v>
      </c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</row>
    <row r="1043" ht="15.75" customHeight="1">
      <c r="A1043" s="13" t="s">
        <v>1308</v>
      </c>
      <c r="B1043" s="13" t="s">
        <v>411</v>
      </c>
      <c r="C1043" s="13" t="s">
        <v>42</v>
      </c>
      <c r="D1043" s="13" t="s">
        <v>1474</v>
      </c>
      <c r="E1043" s="13">
        <v>0.0178051356657132</v>
      </c>
      <c r="F1043" s="13">
        <v>0.00477437915076456</v>
      </c>
      <c r="G1043" s="13">
        <v>3.72930911087401</v>
      </c>
      <c r="H1043" s="63">
        <v>1.92005497496571E-4</v>
      </c>
      <c r="I1043" s="13">
        <v>2798897.0</v>
      </c>
      <c r="J1043" s="31" t="s">
        <v>1796</v>
      </c>
      <c r="K1043" s="31" t="s">
        <v>1793</v>
      </c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</row>
    <row r="1044" ht="15.75" customHeight="1">
      <c r="A1044" s="13" t="s">
        <v>1308</v>
      </c>
      <c r="B1044" s="13" t="s">
        <v>411</v>
      </c>
      <c r="C1044" s="13" t="s">
        <v>55</v>
      </c>
      <c r="D1044" s="13" t="s">
        <v>1474</v>
      </c>
      <c r="E1044" s="13">
        <v>-0.0504780288489641</v>
      </c>
      <c r="F1044" s="13">
        <v>0.00523017495152484</v>
      </c>
      <c r="G1044" s="13">
        <v>-9.65130790400182</v>
      </c>
      <c r="H1044" s="63">
        <v>4.85327353754707E-22</v>
      </c>
      <c r="I1044" s="13">
        <v>2793157.0</v>
      </c>
      <c r="J1044" s="31" t="s">
        <v>1796</v>
      </c>
      <c r="K1044" s="31" t="s">
        <v>1793</v>
      </c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</row>
    <row r="1045" ht="15.75" customHeight="1">
      <c r="A1045" s="13" t="s">
        <v>1308</v>
      </c>
      <c r="B1045" s="13" t="s">
        <v>411</v>
      </c>
      <c r="C1045" s="13" t="s">
        <v>1797</v>
      </c>
      <c r="D1045" s="13" t="s">
        <v>1474</v>
      </c>
      <c r="E1045" s="13">
        <v>-0.0406147523290233</v>
      </c>
      <c r="F1045" s="13">
        <v>0.00468410788085958</v>
      </c>
      <c r="G1045" s="13">
        <v>-8.67075510685508</v>
      </c>
      <c r="H1045" s="63">
        <v>4.29264056439029E-18</v>
      </c>
      <c r="I1045" s="13">
        <v>2799577.0</v>
      </c>
      <c r="J1045" s="31" t="s">
        <v>1796</v>
      </c>
      <c r="K1045" s="31" t="s">
        <v>1793</v>
      </c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</row>
    <row r="1046" ht="15.75" customHeight="1">
      <c r="A1046" s="13" t="s">
        <v>1311</v>
      </c>
      <c r="B1046" s="13" t="s">
        <v>411</v>
      </c>
      <c r="C1046" s="13" t="s">
        <v>570</v>
      </c>
      <c r="D1046" s="13" t="s">
        <v>1474</v>
      </c>
      <c r="E1046" s="13">
        <v>-0.051525776485374</v>
      </c>
      <c r="F1046" s="13">
        <v>0.0128243756281419</v>
      </c>
      <c r="G1046" s="13">
        <v>-4.01780000675474</v>
      </c>
      <c r="H1046" s="63">
        <v>5.87440207474836E-5</v>
      </c>
      <c r="I1046" s="13">
        <v>167640.0</v>
      </c>
      <c r="J1046" s="31" t="s">
        <v>1796</v>
      </c>
      <c r="K1046" s="31" t="s">
        <v>1793</v>
      </c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</row>
    <row r="1047" ht="15.75" customHeight="1">
      <c r="A1047" s="13" t="s">
        <v>1311</v>
      </c>
      <c r="B1047" s="13" t="s">
        <v>411</v>
      </c>
      <c r="C1047" s="13" t="s">
        <v>42</v>
      </c>
      <c r="D1047" s="13" t="s">
        <v>1474</v>
      </c>
      <c r="E1047" s="13">
        <v>0.0240964951291145</v>
      </c>
      <c r="F1047" s="13">
        <v>0.0047909773352106</v>
      </c>
      <c r="G1047" s="13">
        <v>5.02955732059527</v>
      </c>
      <c r="H1047" s="63">
        <v>4.91613520979611E-7</v>
      </c>
      <c r="I1047" s="13">
        <v>2794351.0</v>
      </c>
      <c r="J1047" s="31" t="s">
        <v>1796</v>
      </c>
      <c r="K1047" s="31" t="s">
        <v>1793</v>
      </c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</row>
    <row r="1048" ht="15.75" customHeight="1">
      <c r="A1048" s="13" t="s">
        <v>1311</v>
      </c>
      <c r="B1048" s="13" t="s">
        <v>411</v>
      </c>
      <c r="C1048" s="13" t="s">
        <v>55</v>
      </c>
      <c r="D1048" s="13" t="s">
        <v>1474</v>
      </c>
      <c r="E1048" s="13">
        <v>-0.0410755984054077</v>
      </c>
      <c r="F1048" s="13">
        <v>0.00524239234959523</v>
      </c>
      <c r="G1048" s="13">
        <v>-7.83527742035163</v>
      </c>
      <c r="H1048" s="63">
        <v>4.67808662746446E-15</v>
      </c>
      <c r="I1048" s="13">
        <v>2788657.0</v>
      </c>
      <c r="J1048" s="31" t="s">
        <v>1796</v>
      </c>
      <c r="K1048" s="31" t="s">
        <v>1793</v>
      </c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</row>
    <row r="1049" ht="15.75" customHeight="1">
      <c r="A1049" s="13" t="s">
        <v>1311</v>
      </c>
      <c r="B1049" s="13" t="s">
        <v>411</v>
      </c>
      <c r="C1049" s="13" t="s">
        <v>1797</v>
      </c>
      <c r="D1049" s="13" t="s">
        <v>1474</v>
      </c>
      <c r="E1049" s="13">
        <v>-0.0243566561461616</v>
      </c>
      <c r="F1049" s="13">
        <v>0.00546600944535605</v>
      </c>
      <c r="G1049" s="13">
        <v>-4.45602159850915</v>
      </c>
      <c r="H1049" s="63">
        <v>8.3494623837582E-6</v>
      </c>
      <c r="I1049" s="13">
        <v>2795051.0</v>
      </c>
      <c r="J1049" s="31" t="s">
        <v>1796</v>
      </c>
      <c r="K1049" s="31" t="s">
        <v>1793</v>
      </c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</row>
    <row r="1050" ht="15.75" customHeight="1">
      <c r="A1050" s="13" t="s">
        <v>1313</v>
      </c>
      <c r="B1050" s="13" t="s">
        <v>411</v>
      </c>
      <c r="C1050" s="13" t="s">
        <v>570</v>
      </c>
      <c r="D1050" s="13" t="s">
        <v>1474</v>
      </c>
      <c r="E1050" s="13">
        <v>-0.0390953199653834</v>
      </c>
      <c r="F1050" s="13">
        <v>0.0126986222267397</v>
      </c>
      <c r="G1050" s="13">
        <v>-3.07870564753549</v>
      </c>
      <c r="H1050" s="13">
        <v>0.00207901985252772</v>
      </c>
      <c r="I1050" s="13">
        <v>167382.0</v>
      </c>
      <c r="J1050" s="31" t="s">
        <v>1796</v>
      </c>
      <c r="K1050" s="31" t="s">
        <v>1793</v>
      </c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</row>
    <row r="1051" ht="15.75" customHeight="1">
      <c r="A1051" s="13" t="s">
        <v>1313</v>
      </c>
      <c r="B1051" s="13" t="s">
        <v>411</v>
      </c>
      <c r="C1051" s="13" t="s">
        <v>42</v>
      </c>
      <c r="D1051" s="13" t="s">
        <v>1474</v>
      </c>
      <c r="E1051" s="13">
        <v>0.011869740503683</v>
      </c>
      <c r="F1051" s="13">
        <v>0.00460495106407088</v>
      </c>
      <c r="G1051" s="13">
        <v>2.57760404801998</v>
      </c>
      <c r="H1051" s="13">
        <v>0.00994879246416827</v>
      </c>
      <c r="I1051" s="13">
        <v>2790512.0</v>
      </c>
      <c r="J1051" s="31" t="s">
        <v>1796</v>
      </c>
      <c r="K1051" s="31" t="s">
        <v>1793</v>
      </c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</row>
    <row r="1052" ht="15.75" customHeight="1">
      <c r="A1052" s="13" t="s">
        <v>1313</v>
      </c>
      <c r="B1052" s="13" t="s">
        <v>411</v>
      </c>
      <c r="C1052" s="13" t="s">
        <v>55</v>
      </c>
      <c r="D1052" s="13" t="s">
        <v>1474</v>
      </c>
      <c r="E1052" s="13">
        <v>-0.0410466487034156</v>
      </c>
      <c r="F1052" s="13">
        <v>0.00532351303911237</v>
      </c>
      <c r="G1052" s="13">
        <v>-7.71044391210125</v>
      </c>
      <c r="H1052" s="63">
        <v>1.25380848576045E-14</v>
      </c>
      <c r="I1052" s="13">
        <v>2784868.0</v>
      </c>
      <c r="J1052" s="31" t="s">
        <v>1796</v>
      </c>
      <c r="K1052" s="31" t="s">
        <v>1793</v>
      </c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</row>
    <row r="1053" ht="15.75" customHeight="1">
      <c r="A1053" s="13" t="s">
        <v>1313</v>
      </c>
      <c r="B1053" s="13" t="s">
        <v>411</v>
      </c>
      <c r="C1053" s="13" t="s">
        <v>1797</v>
      </c>
      <c r="D1053" s="13" t="s">
        <v>1474</v>
      </c>
      <c r="E1053" s="13">
        <v>-0.0310887656954231</v>
      </c>
      <c r="F1053" s="13">
        <v>0.00479578500606138</v>
      </c>
      <c r="G1053" s="13">
        <v>-6.48251864004124</v>
      </c>
      <c r="H1053" s="63">
        <v>9.02039357877349E-11</v>
      </c>
      <c r="I1053" s="13">
        <v>2791212.0</v>
      </c>
      <c r="J1053" s="31" t="s">
        <v>1796</v>
      </c>
      <c r="K1053" s="31" t="s">
        <v>1793</v>
      </c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</row>
    <row r="1054" ht="15.75" customHeight="1">
      <c r="A1054" s="13" t="s">
        <v>1315</v>
      </c>
      <c r="B1054" s="13" t="s">
        <v>411</v>
      </c>
      <c r="C1054" s="13" t="s">
        <v>570</v>
      </c>
      <c r="D1054" s="13" t="s">
        <v>1474</v>
      </c>
      <c r="E1054" s="13">
        <v>-0.058724571129087</v>
      </c>
      <c r="F1054" s="13">
        <v>0.0129780959624012</v>
      </c>
      <c r="G1054" s="13">
        <v>-4.52489882176997</v>
      </c>
      <c r="H1054" s="63">
        <v>6.04244059183819E-6</v>
      </c>
      <c r="I1054" s="13">
        <v>167488.0</v>
      </c>
      <c r="J1054" s="31" t="s">
        <v>1796</v>
      </c>
      <c r="K1054" s="31" t="s">
        <v>1793</v>
      </c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</row>
    <row r="1055" ht="15.75" customHeight="1">
      <c r="A1055" s="13" t="s">
        <v>1315</v>
      </c>
      <c r="B1055" s="13" t="s">
        <v>411</v>
      </c>
      <c r="C1055" s="13" t="s">
        <v>42</v>
      </c>
      <c r="D1055" s="13" t="s">
        <v>1474</v>
      </c>
      <c r="E1055" s="13">
        <v>0.0200746052253304</v>
      </c>
      <c r="F1055" s="13">
        <v>0.00470959404961292</v>
      </c>
      <c r="G1055" s="13">
        <v>4.26249163173211</v>
      </c>
      <c r="H1055" s="63">
        <v>2.02160071557145E-5</v>
      </c>
      <c r="I1055" s="13">
        <v>2791096.0</v>
      </c>
      <c r="J1055" s="31" t="s">
        <v>1796</v>
      </c>
      <c r="K1055" s="31" t="s">
        <v>1793</v>
      </c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</row>
    <row r="1056" ht="15.75" customHeight="1">
      <c r="A1056" s="13" t="s">
        <v>1315</v>
      </c>
      <c r="B1056" s="13" t="s">
        <v>411</v>
      </c>
      <c r="C1056" s="13" t="s">
        <v>55</v>
      </c>
      <c r="D1056" s="13" t="s">
        <v>1474</v>
      </c>
      <c r="E1056" s="13">
        <v>-0.0452089911430974</v>
      </c>
      <c r="F1056" s="13">
        <v>0.00535045517370375</v>
      </c>
      <c r="G1056" s="13">
        <v>-8.44955983657037</v>
      </c>
      <c r="H1056" s="63">
        <v>2.92403109655615E-17</v>
      </c>
      <c r="I1056" s="13">
        <v>2785412.0</v>
      </c>
      <c r="J1056" s="31" t="s">
        <v>1796</v>
      </c>
      <c r="K1056" s="31" t="s">
        <v>1793</v>
      </c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</row>
    <row r="1057" ht="15.75" customHeight="1">
      <c r="A1057" s="13" t="s">
        <v>1315</v>
      </c>
      <c r="B1057" s="13" t="s">
        <v>411</v>
      </c>
      <c r="C1057" s="13" t="s">
        <v>1797</v>
      </c>
      <c r="D1057" s="13" t="s">
        <v>1474</v>
      </c>
      <c r="E1057" s="13">
        <v>-0.0365529952669241</v>
      </c>
      <c r="F1057" s="13">
        <v>0.00490756463581224</v>
      </c>
      <c r="G1057" s="13">
        <v>-7.44829624864926</v>
      </c>
      <c r="H1057" s="63">
        <v>9.4553314663384E-14</v>
      </c>
      <c r="I1057" s="13">
        <v>2791774.0</v>
      </c>
      <c r="J1057" s="31" t="s">
        <v>1796</v>
      </c>
      <c r="K1057" s="31" t="s">
        <v>1793</v>
      </c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</row>
    <row r="1058" ht="15.75" customHeight="1">
      <c r="A1058" s="13" t="s">
        <v>1317</v>
      </c>
      <c r="B1058" s="13" t="s">
        <v>411</v>
      </c>
      <c r="C1058" s="13" t="s">
        <v>570</v>
      </c>
      <c r="D1058" s="13" t="s">
        <v>1474</v>
      </c>
      <c r="E1058" s="13">
        <v>-0.0720448688894237</v>
      </c>
      <c r="F1058" s="13">
        <v>0.0129666171511766</v>
      </c>
      <c r="G1058" s="13">
        <v>-5.55618077170465</v>
      </c>
      <c r="H1058" s="63">
        <v>2.75741305387388E-8</v>
      </c>
      <c r="I1058" s="13">
        <v>167796.0</v>
      </c>
      <c r="J1058" s="31" t="s">
        <v>1796</v>
      </c>
      <c r="K1058" s="31" t="s">
        <v>1793</v>
      </c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</row>
    <row r="1059" ht="15.75" customHeight="1">
      <c r="A1059" s="13" t="s">
        <v>1317</v>
      </c>
      <c r="B1059" s="13" t="s">
        <v>411</v>
      </c>
      <c r="C1059" s="13" t="s">
        <v>42</v>
      </c>
      <c r="D1059" s="13" t="s">
        <v>1474</v>
      </c>
      <c r="E1059" s="13">
        <v>0.0119661942708661</v>
      </c>
      <c r="F1059" s="13">
        <v>0.00475857461378769</v>
      </c>
      <c r="G1059" s="13">
        <v>2.51465937640124</v>
      </c>
      <c r="H1059" s="13">
        <v>0.0119147436185954</v>
      </c>
      <c r="I1059" s="13">
        <v>2797315.0</v>
      </c>
      <c r="J1059" s="31" t="s">
        <v>1796</v>
      </c>
      <c r="K1059" s="31" t="s">
        <v>1793</v>
      </c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</row>
    <row r="1060" ht="15.75" customHeight="1">
      <c r="A1060" s="13" t="s">
        <v>1317</v>
      </c>
      <c r="B1060" s="13" t="s">
        <v>411</v>
      </c>
      <c r="C1060" s="13" t="s">
        <v>55</v>
      </c>
      <c r="D1060" s="13" t="s">
        <v>1474</v>
      </c>
      <c r="E1060" s="13">
        <v>-0.0438544434704382</v>
      </c>
      <c r="F1060" s="13">
        <v>0.00541498444009798</v>
      </c>
      <c r="G1060" s="13">
        <v>-8.09872012663525</v>
      </c>
      <c r="H1060" s="63">
        <v>5.5540393152773E-16</v>
      </c>
      <c r="I1060" s="13">
        <v>2791546.0</v>
      </c>
      <c r="J1060" s="31" t="s">
        <v>1796</v>
      </c>
      <c r="K1060" s="31" t="s">
        <v>1793</v>
      </c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</row>
    <row r="1061" ht="15.75" customHeight="1">
      <c r="A1061" s="13" t="s">
        <v>1317</v>
      </c>
      <c r="B1061" s="13" t="s">
        <v>411</v>
      </c>
      <c r="C1061" s="13" t="s">
        <v>1797</v>
      </c>
      <c r="D1061" s="13" t="s">
        <v>1474</v>
      </c>
      <c r="E1061" s="13">
        <v>-0.034780911146682</v>
      </c>
      <c r="F1061" s="13">
        <v>0.0045786140055153</v>
      </c>
      <c r="G1061" s="13">
        <v>-7.59638421251182</v>
      </c>
      <c r="H1061" s="63">
        <v>3.04519518823173E-14</v>
      </c>
      <c r="I1061" s="13">
        <v>2798025.0</v>
      </c>
      <c r="J1061" s="31" t="s">
        <v>1796</v>
      </c>
      <c r="K1061" s="31" t="s">
        <v>1793</v>
      </c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</row>
    <row r="1062" ht="15.75" customHeight="1">
      <c r="A1062" s="13" t="s">
        <v>1319</v>
      </c>
      <c r="B1062" s="13" t="s">
        <v>411</v>
      </c>
      <c r="C1062" s="13" t="s">
        <v>570</v>
      </c>
      <c r="D1062" s="13" t="s">
        <v>1474</v>
      </c>
      <c r="E1062" s="13">
        <v>-0.682187255367862</v>
      </c>
      <c r="F1062" s="13">
        <v>0.00692938756157169</v>
      </c>
      <c r="G1062" s="13">
        <v>-98.4484197638284</v>
      </c>
      <c r="H1062" s="13">
        <v>0.0</v>
      </c>
      <c r="I1062" s="13">
        <v>168152.0</v>
      </c>
      <c r="J1062" s="31" t="s">
        <v>1796</v>
      </c>
      <c r="K1062" s="31" t="s">
        <v>1793</v>
      </c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</row>
    <row r="1063" ht="15.75" customHeight="1">
      <c r="A1063" s="13" t="s">
        <v>1319</v>
      </c>
      <c r="B1063" s="13" t="s">
        <v>411</v>
      </c>
      <c r="C1063" s="13" t="s">
        <v>42</v>
      </c>
      <c r="D1063" s="13" t="s">
        <v>1474</v>
      </c>
      <c r="E1063" s="13">
        <v>-0.707677493387847</v>
      </c>
      <c r="F1063" s="13">
        <v>0.00396399317365587</v>
      </c>
      <c r="G1063" s="13">
        <v>-178.526415759484</v>
      </c>
      <c r="H1063" s="13">
        <v>0.0</v>
      </c>
      <c r="I1063" s="13">
        <v>2806118.0</v>
      </c>
      <c r="J1063" s="31" t="s">
        <v>1796</v>
      </c>
      <c r="K1063" s="31" t="s">
        <v>1793</v>
      </c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</row>
    <row r="1064" ht="15.75" customHeight="1">
      <c r="A1064" s="13" t="s">
        <v>1319</v>
      </c>
      <c r="B1064" s="13" t="s">
        <v>411</v>
      </c>
      <c r="C1064" s="13" t="s">
        <v>55</v>
      </c>
      <c r="D1064" s="13" t="s">
        <v>1474</v>
      </c>
      <c r="E1064" s="13">
        <v>-0.620623153706742</v>
      </c>
      <c r="F1064" s="13">
        <v>0.00433135571855795</v>
      </c>
      <c r="G1064" s="13">
        <v>-143.286119643243</v>
      </c>
      <c r="H1064" s="13">
        <v>0.0</v>
      </c>
      <c r="I1064" s="13">
        <v>2800146.0</v>
      </c>
      <c r="J1064" s="31" t="s">
        <v>1796</v>
      </c>
      <c r="K1064" s="31" t="s">
        <v>1793</v>
      </c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</row>
    <row r="1065" ht="15.75" customHeight="1">
      <c r="A1065" s="13" t="s">
        <v>1319</v>
      </c>
      <c r="B1065" s="13" t="s">
        <v>411</v>
      </c>
      <c r="C1065" s="13" t="s">
        <v>1797</v>
      </c>
      <c r="D1065" s="13" t="s">
        <v>1474</v>
      </c>
      <c r="E1065" s="13">
        <v>0.278695821042884</v>
      </c>
      <c r="F1065" s="13">
        <v>0.00660615913046485</v>
      </c>
      <c r="G1065" s="13">
        <v>42.187270324394</v>
      </c>
      <c r="H1065" s="13">
        <v>0.0</v>
      </c>
      <c r="I1065" s="13">
        <v>2806988.0</v>
      </c>
      <c r="J1065" s="31" t="s">
        <v>1796</v>
      </c>
      <c r="K1065" s="31" t="s">
        <v>1793</v>
      </c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</row>
    <row r="1066" ht="15.75" customHeight="1">
      <c r="A1066" s="13" t="s">
        <v>1323</v>
      </c>
      <c r="B1066" s="13" t="s">
        <v>411</v>
      </c>
      <c r="C1066" s="13" t="s">
        <v>570</v>
      </c>
      <c r="D1066" s="13" t="s">
        <v>1474</v>
      </c>
      <c r="E1066" s="13">
        <v>-0.695245971191572</v>
      </c>
      <c r="F1066" s="13">
        <v>0.00687482307656532</v>
      </c>
      <c r="G1066" s="13">
        <v>-101.129289212038</v>
      </c>
      <c r="H1066" s="13">
        <v>0.0</v>
      </c>
      <c r="I1066" s="13">
        <v>168267.0</v>
      </c>
      <c r="J1066" s="31" t="s">
        <v>1796</v>
      </c>
      <c r="K1066" s="31" t="s">
        <v>1793</v>
      </c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</row>
    <row r="1067" ht="15.75" customHeight="1">
      <c r="A1067" s="13" t="s">
        <v>1323</v>
      </c>
      <c r="B1067" s="13" t="s">
        <v>411</v>
      </c>
      <c r="C1067" s="13" t="s">
        <v>42</v>
      </c>
      <c r="D1067" s="13" t="s">
        <v>1474</v>
      </c>
      <c r="E1067" s="13">
        <v>-0.709652964196775</v>
      </c>
      <c r="F1067" s="13">
        <v>0.00404639841519712</v>
      </c>
      <c r="G1067" s="13">
        <v>-175.378915119065</v>
      </c>
      <c r="H1067" s="13">
        <v>0.0</v>
      </c>
      <c r="I1067" s="13">
        <v>2808010.0</v>
      </c>
      <c r="J1067" s="31" t="s">
        <v>1796</v>
      </c>
      <c r="K1067" s="31" t="s">
        <v>1793</v>
      </c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</row>
    <row r="1068" ht="15.75" customHeight="1">
      <c r="A1068" s="13" t="s">
        <v>1323</v>
      </c>
      <c r="B1068" s="13" t="s">
        <v>411</v>
      </c>
      <c r="C1068" s="13" t="s">
        <v>55</v>
      </c>
      <c r="D1068" s="13" t="s">
        <v>1474</v>
      </c>
      <c r="E1068" s="13">
        <v>-0.625690102771766</v>
      </c>
      <c r="F1068" s="13">
        <v>0.00440459558341265</v>
      </c>
      <c r="G1068" s="13">
        <v>-142.053927749476</v>
      </c>
      <c r="H1068" s="13">
        <v>0.0</v>
      </c>
      <c r="I1068" s="13">
        <v>2802020.0</v>
      </c>
      <c r="J1068" s="31" t="s">
        <v>1796</v>
      </c>
      <c r="K1068" s="31" t="s">
        <v>1793</v>
      </c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</row>
    <row r="1069" ht="15.75" customHeight="1">
      <c r="A1069" s="13" t="s">
        <v>1323</v>
      </c>
      <c r="B1069" s="13" t="s">
        <v>411</v>
      </c>
      <c r="C1069" s="13" t="s">
        <v>1797</v>
      </c>
      <c r="D1069" s="13" t="s">
        <v>1474</v>
      </c>
      <c r="E1069" s="13">
        <v>0.276809547217208</v>
      </c>
      <c r="F1069" s="13">
        <v>0.00673601582867335</v>
      </c>
      <c r="G1069" s="13">
        <v>41.0939573566479</v>
      </c>
      <c r="H1069" s="13">
        <v>0.0</v>
      </c>
      <c r="I1069" s="13">
        <v>2808877.0</v>
      </c>
      <c r="J1069" s="31" t="s">
        <v>1796</v>
      </c>
      <c r="K1069" s="31" t="s">
        <v>1793</v>
      </c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</row>
    <row r="1070" ht="15.75" customHeight="1">
      <c r="A1070" s="13" t="s">
        <v>1325</v>
      </c>
      <c r="B1070" s="13" t="s">
        <v>411</v>
      </c>
      <c r="C1070" s="13" t="s">
        <v>570</v>
      </c>
      <c r="D1070" s="13" t="s">
        <v>1474</v>
      </c>
      <c r="E1070" s="13">
        <v>-0.68855012307393</v>
      </c>
      <c r="F1070" s="13">
        <v>0.00682358109158775</v>
      </c>
      <c r="G1070" s="13">
        <v>-100.907443442386</v>
      </c>
      <c r="H1070" s="13">
        <v>0.0</v>
      </c>
      <c r="I1070" s="13">
        <v>168164.0</v>
      </c>
      <c r="J1070" s="31" t="s">
        <v>1796</v>
      </c>
      <c r="K1070" s="31" t="s">
        <v>1793</v>
      </c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</row>
    <row r="1071" ht="15.75" customHeight="1">
      <c r="A1071" s="13" t="s">
        <v>1325</v>
      </c>
      <c r="B1071" s="13" t="s">
        <v>411</v>
      </c>
      <c r="C1071" s="13" t="s">
        <v>42</v>
      </c>
      <c r="D1071" s="13" t="s">
        <v>1474</v>
      </c>
      <c r="E1071" s="13">
        <v>-0.710645906878741</v>
      </c>
      <c r="F1071" s="13">
        <v>0.00382544894588943</v>
      </c>
      <c r="G1071" s="13">
        <v>-185.767975714942</v>
      </c>
      <c r="H1071" s="13">
        <v>0.0</v>
      </c>
      <c r="I1071" s="13">
        <v>2806681.0</v>
      </c>
      <c r="J1071" s="31" t="s">
        <v>1796</v>
      </c>
      <c r="K1071" s="31" t="s">
        <v>1793</v>
      </c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</row>
    <row r="1072" ht="15.75" customHeight="1">
      <c r="A1072" s="13" t="s">
        <v>1325</v>
      </c>
      <c r="B1072" s="13" t="s">
        <v>411</v>
      </c>
      <c r="C1072" s="13" t="s">
        <v>55</v>
      </c>
      <c r="D1072" s="13" t="s">
        <v>1474</v>
      </c>
      <c r="E1072" s="13">
        <v>-0.624182458293062</v>
      </c>
      <c r="F1072" s="13">
        <v>0.0041530323512747</v>
      </c>
      <c r="G1072" s="13">
        <v>-150.295592593079</v>
      </c>
      <c r="H1072" s="13">
        <v>0.0</v>
      </c>
      <c r="I1072" s="13">
        <v>2800707.0</v>
      </c>
      <c r="J1072" s="31" t="s">
        <v>1796</v>
      </c>
      <c r="K1072" s="31" t="s">
        <v>1793</v>
      </c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</row>
    <row r="1073" ht="15.75" customHeight="1">
      <c r="A1073" s="13" t="s">
        <v>1325</v>
      </c>
      <c r="B1073" s="13" t="s">
        <v>411</v>
      </c>
      <c r="C1073" s="13" t="s">
        <v>1797</v>
      </c>
      <c r="D1073" s="13" t="s">
        <v>1474</v>
      </c>
      <c r="E1073" s="13">
        <v>0.27368515622758</v>
      </c>
      <c r="F1073" s="13">
        <v>0.0064937940789588</v>
      </c>
      <c r="G1073" s="13">
        <v>42.1456475058818</v>
      </c>
      <c r="H1073" s="13">
        <v>0.0</v>
      </c>
      <c r="I1073" s="13">
        <v>2807550.0</v>
      </c>
      <c r="J1073" s="31" t="s">
        <v>1796</v>
      </c>
      <c r="K1073" s="31" t="s">
        <v>1793</v>
      </c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</row>
    <row r="1074" ht="15.75" customHeight="1">
      <c r="A1074" s="13" t="s">
        <v>1327</v>
      </c>
      <c r="B1074" s="13" t="s">
        <v>411</v>
      </c>
      <c r="C1074" s="13" t="s">
        <v>570</v>
      </c>
      <c r="D1074" s="13" t="s">
        <v>1474</v>
      </c>
      <c r="E1074" s="13">
        <v>-0.692007896726839</v>
      </c>
      <c r="F1074" s="13">
        <v>0.00675260734168553</v>
      </c>
      <c r="G1074" s="13">
        <v>-102.480103123263</v>
      </c>
      <c r="H1074" s="13">
        <v>0.0</v>
      </c>
      <c r="I1074" s="13">
        <v>168235.0</v>
      </c>
      <c r="J1074" s="31" t="s">
        <v>1796</v>
      </c>
      <c r="K1074" s="31" t="s">
        <v>1793</v>
      </c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</row>
    <row r="1075" ht="15.75" customHeight="1">
      <c r="A1075" s="13" t="s">
        <v>1327</v>
      </c>
      <c r="B1075" s="13" t="s">
        <v>411</v>
      </c>
      <c r="C1075" s="13" t="s">
        <v>42</v>
      </c>
      <c r="D1075" s="13" t="s">
        <v>1474</v>
      </c>
      <c r="E1075" s="13">
        <v>-0.70884265841133</v>
      </c>
      <c r="F1075" s="13">
        <v>0.00391571812299748</v>
      </c>
      <c r="G1075" s="13">
        <v>-181.024945143066</v>
      </c>
      <c r="H1075" s="13">
        <v>0.0</v>
      </c>
      <c r="I1075" s="13">
        <v>2807286.0</v>
      </c>
      <c r="J1075" s="31" t="s">
        <v>1796</v>
      </c>
      <c r="K1075" s="31" t="s">
        <v>1793</v>
      </c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</row>
    <row r="1076" ht="15.75" customHeight="1">
      <c r="A1076" s="13" t="s">
        <v>1327</v>
      </c>
      <c r="B1076" s="13" t="s">
        <v>411</v>
      </c>
      <c r="C1076" s="13" t="s">
        <v>55</v>
      </c>
      <c r="D1076" s="13" t="s">
        <v>1474</v>
      </c>
      <c r="E1076" s="13">
        <v>-0.623178461887653</v>
      </c>
      <c r="F1076" s="13">
        <v>0.00433628279188732</v>
      </c>
      <c r="G1076" s="13">
        <v>-143.712597124326</v>
      </c>
      <c r="H1076" s="13">
        <v>0.0</v>
      </c>
      <c r="I1076" s="13">
        <v>2801327.0</v>
      </c>
      <c r="J1076" s="31" t="s">
        <v>1796</v>
      </c>
      <c r="K1076" s="31" t="s">
        <v>1793</v>
      </c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</row>
    <row r="1077" ht="15.75" customHeight="1">
      <c r="A1077" s="13" t="s">
        <v>1327</v>
      </c>
      <c r="B1077" s="13" t="s">
        <v>411</v>
      </c>
      <c r="C1077" s="13" t="s">
        <v>1797</v>
      </c>
      <c r="D1077" s="13" t="s">
        <v>1474</v>
      </c>
      <c r="E1077" s="13">
        <v>0.278388977120443</v>
      </c>
      <c r="F1077" s="13">
        <v>0.00664182163336944</v>
      </c>
      <c r="G1077" s="13">
        <v>41.9145518334575</v>
      </c>
      <c r="H1077" s="13">
        <v>0.0</v>
      </c>
      <c r="I1077" s="13">
        <v>2808132.0</v>
      </c>
      <c r="J1077" s="31" t="s">
        <v>1796</v>
      </c>
      <c r="K1077" s="31" t="s">
        <v>1793</v>
      </c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</row>
    <row r="1078" ht="15.75" customHeight="1">
      <c r="A1078" s="13" t="s">
        <v>1329</v>
      </c>
      <c r="B1078" s="13" t="s">
        <v>411</v>
      </c>
      <c r="C1078" s="13" t="s">
        <v>570</v>
      </c>
      <c r="D1078" s="13" t="s">
        <v>1474</v>
      </c>
      <c r="E1078" s="13">
        <v>-0.687130092345832</v>
      </c>
      <c r="F1078" s="13">
        <v>0.00673736425834978</v>
      </c>
      <c r="G1078" s="13">
        <v>-101.98796829105</v>
      </c>
      <c r="H1078" s="13">
        <v>0.0</v>
      </c>
      <c r="I1078" s="13">
        <v>168246.0</v>
      </c>
      <c r="J1078" s="31" t="s">
        <v>1796</v>
      </c>
      <c r="K1078" s="31" t="s">
        <v>1793</v>
      </c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</row>
    <row r="1079" ht="15.75" customHeight="1">
      <c r="A1079" s="13" t="s">
        <v>1329</v>
      </c>
      <c r="B1079" s="13" t="s">
        <v>411</v>
      </c>
      <c r="C1079" s="13" t="s">
        <v>42</v>
      </c>
      <c r="D1079" s="13" t="s">
        <v>1474</v>
      </c>
      <c r="E1079" s="13">
        <v>-0.706236927869646</v>
      </c>
      <c r="F1079" s="13">
        <v>0.0038486712927329</v>
      </c>
      <c r="G1079" s="13">
        <v>-183.501492892669</v>
      </c>
      <c r="H1079" s="13">
        <v>0.0</v>
      </c>
      <c r="I1079" s="13">
        <v>2807617.0</v>
      </c>
      <c r="J1079" s="31" t="s">
        <v>1796</v>
      </c>
      <c r="K1079" s="31" t="s">
        <v>1793</v>
      </c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</row>
    <row r="1080" ht="15.75" customHeight="1">
      <c r="A1080" s="13" t="s">
        <v>1329</v>
      </c>
      <c r="B1080" s="13" t="s">
        <v>411</v>
      </c>
      <c r="C1080" s="13" t="s">
        <v>55</v>
      </c>
      <c r="D1080" s="13" t="s">
        <v>1474</v>
      </c>
      <c r="E1080" s="13">
        <v>-0.621589488838575</v>
      </c>
      <c r="F1080" s="13">
        <v>0.00425554255462173</v>
      </c>
      <c r="G1080" s="13">
        <v>-146.065861370249</v>
      </c>
      <c r="H1080" s="13">
        <v>0.0</v>
      </c>
      <c r="I1080" s="13">
        <v>2801642.0</v>
      </c>
      <c r="J1080" s="31" t="s">
        <v>1796</v>
      </c>
      <c r="K1080" s="31" t="s">
        <v>1793</v>
      </c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</row>
    <row r="1081" ht="15.75" customHeight="1">
      <c r="A1081" s="13" t="s">
        <v>1329</v>
      </c>
      <c r="B1081" s="13" t="s">
        <v>411</v>
      </c>
      <c r="C1081" s="13" t="s">
        <v>1797</v>
      </c>
      <c r="D1081" s="13" t="s">
        <v>1474</v>
      </c>
      <c r="E1081" s="13">
        <v>0.278722459930357</v>
      </c>
      <c r="F1081" s="13">
        <v>0.00669496316015475</v>
      </c>
      <c r="G1081" s="13">
        <v>41.6316644711626</v>
      </c>
      <c r="H1081" s="13">
        <v>0.0</v>
      </c>
      <c r="I1081" s="13">
        <v>2808475.0</v>
      </c>
      <c r="J1081" s="31" t="s">
        <v>1796</v>
      </c>
      <c r="K1081" s="31" t="s">
        <v>1793</v>
      </c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</row>
    <row r="1082" ht="15.75" customHeight="1">
      <c r="A1082" s="13" t="s">
        <v>1331</v>
      </c>
      <c r="B1082" s="13" t="s">
        <v>411</v>
      </c>
      <c r="C1082" s="13" t="s">
        <v>570</v>
      </c>
      <c r="D1082" s="13" t="s">
        <v>1474</v>
      </c>
      <c r="E1082" s="13">
        <v>-0.0620217647979249</v>
      </c>
      <c r="F1082" s="13">
        <v>0.0125590249084232</v>
      </c>
      <c r="G1082" s="13">
        <v>-4.93842199137031</v>
      </c>
      <c r="H1082" s="63">
        <v>7.87572711388886E-7</v>
      </c>
      <c r="I1082" s="13">
        <v>168890.0</v>
      </c>
      <c r="J1082" s="31" t="s">
        <v>1796</v>
      </c>
      <c r="K1082" s="31" t="s">
        <v>1793</v>
      </c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</row>
    <row r="1083" ht="15.75" customHeight="1">
      <c r="A1083" s="13" t="s">
        <v>1331</v>
      </c>
      <c r="B1083" s="13" t="s">
        <v>411</v>
      </c>
      <c r="C1083" s="13" t="s">
        <v>42</v>
      </c>
      <c r="D1083" s="13" t="s">
        <v>1474</v>
      </c>
      <c r="E1083" s="63">
        <v>5.36252432497965E-4</v>
      </c>
      <c r="F1083" s="13">
        <v>0.00543803652904018</v>
      </c>
      <c r="G1083" s="13">
        <v>0.0986114068256569</v>
      </c>
      <c r="H1083" s="13">
        <v>0.921446812831133</v>
      </c>
      <c r="I1083" s="13">
        <v>2819726.0</v>
      </c>
      <c r="J1083" s="31" t="s">
        <v>1796</v>
      </c>
      <c r="K1083" s="31" t="s">
        <v>1793</v>
      </c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</row>
    <row r="1084" ht="15.75" customHeight="1">
      <c r="A1084" s="13" t="s">
        <v>1331</v>
      </c>
      <c r="B1084" s="13" t="s">
        <v>411</v>
      </c>
      <c r="C1084" s="13" t="s">
        <v>55</v>
      </c>
      <c r="D1084" s="13" t="s">
        <v>1474</v>
      </c>
      <c r="E1084" s="13">
        <v>-0.0465237898893132</v>
      </c>
      <c r="F1084" s="13">
        <v>0.00553009159180694</v>
      </c>
      <c r="G1084" s="13">
        <v>-8.41284255729872</v>
      </c>
      <c r="H1084" s="63">
        <v>4.00191972875248E-17</v>
      </c>
      <c r="I1084" s="13">
        <v>2813690.0</v>
      </c>
      <c r="J1084" s="31" t="s">
        <v>1796</v>
      </c>
      <c r="K1084" s="31" t="s">
        <v>1793</v>
      </c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</row>
    <row r="1085" ht="15.75" customHeight="1">
      <c r="A1085" s="13" t="s">
        <v>1331</v>
      </c>
      <c r="B1085" s="13" t="s">
        <v>411</v>
      </c>
      <c r="C1085" s="13" t="s">
        <v>1797</v>
      </c>
      <c r="D1085" s="13" t="s">
        <v>1474</v>
      </c>
      <c r="E1085" s="13">
        <v>-0.0158875977214228</v>
      </c>
      <c r="F1085" s="13">
        <v>0.00479335844342512</v>
      </c>
      <c r="G1085" s="13">
        <v>-3.31450232836545</v>
      </c>
      <c r="H1085" s="63">
        <v>9.18064152866227E-4</v>
      </c>
      <c r="I1085" s="13">
        <v>2820530.0</v>
      </c>
      <c r="J1085" s="31" t="s">
        <v>1796</v>
      </c>
      <c r="K1085" s="31" t="s">
        <v>1793</v>
      </c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</row>
    <row r="1086" ht="15.75" customHeight="1">
      <c r="A1086" s="13" t="s">
        <v>1334</v>
      </c>
      <c r="B1086" s="13" t="s">
        <v>411</v>
      </c>
      <c r="C1086" s="13" t="s">
        <v>570</v>
      </c>
      <c r="D1086" s="13" t="s">
        <v>1474</v>
      </c>
      <c r="E1086" s="13">
        <v>-0.0332932355752503</v>
      </c>
      <c r="F1086" s="13">
        <v>0.0128985603288774</v>
      </c>
      <c r="G1086" s="13">
        <v>-2.58115903840159</v>
      </c>
      <c r="H1086" s="13">
        <v>0.00984692071224031</v>
      </c>
      <c r="I1086" s="13">
        <v>168719.0</v>
      </c>
      <c r="J1086" s="31" t="s">
        <v>1796</v>
      </c>
      <c r="K1086" s="31" t="s">
        <v>1793</v>
      </c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</row>
    <row r="1087" ht="15.75" customHeight="1">
      <c r="A1087" s="13" t="s">
        <v>1334</v>
      </c>
      <c r="B1087" s="13" t="s">
        <v>411</v>
      </c>
      <c r="C1087" s="13" t="s">
        <v>42</v>
      </c>
      <c r="D1087" s="13" t="s">
        <v>1474</v>
      </c>
      <c r="E1087" s="13">
        <v>0.0087505058822475</v>
      </c>
      <c r="F1087" s="13">
        <v>0.00542551829493752</v>
      </c>
      <c r="G1087" s="13">
        <v>1.61284238787149</v>
      </c>
      <c r="H1087" s="13">
        <v>0.106778754426621</v>
      </c>
      <c r="I1087" s="13">
        <v>2816842.0</v>
      </c>
      <c r="J1087" s="31" t="s">
        <v>1796</v>
      </c>
      <c r="K1087" s="31" t="s">
        <v>1793</v>
      </c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</row>
    <row r="1088" ht="15.75" customHeight="1">
      <c r="A1088" s="13" t="s">
        <v>1334</v>
      </c>
      <c r="B1088" s="13" t="s">
        <v>411</v>
      </c>
      <c r="C1088" s="13" t="s">
        <v>55</v>
      </c>
      <c r="D1088" s="13" t="s">
        <v>1474</v>
      </c>
      <c r="E1088" s="13">
        <v>-0.0439127999747781</v>
      </c>
      <c r="F1088" s="13">
        <v>0.00606627726722848</v>
      </c>
      <c r="G1088" s="13">
        <v>-7.23883825950485</v>
      </c>
      <c r="H1088" s="63">
        <v>4.52544317283167E-13</v>
      </c>
      <c r="I1088" s="13">
        <v>2810827.0</v>
      </c>
      <c r="J1088" s="31" t="s">
        <v>1796</v>
      </c>
      <c r="K1088" s="31" t="s">
        <v>1793</v>
      </c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</row>
    <row r="1089" ht="15.75" customHeight="1">
      <c r="A1089" s="13" t="s">
        <v>1334</v>
      </c>
      <c r="B1089" s="13" t="s">
        <v>411</v>
      </c>
      <c r="C1089" s="13" t="s">
        <v>1797</v>
      </c>
      <c r="D1089" s="13" t="s">
        <v>1474</v>
      </c>
      <c r="E1089" s="13">
        <v>-0.0243805146098082</v>
      </c>
      <c r="F1089" s="13">
        <v>0.00483767153068273</v>
      </c>
      <c r="G1089" s="13">
        <v>-5.03972095979973</v>
      </c>
      <c r="H1089" s="63">
        <v>4.6621108867044E-7</v>
      </c>
      <c r="I1089" s="13">
        <v>2817644.0</v>
      </c>
      <c r="J1089" s="31" t="s">
        <v>1796</v>
      </c>
      <c r="K1089" s="31" t="s">
        <v>1793</v>
      </c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</row>
    <row r="1090" ht="15.75" customHeight="1">
      <c r="A1090" s="13" t="s">
        <v>1337</v>
      </c>
      <c r="B1090" s="13" t="s">
        <v>411</v>
      </c>
      <c r="C1090" s="13" t="s">
        <v>570</v>
      </c>
      <c r="D1090" s="13" t="s">
        <v>1474</v>
      </c>
      <c r="E1090" s="13">
        <v>-0.0408581437506812</v>
      </c>
      <c r="F1090" s="13">
        <v>0.012863534330252</v>
      </c>
      <c r="G1090" s="13">
        <v>-3.17627665163472</v>
      </c>
      <c r="H1090" s="13">
        <v>0.00149178612359442</v>
      </c>
      <c r="I1090" s="13">
        <v>168791.0</v>
      </c>
      <c r="J1090" s="31" t="s">
        <v>1796</v>
      </c>
      <c r="K1090" s="31" t="s">
        <v>1793</v>
      </c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</row>
    <row r="1091" ht="15.75" customHeight="1">
      <c r="A1091" s="13" t="s">
        <v>1337</v>
      </c>
      <c r="B1091" s="13" t="s">
        <v>411</v>
      </c>
      <c r="C1091" s="13" t="s">
        <v>42</v>
      </c>
      <c r="D1091" s="13" t="s">
        <v>1474</v>
      </c>
      <c r="E1091" s="13">
        <v>0.0159820237744135</v>
      </c>
      <c r="F1091" s="13">
        <v>0.00436793521578279</v>
      </c>
      <c r="G1091" s="13">
        <v>3.65894249453727</v>
      </c>
      <c r="H1091" s="63">
        <v>2.53258155684124E-4</v>
      </c>
      <c r="I1091" s="13">
        <v>2818087.0</v>
      </c>
      <c r="J1091" s="31" t="s">
        <v>1796</v>
      </c>
      <c r="K1091" s="31" t="s">
        <v>1793</v>
      </c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</row>
    <row r="1092" ht="15.75" customHeight="1">
      <c r="A1092" s="13" t="s">
        <v>1337</v>
      </c>
      <c r="B1092" s="13" t="s">
        <v>411</v>
      </c>
      <c r="C1092" s="13" t="s">
        <v>55</v>
      </c>
      <c r="D1092" s="13" t="s">
        <v>1474</v>
      </c>
      <c r="E1092" s="13">
        <v>-0.0421389370268707</v>
      </c>
      <c r="F1092" s="13">
        <v>0.00512014262072697</v>
      </c>
      <c r="G1092" s="13">
        <v>-8.23003188549612</v>
      </c>
      <c r="H1092" s="63">
        <v>1.87163616188812E-16</v>
      </c>
      <c r="I1092" s="13">
        <v>2812060.0</v>
      </c>
      <c r="J1092" s="31" t="s">
        <v>1796</v>
      </c>
      <c r="K1092" s="31" t="s">
        <v>1793</v>
      </c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</row>
    <row r="1093" ht="15.75" customHeight="1">
      <c r="A1093" s="13" t="s">
        <v>1337</v>
      </c>
      <c r="B1093" s="13" t="s">
        <v>411</v>
      </c>
      <c r="C1093" s="13" t="s">
        <v>1797</v>
      </c>
      <c r="D1093" s="13" t="s">
        <v>1474</v>
      </c>
      <c r="E1093" s="13">
        <v>-0.0295005558679127</v>
      </c>
      <c r="F1093" s="13">
        <v>0.00490556563699697</v>
      </c>
      <c r="G1093" s="13">
        <v>-6.01369098915412</v>
      </c>
      <c r="H1093" s="63">
        <v>1.81346045315339E-9</v>
      </c>
      <c r="I1093" s="13">
        <v>2818892.0</v>
      </c>
      <c r="J1093" s="31" t="s">
        <v>1796</v>
      </c>
      <c r="K1093" s="31" t="s">
        <v>1793</v>
      </c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</row>
    <row r="1094" ht="15.75" customHeight="1">
      <c r="A1094" s="13" t="s">
        <v>1339</v>
      </c>
      <c r="B1094" s="13" t="s">
        <v>411</v>
      </c>
      <c r="C1094" s="13" t="s">
        <v>570</v>
      </c>
      <c r="D1094" s="13" t="s">
        <v>1474</v>
      </c>
      <c r="E1094" s="13">
        <v>-0.0697658044881801</v>
      </c>
      <c r="F1094" s="13">
        <v>0.0128493836599267</v>
      </c>
      <c r="G1094" s="13">
        <v>-5.42950590741234</v>
      </c>
      <c r="H1094" s="63">
        <v>5.65102826659742E-8</v>
      </c>
      <c r="I1094" s="13">
        <v>168393.0</v>
      </c>
      <c r="J1094" s="31" t="s">
        <v>1796</v>
      </c>
      <c r="K1094" s="31" t="s">
        <v>1793</v>
      </c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</row>
    <row r="1095" ht="15.75" customHeight="1">
      <c r="A1095" s="13" t="s">
        <v>1339</v>
      </c>
      <c r="B1095" s="13" t="s">
        <v>411</v>
      </c>
      <c r="C1095" s="13" t="s">
        <v>42</v>
      </c>
      <c r="D1095" s="13" t="s">
        <v>1474</v>
      </c>
      <c r="E1095" s="13">
        <v>0.00177034196939714</v>
      </c>
      <c r="F1095" s="13">
        <v>0.00505386213322397</v>
      </c>
      <c r="G1095" s="13">
        <v>0.350294868108679</v>
      </c>
      <c r="H1095" s="13">
        <v>0.726117416247918</v>
      </c>
      <c r="I1095" s="13">
        <v>2810571.0</v>
      </c>
      <c r="J1095" s="31" t="s">
        <v>1796</v>
      </c>
      <c r="K1095" s="31" t="s">
        <v>1793</v>
      </c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</row>
    <row r="1096" ht="15.75" customHeight="1">
      <c r="A1096" s="13" t="s">
        <v>1339</v>
      </c>
      <c r="B1096" s="13" t="s">
        <v>411</v>
      </c>
      <c r="C1096" s="13" t="s">
        <v>55</v>
      </c>
      <c r="D1096" s="13" t="s">
        <v>1474</v>
      </c>
      <c r="E1096" s="13">
        <v>-0.0478711128747573</v>
      </c>
      <c r="F1096" s="13">
        <v>0.00567816235837557</v>
      </c>
      <c r="G1096" s="13">
        <v>-8.43074041448376</v>
      </c>
      <c r="H1096" s="63">
        <v>3.43484933693137E-17</v>
      </c>
      <c r="I1096" s="13">
        <v>2804565.0</v>
      </c>
      <c r="J1096" s="31" t="s">
        <v>1796</v>
      </c>
      <c r="K1096" s="31" t="s">
        <v>1793</v>
      </c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</row>
    <row r="1097" ht="15.75" customHeight="1">
      <c r="A1097" s="13" t="s">
        <v>1339</v>
      </c>
      <c r="B1097" s="13" t="s">
        <v>411</v>
      </c>
      <c r="C1097" s="13" t="s">
        <v>1797</v>
      </c>
      <c r="D1097" s="13" t="s">
        <v>1474</v>
      </c>
      <c r="E1097" s="13">
        <v>-0.0125495368609722</v>
      </c>
      <c r="F1097" s="13">
        <v>0.00491384168073885</v>
      </c>
      <c r="G1097" s="13">
        <v>-2.5539155870983</v>
      </c>
      <c r="H1097" s="13">
        <v>0.0106519076910089</v>
      </c>
      <c r="I1097" s="13">
        <v>2811368.0</v>
      </c>
      <c r="J1097" s="31" t="s">
        <v>1796</v>
      </c>
      <c r="K1097" s="31" t="s">
        <v>1793</v>
      </c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</row>
    <row r="1098" ht="15.75" customHeight="1">
      <c r="A1098" s="13" t="s">
        <v>1342</v>
      </c>
      <c r="B1098" s="13" t="s">
        <v>411</v>
      </c>
      <c r="C1098" s="13" t="s">
        <v>570</v>
      </c>
      <c r="D1098" s="13" t="s">
        <v>1474</v>
      </c>
      <c r="E1098" s="13">
        <v>-0.0473352000406608</v>
      </c>
      <c r="F1098" s="13">
        <v>0.0129298896433322</v>
      </c>
      <c r="G1098" s="13">
        <v>-3.6609129193203</v>
      </c>
      <c r="H1098" s="63">
        <v>2.51318171797897E-4</v>
      </c>
      <c r="I1098" s="13">
        <v>167779.0</v>
      </c>
      <c r="J1098" s="31" t="s">
        <v>1796</v>
      </c>
      <c r="K1098" s="31" t="s">
        <v>1793</v>
      </c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</row>
    <row r="1099" ht="15.75" customHeight="1">
      <c r="A1099" s="13" t="s">
        <v>1342</v>
      </c>
      <c r="B1099" s="13" t="s">
        <v>411</v>
      </c>
      <c r="C1099" s="13" t="s">
        <v>42</v>
      </c>
      <c r="D1099" s="13" t="s">
        <v>1474</v>
      </c>
      <c r="E1099" s="13">
        <v>0.00837484098054031</v>
      </c>
      <c r="F1099" s="13">
        <v>0.00504497779425078</v>
      </c>
      <c r="G1099" s="13">
        <v>1.66003525131155</v>
      </c>
      <c r="H1099" s="13">
        <v>0.09690736113811</v>
      </c>
      <c r="I1099" s="13">
        <v>2798335.0</v>
      </c>
      <c r="J1099" s="31" t="s">
        <v>1796</v>
      </c>
      <c r="K1099" s="31" t="s">
        <v>1793</v>
      </c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</row>
    <row r="1100" ht="15.75" customHeight="1">
      <c r="A1100" s="13" t="s">
        <v>1342</v>
      </c>
      <c r="B1100" s="13" t="s">
        <v>411</v>
      </c>
      <c r="C1100" s="13" t="s">
        <v>55</v>
      </c>
      <c r="D1100" s="13" t="s">
        <v>1474</v>
      </c>
      <c r="E1100" s="13">
        <v>-0.0492904780337784</v>
      </c>
      <c r="F1100" s="13">
        <v>0.00554671421932914</v>
      </c>
      <c r="G1100" s="13">
        <v>-8.88642826811075</v>
      </c>
      <c r="H1100" s="63">
        <v>6.31047631693442E-19</v>
      </c>
      <c r="I1100" s="13">
        <v>2792373.0</v>
      </c>
      <c r="J1100" s="31" t="s">
        <v>1796</v>
      </c>
      <c r="K1100" s="31" t="s">
        <v>1793</v>
      </c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</row>
    <row r="1101" ht="15.75" customHeight="1">
      <c r="A1101" s="13" t="s">
        <v>1342</v>
      </c>
      <c r="B1101" s="13" t="s">
        <v>411</v>
      </c>
      <c r="C1101" s="13" t="s">
        <v>1797</v>
      </c>
      <c r="D1101" s="13" t="s">
        <v>1474</v>
      </c>
      <c r="E1101" s="13">
        <v>-0.0203592925186417</v>
      </c>
      <c r="F1101" s="13">
        <v>0.00470189988617799</v>
      </c>
      <c r="G1101" s="13">
        <v>-4.33001403932296</v>
      </c>
      <c r="H1101" s="63">
        <v>1.49099835754648E-5</v>
      </c>
      <c r="I1101" s="13">
        <v>2799125.0</v>
      </c>
      <c r="J1101" s="31" t="s">
        <v>1796</v>
      </c>
      <c r="K1101" s="31" t="s">
        <v>1793</v>
      </c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1"/>
      <c r="Z1101" s="31"/>
    </row>
    <row r="1102" ht="15.75" customHeight="1">
      <c r="A1102" s="13" t="s">
        <v>1344</v>
      </c>
      <c r="B1102" s="13" t="s">
        <v>411</v>
      </c>
      <c r="C1102" s="13" t="s">
        <v>570</v>
      </c>
      <c r="D1102" s="13" t="s">
        <v>1474</v>
      </c>
      <c r="E1102" s="13">
        <v>-0.0632428387836167</v>
      </c>
      <c r="F1102" s="13">
        <v>0.012888795659054</v>
      </c>
      <c r="G1102" s="13">
        <v>-4.9068074672431</v>
      </c>
      <c r="H1102" s="63">
        <v>9.25708229968975E-7</v>
      </c>
      <c r="I1102" s="13">
        <v>168267.0</v>
      </c>
      <c r="J1102" s="31" t="s">
        <v>1796</v>
      </c>
      <c r="K1102" s="31" t="s">
        <v>1793</v>
      </c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1"/>
      <c r="Z1102" s="31"/>
    </row>
    <row r="1103" ht="15.75" customHeight="1">
      <c r="A1103" s="13" t="s">
        <v>1344</v>
      </c>
      <c r="B1103" s="13" t="s">
        <v>411</v>
      </c>
      <c r="C1103" s="13" t="s">
        <v>42</v>
      </c>
      <c r="D1103" s="13" t="s">
        <v>1474</v>
      </c>
      <c r="E1103" s="13">
        <v>0.0122396298321661</v>
      </c>
      <c r="F1103" s="13">
        <v>0.00480266641448201</v>
      </c>
      <c r="G1103" s="13">
        <v>2.54850717827469</v>
      </c>
      <c r="H1103" s="13">
        <v>0.0108185060388252</v>
      </c>
      <c r="I1103" s="13">
        <v>2807431.0</v>
      </c>
      <c r="J1103" s="31" t="s">
        <v>1796</v>
      </c>
      <c r="K1103" s="31" t="s">
        <v>1793</v>
      </c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1"/>
      <c r="Z1103" s="31"/>
    </row>
    <row r="1104" ht="15.75" customHeight="1">
      <c r="A1104" s="13" t="s">
        <v>1344</v>
      </c>
      <c r="B1104" s="13" t="s">
        <v>411</v>
      </c>
      <c r="C1104" s="13" t="s">
        <v>55</v>
      </c>
      <c r="D1104" s="13" t="s">
        <v>1474</v>
      </c>
      <c r="E1104" s="13">
        <v>-0.0363455279207421</v>
      </c>
      <c r="F1104" s="13">
        <v>0.00552927128306065</v>
      </c>
      <c r="G1104" s="13">
        <v>-6.57329439271491</v>
      </c>
      <c r="H1104" s="63">
        <v>4.92140163035685E-11</v>
      </c>
      <c r="I1104" s="13">
        <v>2801451.0</v>
      </c>
      <c r="J1104" s="31" t="s">
        <v>1796</v>
      </c>
      <c r="K1104" s="31" t="s">
        <v>1793</v>
      </c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1"/>
      <c r="Z1104" s="31"/>
    </row>
    <row r="1105" ht="15.75" customHeight="1">
      <c r="A1105" s="13" t="s">
        <v>1344</v>
      </c>
      <c r="B1105" s="13" t="s">
        <v>411</v>
      </c>
      <c r="C1105" s="13" t="s">
        <v>1797</v>
      </c>
      <c r="D1105" s="13" t="s">
        <v>1474</v>
      </c>
      <c r="E1105" s="13">
        <v>-0.0171619182370512</v>
      </c>
      <c r="F1105" s="13">
        <v>0.00459299959312764</v>
      </c>
      <c r="G1105" s="13">
        <v>-3.73653815748865</v>
      </c>
      <c r="H1105" s="63">
        <v>1.86571148008832E-4</v>
      </c>
      <c r="I1105" s="13">
        <v>2808229.0</v>
      </c>
      <c r="J1105" s="31" t="s">
        <v>1796</v>
      </c>
      <c r="K1105" s="31" t="s">
        <v>1793</v>
      </c>
      <c r="L1105" s="31"/>
      <c r="M1105" s="31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1"/>
      <c r="Z1105" s="31"/>
    </row>
    <row r="1106" ht="15.75" customHeight="1">
      <c r="A1106" s="13" t="s">
        <v>1346</v>
      </c>
      <c r="B1106" s="13" t="s">
        <v>411</v>
      </c>
      <c r="C1106" s="13" t="s">
        <v>570</v>
      </c>
      <c r="D1106" s="13" t="s">
        <v>1474</v>
      </c>
      <c r="E1106" s="13">
        <v>-0.0768782942350586</v>
      </c>
      <c r="F1106" s="13">
        <v>0.0131727075406526</v>
      </c>
      <c r="G1106" s="13">
        <v>-5.83618014730855</v>
      </c>
      <c r="H1106" s="63">
        <v>5.34111466334646E-9</v>
      </c>
      <c r="I1106" s="13">
        <v>167879.0</v>
      </c>
      <c r="J1106" s="31" t="s">
        <v>1796</v>
      </c>
      <c r="K1106" s="31" t="s">
        <v>1793</v>
      </c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1"/>
      <c r="Z1106" s="31"/>
    </row>
    <row r="1107" ht="15.75" customHeight="1">
      <c r="A1107" s="13" t="s">
        <v>1346</v>
      </c>
      <c r="B1107" s="13" t="s">
        <v>411</v>
      </c>
      <c r="C1107" s="13" t="s">
        <v>42</v>
      </c>
      <c r="D1107" s="13" t="s">
        <v>1474</v>
      </c>
      <c r="E1107" s="13">
        <v>0.00211752355580446</v>
      </c>
      <c r="F1107" s="13">
        <v>0.00601543258649071</v>
      </c>
      <c r="G1107" s="13">
        <v>0.352015175194537</v>
      </c>
      <c r="H1107" s="13">
        <v>0.724826881807063</v>
      </c>
      <c r="I1107" s="13">
        <v>2801469.0</v>
      </c>
      <c r="J1107" s="31" t="s">
        <v>1796</v>
      </c>
      <c r="K1107" s="31" t="s">
        <v>1793</v>
      </c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</row>
    <row r="1108" ht="15.75" customHeight="1">
      <c r="A1108" s="13" t="s">
        <v>1346</v>
      </c>
      <c r="B1108" s="13" t="s">
        <v>411</v>
      </c>
      <c r="C1108" s="13" t="s">
        <v>55</v>
      </c>
      <c r="D1108" s="13" t="s">
        <v>1474</v>
      </c>
      <c r="E1108" s="13">
        <v>-0.0487332559552958</v>
      </c>
      <c r="F1108" s="13">
        <v>0.00623905724460218</v>
      </c>
      <c r="G1108" s="13">
        <v>-7.81099676516962</v>
      </c>
      <c r="H1108" s="63">
        <v>5.6737471414531E-15</v>
      </c>
      <c r="I1108" s="13">
        <v>2795477.0</v>
      </c>
      <c r="J1108" s="31" t="s">
        <v>1796</v>
      </c>
      <c r="K1108" s="31" t="s">
        <v>1793</v>
      </c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</row>
    <row r="1109" ht="15.75" customHeight="1">
      <c r="A1109" s="13" t="s">
        <v>1346</v>
      </c>
      <c r="B1109" s="13" t="s">
        <v>411</v>
      </c>
      <c r="C1109" s="13" t="s">
        <v>1797</v>
      </c>
      <c r="D1109" s="13" t="s">
        <v>1474</v>
      </c>
      <c r="E1109" s="13">
        <v>-0.00900370378693462</v>
      </c>
      <c r="F1109" s="13">
        <v>0.00569548385915864</v>
      </c>
      <c r="G1109" s="13">
        <v>-1.58084967135077</v>
      </c>
      <c r="H1109" s="13">
        <v>0.11391241415575</v>
      </c>
      <c r="I1109" s="13">
        <v>2802256.0</v>
      </c>
      <c r="J1109" s="31" t="s">
        <v>1796</v>
      </c>
      <c r="K1109" s="31" t="s">
        <v>1793</v>
      </c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</row>
    <row r="1110" ht="15.75" customHeight="1">
      <c r="A1110" s="13" t="s">
        <v>1348</v>
      </c>
      <c r="B1110" s="13" t="s">
        <v>411</v>
      </c>
      <c r="C1110" s="13" t="s">
        <v>570</v>
      </c>
      <c r="D1110" s="13" t="s">
        <v>1474</v>
      </c>
      <c r="E1110" s="13">
        <v>-0.0596106157300978</v>
      </c>
      <c r="F1110" s="13">
        <v>0.012613127596618</v>
      </c>
      <c r="G1110" s="13">
        <v>-4.72607727730282</v>
      </c>
      <c r="H1110" s="63">
        <v>2.2889856870635E-6</v>
      </c>
      <c r="I1110" s="13">
        <v>168444.0</v>
      </c>
      <c r="J1110" s="31" t="s">
        <v>1796</v>
      </c>
      <c r="K1110" s="31" t="s">
        <v>1793</v>
      </c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  <c r="Y1110" s="31"/>
      <c r="Z1110" s="31"/>
    </row>
    <row r="1111" ht="15.75" customHeight="1">
      <c r="A1111" s="13" t="s">
        <v>1348</v>
      </c>
      <c r="B1111" s="13" t="s">
        <v>411</v>
      </c>
      <c r="C1111" s="13" t="s">
        <v>42</v>
      </c>
      <c r="D1111" s="13" t="s">
        <v>1474</v>
      </c>
      <c r="E1111" s="13">
        <v>0.00640221938133126</v>
      </c>
      <c r="F1111" s="13">
        <v>0.00549061539761568</v>
      </c>
      <c r="G1111" s="13">
        <v>1.16602947351064</v>
      </c>
      <c r="H1111" s="13">
        <v>0.243602529198574</v>
      </c>
      <c r="I1111" s="13">
        <v>2811176.0</v>
      </c>
      <c r="J1111" s="31" t="s">
        <v>1796</v>
      </c>
      <c r="K1111" s="31" t="s">
        <v>1793</v>
      </c>
      <c r="L1111" s="31"/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1"/>
      <c r="Z1111" s="31"/>
    </row>
    <row r="1112" ht="15.75" customHeight="1">
      <c r="A1112" s="13" t="s">
        <v>1348</v>
      </c>
      <c r="B1112" s="13" t="s">
        <v>411</v>
      </c>
      <c r="C1112" s="13" t="s">
        <v>55</v>
      </c>
      <c r="D1112" s="13" t="s">
        <v>1474</v>
      </c>
      <c r="E1112" s="13">
        <v>-0.0466189116084547</v>
      </c>
      <c r="F1112" s="13">
        <v>0.00590489733291018</v>
      </c>
      <c r="G1112" s="13">
        <v>-7.89495718217321</v>
      </c>
      <c r="H1112" s="63">
        <v>2.90414922535541E-15</v>
      </c>
      <c r="I1112" s="13">
        <v>2805184.0</v>
      </c>
      <c r="J1112" s="31" t="s">
        <v>1796</v>
      </c>
      <c r="K1112" s="31" t="s">
        <v>1793</v>
      </c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</row>
    <row r="1113" ht="15.75" customHeight="1">
      <c r="A1113" s="13" t="s">
        <v>1348</v>
      </c>
      <c r="B1113" s="13" t="s">
        <v>411</v>
      </c>
      <c r="C1113" s="13" t="s">
        <v>1797</v>
      </c>
      <c r="D1113" s="13" t="s">
        <v>1474</v>
      </c>
      <c r="E1113" s="13">
        <v>-0.0123521138783984</v>
      </c>
      <c r="F1113" s="13">
        <v>0.00545670257126336</v>
      </c>
      <c r="G1113" s="13">
        <v>-2.26365899865028</v>
      </c>
      <c r="H1113" s="13">
        <v>0.0235950961101521</v>
      </c>
      <c r="I1113" s="13">
        <v>2811975.0</v>
      </c>
      <c r="J1113" s="31" t="s">
        <v>1796</v>
      </c>
      <c r="K1113" s="31" t="s">
        <v>1793</v>
      </c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1"/>
      <c r="Z1113" s="31"/>
    </row>
    <row r="1114" ht="15.75" customHeight="1">
      <c r="A1114" s="13" t="s">
        <v>545</v>
      </c>
      <c r="B1114" s="13" t="s">
        <v>411</v>
      </c>
      <c r="C1114" s="13" t="s">
        <v>570</v>
      </c>
      <c r="D1114" s="13" t="s">
        <v>1474</v>
      </c>
      <c r="E1114" s="13">
        <v>-0.0452595867797092</v>
      </c>
      <c r="F1114" s="13">
        <v>0.0348252524830251</v>
      </c>
      <c r="G1114" s="13">
        <v>-1.29961977452338</v>
      </c>
      <c r="H1114" s="13">
        <v>0.193731318790061</v>
      </c>
      <c r="I1114" s="13">
        <v>22738.0</v>
      </c>
      <c r="J1114" s="31" t="s">
        <v>1796</v>
      </c>
      <c r="K1114" s="31" t="s">
        <v>1793</v>
      </c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1"/>
      <c r="Z1114" s="31"/>
    </row>
    <row r="1115" ht="15.75" customHeight="1">
      <c r="A1115" s="13" t="s">
        <v>545</v>
      </c>
      <c r="B1115" s="13" t="s">
        <v>411</v>
      </c>
      <c r="C1115" s="13" t="s">
        <v>42</v>
      </c>
      <c r="D1115" s="13" t="s">
        <v>1474</v>
      </c>
      <c r="E1115" s="13">
        <v>0.0415461003495357</v>
      </c>
      <c r="F1115" s="13">
        <v>0.00822962535541083</v>
      </c>
      <c r="G1115" s="13">
        <v>5.04835865003501</v>
      </c>
      <c r="H1115" s="63">
        <v>4.45621992468405E-7</v>
      </c>
      <c r="I1115" s="13">
        <v>320929.0</v>
      </c>
      <c r="J1115" s="31" t="s">
        <v>1796</v>
      </c>
      <c r="K1115" s="31" t="s">
        <v>1793</v>
      </c>
      <c r="L1115" s="31"/>
      <c r="M1115" s="31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  <c r="Y1115" s="31"/>
      <c r="Z1115" s="31"/>
    </row>
    <row r="1116" ht="15.75" customHeight="1">
      <c r="A1116" s="13" t="s">
        <v>545</v>
      </c>
      <c r="B1116" s="13" t="s">
        <v>411</v>
      </c>
      <c r="C1116" s="13" t="s">
        <v>55</v>
      </c>
      <c r="D1116" s="13" t="s">
        <v>1474</v>
      </c>
      <c r="E1116" s="13">
        <v>-0.00816671527548051</v>
      </c>
      <c r="F1116" s="13">
        <v>0.0097877887330184</v>
      </c>
      <c r="G1116" s="13">
        <v>-0.834377968123759</v>
      </c>
      <c r="H1116" s="13">
        <v>0.404068028420583</v>
      </c>
      <c r="I1116" s="13">
        <v>320828.0</v>
      </c>
      <c r="J1116" s="31" t="s">
        <v>1796</v>
      </c>
      <c r="K1116" s="31" t="s">
        <v>1793</v>
      </c>
      <c r="L1116" s="31"/>
      <c r="M1116" s="31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1"/>
      <c r="Z1116" s="31"/>
    </row>
    <row r="1117" ht="15.75" customHeight="1">
      <c r="A1117" s="13" t="s">
        <v>545</v>
      </c>
      <c r="B1117" s="13" t="s">
        <v>411</v>
      </c>
      <c r="C1117" s="13" t="s">
        <v>1797</v>
      </c>
      <c r="D1117" s="13" t="s">
        <v>1474</v>
      </c>
      <c r="E1117" s="13">
        <v>-0.0279199318861153</v>
      </c>
      <c r="F1117" s="13">
        <v>0.00937220089879076</v>
      </c>
      <c r="G1117" s="13">
        <v>-2.97901551488483</v>
      </c>
      <c r="H1117" s="13">
        <v>0.00289176135687158</v>
      </c>
      <c r="I1117" s="13">
        <v>320909.0</v>
      </c>
      <c r="J1117" s="31" t="s">
        <v>1796</v>
      </c>
      <c r="K1117" s="31" t="s">
        <v>1793</v>
      </c>
      <c r="L1117" s="31"/>
      <c r="M1117" s="31"/>
      <c r="N1117" s="31"/>
      <c r="O1117" s="31"/>
      <c r="P1117" s="31"/>
      <c r="Q1117" s="31"/>
      <c r="R1117" s="31"/>
      <c r="S1117" s="31"/>
      <c r="T1117" s="31"/>
      <c r="U1117" s="31"/>
      <c r="V1117" s="31"/>
      <c r="W1117" s="31"/>
      <c r="X1117" s="31"/>
      <c r="Y1117" s="31"/>
      <c r="Z1117" s="31"/>
    </row>
    <row r="1118" ht="15.75" customHeight="1">
      <c r="A1118" s="13" t="s">
        <v>498</v>
      </c>
      <c r="B1118" s="13" t="s">
        <v>411</v>
      </c>
      <c r="C1118" s="13" t="s">
        <v>570</v>
      </c>
      <c r="D1118" s="13" t="s">
        <v>1474</v>
      </c>
      <c r="E1118" s="13">
        <v>-0.00175558857148523</v>
      </c>
      <c r="F1118" s="13">
        <v>0.0195725115374216</v>
      </c>
      <c r="G1118" s="13">
        <v>-0.0896966425657042</v>
      </c>
      <c r="H1118" s="13">
        <v>0.928528284033353</v>
      </c>
      <c r="I1118" s="13">
        <v>67538.0</v>
      </c>
      <c r="J1118" s="31" t="s">
        <v>1796</v>
      </c>
      <c r="K1118" s="31" t="s">
        <v>1793</v>
      </c>
      <c r="L1118" s="31"/>
      <c r="M1118" s="31"/>
      <c r="N1118" s="31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  <c r="Y1118" s="31"/>
      <c r="Z1118" s="31"/>
    </row>
    <row r="1119" ht="15.75" customHeight="1">
      <c r="A1119" s="13" t="s">
        <v>498</v>
      </c>
      <c r="B1119" s="13" t="s">
        <v>411</v>
      </c>
      <c r="C1119" s="13" t="s">
        <v>42</v>
      </c>
      <c r="D1119" s="13" t="s">
        <v>1474</v>
      </c>
      <c r="E1119" s="13">
        <v>0.0346363945929496</v>
      </c>
      <c r="F1119" s="13">
        <v>0.0052736202827479</v>
      </c>
      <c r="G1119" s="13">
        <v>6.56785902964211</v>
      </c>
      <c r="H1119" s="63">
        <v>5.10438289065622E-11</v>
      </c>
      <c r="I1119" s="13">
        <v>969137.0</v>
      </c>
      <c r="J1119" s="31" t="s">
        <v>1796</v>
      </c>
      <c r="K1119" s="31" t="s">
        <v>1793</v>
      </c>
      <c r="L1119" s="31"/>
      <c r="M1119" s="31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  <c r="Y1119" s="31"/>
      <c r="Z1119" s="31"/>
    </row>
    <row r="1120" ht="15.75" customHeight="1">
      <c r="A1120" s="13" t="s">
        <v>498</v>
      </c>
      <c r="B1120" s="13" t="s">
        <v>411</v>
      </c>
      <c r="C1120" s="13" t="s">
        <v>55</v>
      </c>
      <c r="D1120" s="13" t="s">
        <v>1474</v>
      </c>
      <c r="E1120" s="13">
        <v>0.0131374387997304</v>
      </c>
      <c r="F1120" s="13">
        <v>0.00615301996383194</v>
      </c>
      <c r="G1120" s="13">
        <v>2.13512045742636</v>
      </c>
      <c r="H1120" s="13">
        <v>0.0327511720084186</v>
      </c>
      <c r="I1120" s="13">
        <v>968871.0</v>
      </c>
      <c r="J1120" s="31" t="s">
        <v>1796</v>
      </c>
      <c r="K1120" s="31" t="s">
        <v>1793</v>
      </c>
      <c r="L1120" s="31"/>
      <c r="M1120" s="31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1"/>
      <c r="Z1120" s="31"/>
    </row>
    <row r="1121" ht="15.75" customHeight="1">
      <c r="A1121" s="13" t="s">
        <v>498</v>
      </c>
      <c r="B1121" s="13" t="s">
        <v>411</v>
      </c>
      <c r="C1121" s="13" t="s">
        <v>1797</v>
      </c>
      <c r="D1121" s="13" t="s">
        <v>1474</v>
      </c>
      <c r="E1121" s="13">
        <v>-0.00779120320730762</v>
      </c>
      <c r="F1121" s="13">
        <v>0.00611932163635219</v>
      </c>
      <c r="G1121" s="13">
        <v>-1.27321354723757</v>
      </c>
      <c r="H1121" s="13">
        <v>0.202942274596901</v>
      </c>
      <c r="I1121" s="13">
        <v>969091.0</v>
      </c>
      <c r="J1121" s="31" t="s">
        <v>1796</v>
      </c>
      <c r="K1121" s="31" t="s">
        <v>1793</v>
      </c>
      <c r="L1121" s="31"/>
      <c r="M1121" s="31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1"/>
      <c r="Z1121" s="31"/>
    </row>
    <row r="1122" ht="15.75" customHeight="1">
      <c r="A1122" s="13" t="s">
        <v>448</v>
      </c>
      <c r="B1122" s="13" t="s">
        <v>411</v>
      </c>
      <c r="C1122" s="13" t="s">
        <v>570</v>
      </c>
      <c r="D1122" s="13" t="s">
        <v>1474</v>
      </c>
      <c r="E1122" s="13">
        <v>-0.0290904341309433</v>
      </c>
      <c r="F1122" s="13">
        <v>0.0130205212436025</v>
      </c>
      <c r="G1122" s="13">
        <v>-2.23419889163319</v>
      </c>
      <c r="H1122" s="13">
        <v>0.0254699893423076</v>
      </c>
      <c r="I1122" s="13">
        <v>157060.0</v>
      </c>
      <c r="J1122" s="31" t="s">
        <v>1796</v>
      </c>
      <c r="K1122" s="31" t="s">
        <v>1793</v>
      </c>
      <c r="L1122" s="31"/>
      <c r="M1122" s="31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1"/>
      <c r="Z1122" s="31"/>
    </row>
    <row r="1123" ht="15.75" customHeight="1">
      <c r="A1123" s="13" t="s">
        <v>448</v>
      </c>
      <c r="B1123" s="13" t="s">
        <v>411</v>
      </c>
      <c r="C1123" s="13" t="s">
        <v>42</v>
      </c>
      <c r="D1123" s="13" t="s">
        <v>1474</v>
      </c>
      <c r="E1123" s="13">
        <v>0.0342900834745809</v>
      </c>
      <c r="F1123" s="13">
        <v>0.00421437333779831</v>
      </c>
      <c r="G1123" s="13">
        <v>8.13646080356395</v>
      </c>
      <c r="H1123" s="63">
        <v>4.070005341433E-16</v>
      </c>
      <c r="I1123" s="13">
        <v>2475830.0</v>
      </c>
      <c r="J1123" s="31" t="s">
        <v>1796</v>
      </c>
      <c r="K1123" s="31" t="s">
        <v>1793</v>
      </c>
      <c r="L1123" s="31"/>
      <c r="M1123" s="31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1"/>
      <c r="Z1123" s="31"/>
    </row>
    <row r="1124" ht="15.75" customHeight="1">
      <c r="A1124" s="13" t="s">
        <v>448</v>
      </c>
      <c r="B1124" s="13" t="s">
        <v>411</v>
      </c>
      <c r="C1124" s="13" t="s">
        <v>55</v>
      </c>
      <c r="D1124" s="13" t="s">
        <v>1474</v>
      </c>
      <c r="E1124" s="13">
        <v>-0.00117031934990235</v>
      </c>
      <c r="F1124" s="13">
        <v>0.00481864913082398</v>
      </c>
      <c r="G1124" s="13">
        <v>-0.242872912745616</v>
      </c>
      <c r="H1124" s="13">
        <v>0.808103849880456</v>
      </c>
      <c r="I1124" s="13">
        <v>2474583.0</v>
      </c>
      <c r="J1124" s="31" t="s">
        <v>1796</v>
      </c>
      <c r="K1124" s="31" t="s">
        <v>1793</v>
      </c>
      <c r="L1124" s="31"/>
      <c r="M1124" s="31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1"/>
      <c r="Z1124" s="31"/>
    </row>
    <row r="1125" ht="15.75" customHeight="1">
      <c r="A1125" s="13" t="s">
        <v>448</v>
      </c>
      <c r="B1125" s="13" t="s">
        <v>411</v>
      </c>
      <c r="C1125" s="13" t="s">
        <v>1797</v>
      </c>
      <c r="D1125" s="13" t="s">
        <v>1474</v>
      </c>
      <c r="E1125" s="13">
        <v>-0.00608086779863552</v>
      </c>
      <c r="F1125" s="13">
        <v>0.00451352802152013</v>
      </c>
      <c r="G1125" s="13">
        <v>-1.34725380448341</v>
      </c>
      <c r="H1125" s="13">
        <v>0.177898504619352</v>
      </c>
      <c r="I1125" s="13">
        <v>2475728.0</v>
      </c>
      <c r="J1125" s="31" t="s">
        <v>1796</v>
      </c>
      <c r="K1125" s="31" t="s">
        <v>1793</v>
      </c>
      <c r="L1125" s="31"/>
      <c r="M1125" s="31"/>
      <c r="N1125" s="31"/>
      <c r="O1125" s="31"/>
      <c r="P1125" s="31"/>
      <c r="Q1125" s="31"/>
      <c r="R1125" s="31"/>
      <c r="S1125" s="31"/>
      <c r="T1125" s="31"/>
      <c r="U1125" s="31"/>
      <c r="V1125" s="31"/>
      <c r="W1125" s="31"/>
      <c r="X1125" s="31"/>
      <c r="Y1125" s="31"/>
      <c r="Z1125" s="31"/>
    </row>
    <row r="1126" ht="15.75" customHeight="1">
      <c r="A1126" s="13" t="s">
        <v>435</v>
      </c>
      <c r="B1126" s="13" t="s">
        <v>411</v>
      </c>
      <c r="C1126" s="13" t="s">
        <v>570</v>
      </c>
      <c r="D1126" s="13" t="s">
        <v>1474</v>
      </c>
      <c r="E1126" s="13">
        <v>-0.0211947280549261</v>
      </c>
      <c r="F1126" s="13">
        <v>0.0136334271134747</v>
      </c>
      <c r="G1126" s="13">
        <v>-1.55461483591151</v>
      </c>
      <c r="H1126" s="13">
        <v>0.120037828278993</v>
      </c>
      <c r="I1126" s="13">
        <v>159442.0</v>
      </c>
      <c r="J1126" s="31" t="s">
        <v>1796</v>
      </c>
      <c r="K1126" s="31" t="s">
        <v>1793</v>
      </c>
      <c r="L1126" s="31"/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  <c r="Z1126" s="31"/>
    </row>
    <row r="1127" ht="15.75" customHeight="1">
      <c r="A1127" s="13" t="s">
        <v>435</v>
      </c>
      <c r="B1127" s="13" t="s">
        <v>411</v>
      </c>
      <c r="C1127" s="13" t="s">
        <v>42</v>
      </c>
      <c r="D1127" s="13" t="s">
        <v>1474</v>
      </c>
      <c r="E1127" s="13">
        <v>0.0326157111640892</v>
      </c>
      <c r="F1127" s="13">
        <v>0.00455666070784271</v>
      </c>
      <c r="G1127" s="13">
        <v>7.15780990846051</v>
      </c>
      <c r="H1127" s="63">
        <v>8.19761171556726E-13</v>
      </c>
      <c r="I1127" s="13">
        <v>2523208.0</v>
      </c>
      <c r="J1127" s="31" t="s">
        <v>1796</v>
      </c>
      <c r="K1127" s="31" t="s">
        <v>1793</v>
      </c>
      <c r="L1127" s="31"/>
      <c r="M1127" s="31"/>
      <c r="N1127" s="31"/>
      <c r="O1127" s="31"/>
      <c r="P1127" s="31"/>
      <c r="Q1127" s="31"/>
      <c r="R1127" s="31"/>
      <c r="S1127" s="31"/>
      <c r="T1127" s="31"/>
      <c r="U1127" s="31"/>
      <c r="V1127" s="31"/>
      <c r="W1127" s="31"/>
      <c r="X1127" s="31"/>
      <c r="Y1127" s="31"/>
      <c r="Z1127" s="31"/>
    </row>
    <row r="1128" ht="15.75" customHeight="1">
      <c r="A1128" s="13" t="s">
        <v>435</v>
      </c>
      <c r="B1128" s="13" t="s">
        <v>411</v>
      </c>
      <c r="C1128" s="13" t="s">
        <v>55</v>
      </c>
      <c r="D1128" s="13" t="s">
        <v>1474</v>
      </c>
      <c r="E1128" s="13">
        <v>-0.00596608754675312</v>
      </c>
      <c r="F1128" s="13">
        <v>0.00485109576298163</v>
      </c>
      <c r="G1128" s="13">
        <v>-1.22984328453787</v>
      </c>
      <c r="H1128" s="13">
        <v>0.218755795877771</v>
      </c>
      <c r="I1128" s="13">
        <v>2521919.0</v>
      </c>
      <c r="J1128" s="31" t="s">
        <v>1796</v>
      </c>
      <c r="K1128" s="31" t="s">
        <v>1793</v>
      </c>
      <c r="L1128" s="31"/>
      <c r="M1128" s="31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1"/>
      <c r="Z1128" s="31"/>
    </row>
    <row r="1129" ht="15.75" customHeight="1">
      <c r="A1129" s="13" t="s">
        <v>435</v>
      </c>
      <c r="B1129" s="13" t="s">
        <v>411</v>
      </c>
      <c r="C1129" s="13" t="s">
        <v>1797</v>
      </c>
      <c r="D1129" s="13" t="s">
        <v>1474</v>
      </c>
      <c r="E1129" s="13">
        <v>-0.00899904166367357</v>
      </c>
      <c r="F1129" s="13">
        <v>0.00442289363168213</v>
      </c>
      <c r="G1129" s="13">
        <v>-2.03465025683898</v>
      </c>
      <c r="H1129" s="13">
        <v>0.0418860766762222</v>
      </c>
      <c r="I1129" s="13">
        <v>2523093.0</v>
      </c>
      <c r="J1129" s="31" t="s">
        <v>1796</v>
      </c>
      <c r="K1129" s="31" t="s">
        <v>1793</v>
      </c>
      <c r="L1129" s="31"/>
      <c r="M1129" s="31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  <c r="Y1129" s="31"/>
      <c r="Z1129" s="31"/>
    </row>
    <row r="1130" ht="15.75" customHeight="1">
      <c r="A1130" s="13" t="s">
        <v>578</v>
      </c>
      <c r="B1130" s="13" t="s">
        <v>411</v>
      </c>
      <c r="C1130" s="13" t="s">
        <v>570</v>
      </c>
      <c r="D1130" s="13" t="s">
        <v>1474</v>
      </c>
      <c r="E1130" s="13">
        <v>0.0187155894175202</v>
      </c>
      <c r="F1130" s="13">
        <v>0.041040037129802</v>
      </c>
      <c r="G1130" s="13">
        <v>0.456032467961135</v>
      </c>
      <c r="H1130" s="13">
        <v>0.648366630782586</v>
      </c>
      <c r="I1130" s="13">
        <v>15902.0</v>
      </c>
      <c r="J1130" s="31" t="s">
        <v>1796</v>
      </c>
      <c r="K1130" s="31" t="s">
        <v>1793</v>
      </c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  <c r="Z1130" s="31"/>
    </row>
    <row r="1131" ht="15.75" customHeight="1">
      <c r="A1131" s="13" t="s">
        <v>578</v>
      </c>
      <c r="B1131" s="13" t="s">
        <v>411</v>
      </c>
      <c r="C1131" s="13" t="s">
        <v>42</v>
      </c>
      <c r="D1131" s="13" t="s">
        <v>1474</v>
      </c>
      <c r="E1131" s="13">
        <v>0.0417535178162689</v>
      </c>
      <c r="F1131" s="13">
        <v>0.00897111691325855</v>
      </c>
      <c r="G1131" s="13">
        <v>4.65421621632873</v>
      </c>
      <c r="H1131" s="63">
        <v>3.25215402204714E-6</v>
      </c>
      <c r="I1131" s="13">
        <v>218440.0</v>
      </c>
      <c r="J1131" s="31" t="s">
        <v>1796</v>
      </c>
      <c r="K1131" s="31" t="s">
        <v>1793</v>
      </c>
      <c r="L1131" s="31"/>
      <c r="M1131" s="31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  <c r="Y1131" s="31"/>
      <c r="Z1131" s="31"/>
    </row>
    <row r="1132" ht="15.75" customHeight="1">
      <c r="A1132" s="13" t="s">
        <v>578</v>
      </c>
      <c r="B1132" s="13" t="s">
        <v>411</v>
      </c>
      <c r="C1132" s="13" t="s">
        <v>55</v>
      </c>
      <c r="D1132" s="13" t="s">
        <v>1474</v>
      </c>
      <c r="E1132" s="13">
        <v>0.0258516323983113</v>
      </c>
      <c r="F1132" s="13">
        <v>0.0112022349615857</v>
      </c>
      <c r="G1132" s="13">
        <v>2.30772095809102</v>
      </c>
      <c r="H1132" s="13">
        <v>0.0210146616304932</v>
      </c>
      <c r="I1132" s="13">
        <v>218388.0</v>
      </c>
      <c r="J1132" s="31" t="s">
        <v>1796</v>
      </c>
      <c r="K1132" s="31" t="s">
        <v>1793</v>
      </c>
      <c r="L1132" s="31"/>
      <c r="M1132" s="31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  <c r="Y1132" s="31"/>
      <c r="Z1132" s="31"/>
    </row>
    <row r="1133" ht="15.75" customHeight="1">
      <c r="A1133" s="13" t="s">
        <v>578</v>
      </c>
      <c r="B1133" s="13" t="s">
        <v>411</v>
      </c>
      <c r="C1133" s="13" t="s">
        <v>1797</v>
      </c>
      <c r="D1133" s="13" t="s">
        <v>1474</v>
      </c>
      <c r="E1133" s="13">
        <v>0.00986380113607327</v>
      </c>
      <c r="F1133" s="13">
        <v>0.0110941531104121</v>
      </c>
      <c r="G1133" s="13">
        <v>0.889099063074572</v>
      </c>
      <c r="H1133" s="13">
        <v>0.373949842419095</v>
      </c>
      <c r="I1133" s="13">
        <v>218427.0</v>
      </c>
      <c r="J1133" s="31" t="s">
        <v>1796</v>
      </c>
      <c r="K1133" s="31" t="s">
        <v>1793</v>
      </c>
      <c r="L1133" s="31"/>
      <c r="M1133" s="31"/>
      <c r="N1133" s="31"/>
      <c r="O1133" s="31"/>
      <c r="P1133" s="31"/>
      <c r="Q1133" s="31"/>
      <c r="R1133" s="31"/>
      <c r="S1133" s="31"/>
      <c r="T1133" s="31"/>
      <c r="U1133" s="31"/>
      <c r="V1133" s="31"/>
      <c r="W1133" s="31"/>
      <c r="X1133" s="31"/>
      <c r="Y1133" s="31"/>
      <c r="Z1133" s="31"/>
    </row>
    <row r="1134" ht="15.75" customHeight="1">
      <c r="A1134" s="13" t="s">
        <v>512</v>
      </c>
      <c r="B1134" s="13" t="s">
        <v>411</v>
      </c>
      <c r="C1134" s="13" t="s">
        <v>570</v>
      </c>
      <c r="D1134" s="13" t="s">
        <v>1474</v>
      </c>
      <c r="E1134" s="13">
        <v>0.0239295578508886</v>
      </c>
      <c r="F1134" s="13">
        <v>0.0213098165640697</v>
      </c>
      <c r="G1134" s="13">
        <v>1.12293589102198</v>
      </c>
      <c r="H1134" s="13">
        <v>0.261464722960466</v>
      </c>
      <c r="I1134" s="13">
        <v>56959.0</v>
      </c>
      <c r="J1134" s="31" t="s">
        <v>1796</v>
      </c>
      <c r="K1134" s="31" t="s">
        <v>1793</v>
      </c>
      <c r="L1134" s="31"/>
      <c r="M1134" s="31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  <c r="Y1134" s="31"/>
      <c r="Z1134" s="31"/>
    </row>
    <row r="1135" ht="15.75" customHeight="1">
      <c r="A1135" s="13" t="s">
        <v>512</v>
      </c>
      <c r="B1135" s="13" t="s">
        <v>411</v>
      </c>
      <c r="C1135" s="13" t="s">
        <v>42</v>
      </c>
      <c r="D1135" s="13" t="s">
        <v>1474</v>
      </c>
      <c r="E1135" s="13">
        <v>0.0324833972050566</v>
      </c>
      <c r="F1135" s="13">
        <v>0.00584161419037664</v>
      </c>
      <c r="G1135" s="13">
        <v>5.56068856080381</v>
      </c>
      <c r="H1135" s="63">
        <v>2.6871234753193E-8</v>
      </c>
      <c r="I1135" s="13">
        <v>824312.0</v>
      </c>
      <c r="J1135" s="31" t="s">
        <v>1796</v>
      </c>
      <c r="K1135" s="31" t="s">
        <v>1793</v>
      </c>
      <c r="L1135" s="31"/>
      <c r="M1135" s="31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1"/>
      <c r="Z1135" s="31"/>
    </row>
    <row r="1136" ht="15.75" customHeight="1">
      <c r="A1136" s="13" t="s">
        <v>512</v>
      </c>
      <c r="B1136" s="13" t="s">
        <v>411</v>
      </c>
      <c r="C1136" s="13" t="s">
        <v>55</v>
      </c>
      <c r="D1136" s="13" t="s">
        <v>1474</v>
      </c>
      <c r="E1136" s="63">
        <v>-3.35459022636616E-4</v>
      </c>
      <c r="F1136" s="13">
        <v>0.00656602626885979</v>
      </c>
      <c r="G1136" s="13">
        <v>-0.0510901127867205</v>
      </c>
      <c r="H1136" s="13">
        <v>0.959253714558238</v>
      </c>
      <c r="I1136" s="13">
        <v>824071.0</v>
      </c>
      <c r="J1136" s="31" t="s">
        <v>1796</v>
      </c>
      <c r="K1136" s="31" t="s">
        <v>1793</v>
      </c>
      <c r="L1136" s="31"/>
      <c r="M1136" s="31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  <c r="Y1136" s="31"/>
      <c r="Z1136" s="31"/>
    </row>
    <row r="1137" ht="15.75" customHeight="1">
      <c r="A1137" s="13" t="s">
        <v>512</v>
      </c>
      <c r="B1137" s="13" t="s">
        <v>411</v>
      </c>
      <c r="C1137" s="13" t="s">
        <v>1797</v>
      </c>
      <c r="D1137" s="13" t="s">
        <v>1474</v>
      </c>
      <c r="E1137" s="13">
        <v>-0.00292194463818079</v>
      </c>
      <c r="F1137" s="13">
        <v>0.00625319815344297</v>
      </c>
      <c r="G1137" s="13">
        <v>-0.467272036881158</v>
      </c>
      <c r="H1137" s="13">
        <v>0.640305260149118</v>
      </c>
      <c r="I1137" s="13">
        <v>824271.0</v>
      </c>
      <c r="J1137" s="31" t="s">
        <v>1796</v>
      </c>
      <c r="K1137" s="31" t="s">
        <v>1793</v>
      </c>
      <c r="L1137" s="31"/>
      <c r="M1137" s="31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1"/>
      <c r="Z1137" s="31"/>
    </row>
    <row r="1138" ht="15.75" customHeight="1">
      <c r="A1138" s="13" t="s">
        <v>554</v>
      </c>
      <c r="B1138" s="13" t="s">
        <v>411</v>
      </c>
      <c r="C1138" s="13" t="s">
        <v>570</v>
      </c>
      <c r="D1138" s="13" t="s">
        <v>1474</v>
      </c>
      <c r="E1138" s="13">
        <v>0.00134034107166123</v>
      </c>
      <c r="F1138" s="13">
        <v>0.036504824953497</v>
      </c>
      <c r="G1138" s="13">
        <v>0.0367168195812107</v>
      </c>
      <c r="H1138" s="13">
        <v>0.970710797599064</v>
      </c>
      <c r="I1138" s="13">
        <v>19301.0</v>
      </c>
      <c r="J1138" s="31" t="s">
        <v>1796</v>
      </c>
      <c r="K1138" s="31" t="s">
        <v>1793</v>
      </c>
      <c r="L1138" s="31"/>
      <c r="M1138" s="31"/>
      <c r="N1138" s="31"/>
      <c r="O1138" s="31"/>
      <c r="P1138" s="31"/>
      <c r="Q1138" s="31"/>
      <c r="R1138" s="31"/>
      <c r="S1138" s="31"/>
      <c r="T1138" s="31"/>
      <c r="U1138" s="31"/>
      <c r="V1138" s="31"/>
      <c r="W1138" s="31"/>
      <c r="X1138" s="31"/>
      <c r="Y1138" s="31"/>
      <c r="Z1138" s="31"/>
    </row>
    <row r="1139" ht="15.75" customHeight="1">
      <c r="A1139" s="13" t="s">
        <v>554</v>
      </c>
      <c r="B1139" s="13" t="s">
        <v>411</v>
      </c>
      <c r="C1139" s="13" t="s">
        <v>42</v>
      </c>
      <c r="D1139" s="13" t="s">
        <v>1474</v>
      </c>
      <c r="E1139" s="13">
        <v>0.0369058031574325</v>
      </c>
      <c r="F1139" s="13">
        <v>0.00864076399692741</v>
      </c>
      <c r="G1139" s="13">
        <v>4.27112731820425</v>
      </c>
      <c r="H1139" s="63">
        <v>1.94487328845168E-5</v>
      </c>
      <c r="I1139" s="13">
        <v>277265.0</v>
      </c>
      <c r="J1139" s="31" t="s">
        <v>1796</v>
      </c>
      <c r="K1139" s="31" t="s">
        <v>1793</v>
      </c>
      <c r="L1139" s="31"/>
      <c r="M1139" s="31"/>
      <c r="N1139" s="31"/>
      <c r="O1139" s="31"/>
      <c r="P1139" s="31"/>
      <c r="Q1139" s="31"/>
      <c r="R1139" s="31"/>
      <c r="S1139" s="31"/>
      <c r="T1139" s="31"/>
      <c r="U1139" s="31"/>
      <c r="V1139" s="31"/>
      <c r="W1139" s="31"/>
      <c r="X1139" s="31"/>
      <c r="Y1139" s="31"/>
      <c r="Z1139" s="31"/>
    </row>
    <row r="1140" ht="15.75" customHeight="1">
      <c r="A1140" s="13" t="s">
        <v>554</v>
      </c>
      <c r="B1140" s="13" t="s">
        <v>411</v>
      </c>
      <c r="C1140" s="13" t="s">
        <v>55</v>
      </c>
      <c r="D1140" s="13" t="s">
        <v>1474</v>
      </c>
      <c r="E1140" s="13">
        <v>0.00308607584504843</v>
      </c>
      <c r="F1140" s="13">
        <v>0.00985148333248796</v>
      </c>
      <c r="G1140" s="13">
        <v>0.313260017897127</v>
      </c>
      <c r="H1140" s="13">
        <v>0.754083123569793</v>
      </c>
      <c r="I1140" s="13">
        <v>277182.0</v>
      </c>
      <c r="J1140" s="31" t="s">
        <v>1796</v>
      </c>
      <c r="K1140" s="31" t="s">
        <v>1793</v>
      </c>
      <c r="L1140" s="31"/>
      <c r="M1140" s="31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  <c r="Y1140" s="31"/>
      <c r="Z1140" s="31"/>
    </row>
    <row r="1141" ht="15.75" customHeight="1">
      <c r="A1141" s="13" t="s">
        <v>554</v>
      </c>
      <c r="B1141" s="13" t="s">
        <v>411</v>
      </c>
      <c r="C1141" s="13" t="s">
        <v>1797</v>
      </c>
      <c r="D1141" s="13" t="s">
        <v>1474</v>
      </c>
      <c r="E1141" s="13">
        <v>-0.00738408702504644</v>
      </c>
      <c r="F1141" s="13">
        <v>0.0105084029442807</v>
      </c>
      <c r="G1141" s="13">
        <v>-0.702684039068491</v>
      </c>
      <c r="H1141" s="13">
        <v>0.482252676605796</v>
      </c>
      <c r="I1141" s="13">
        <v>277250.0</v>
      </c>
      <c r="J1141" s="31" t="s">
        <v>1796</v>
      </c>
      <c r="K1141" s="31" t="s">
        <v>1793</v>
      </c>
      <c r="L1141" s="31"/>
      <c r="M1141" s="31"/>
      <c r="N1141" s="31"/>
      <c r="O1141" s="31"/>
      <c r="P1141" s="31"/>
      <c r="Q1141" s="31"/>
      <c r="R1141" s="31"/>
      <c r="S1141" s="31"/>
      <c r="T1141" s="31"/>
      <c r="U1141" s="31"/>
      <c r="V1141" s="31"/>
      <c r="W1141" s="31"/>
      <c r="X1141" s="31"/>
      <c r="Y1141" s="31"/>
      <c r="Z1141" s="31"/>
    </row>
    <row r="1142" ht="15.75" customHeight="1">
      <c r="A1142" s="13" t="s">
        <v>527</v>
      </c>
      <c r="B1142" s="13" t="s">
        <v>411</v>
      </c>
      <c r="C1142" s="13" t="s">
        <v>570</v>
      </c>
      <c r="D1142" s="13" t="s">
        <v>1474</v>
      </c>
      <c r="E1142" s="13">
        <v>-0.039975141110825</v>
      </c>
      <c r="F1142" s="13">
        <v>0.0266560731381434</v>
      </c>
      <c r="G1142" s="13">
        <v>-1.49966354397575</v>
      </c>
      <c r="H1142" s="13">
        <v>0.13370157848299</v>
      </c>
      <c r="I1142" s="13">
        <v>33901.0</v>
      </c>
      <c r="J1142" s="31" t="s">
        <v>1796</v>
      </c>
      <c r="K1142" s="31" t="s">
        <v>1793</v>
      </c>
      <c r="L1142" s="31"/>
      <c r="M1142" s="31"/>
      <c r="N1142" s="31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  <c r="Y1142" s="31"/>
      <c r="Z1142" s="31"/>
    </row>
    <row r="1143" ht="15.75" customHeight="1">
      <c r="A1143" s="13" t="s">
        <v>527</v>
      </c>
      <c r="B1143" s="13" t="s">
        <v>411</v>
      </c>
      <c r="C1143" s="13" t="s">
        <v>42</v>
      </c>
      <c r="D1143" s="13" t="s">
        <v>1474</v>
      </c>
      <c r="E1143" s="13">
        <v>0.030575598714195</v>
      </c>
      <c r="F1143" s="13">
        <v>0.00683390015441994</v>
      </c>
      <c r="G1143" s="13">
        <v>4.47410673602243</v>
      </c>
      <c r="H1143" s="63">
        <v>7.67314077283864E-6</v>
      </c>
      <c r="I1143" s="13">
        <v>475785.0</v>
      </c>
      <c r="J1143" s="31" t="s">
        <v>1796</v>
      </c>
      <c r="K1143" s="31" t="s">
        <v>1793</v>
      </c>
      <c r="L1143" s="31"/>
      <c r="M1143" s="31"/>
      <c r="N1143" s="31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  <c r="Y1143" s="31"/>
      <c r="Z1143" s="31"/>
    </row>
    <row r="1144" ht="15.75" customHeight="1">
      <c r="A1144" s="13" t="s">
        <v>527</v>
      </c>
      <c r="B1144" s="13" t="s">
        <v>411</v>
      </c>
      <c r="C1144" s="13" t="s">
        <v>55</v>
      </c>
      <c r="D1144" s="13" t="s">
        <v>1474</v>
      </c>
      <c r="E1144" s="63">
        <v>5.80068116323577E-4</v>
      </c>
      <c r="F1144" s="13">
        <v>0.00789456352898631</v>
      </c>
      <c r="G1144" s="13">
        <v>0.0734769077725136</v>
      </c>
      <c r="H1144" s="13">
        <v>0.941426619322886</v>
      </c>
      <c r="I1144" s="13">
        <v>475629.0</v>
      </c>
      <c r="J1144" s="31" t="s">
        <v>1796</v>
      </c>
      <c r="K1144" s="31" t="s">
        <v>1793</v>
      </c>
      <c r="L1144" s="31"/>
      <c r="M1144" s="31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1"/>
      <c r="Z1144" s="31"/>
    </row>
    <row r="1145" ht="15.75" customHeight="1">
      <c r="A1145" s="13" t="s">
        <v>527</v>
      </c>
      <c r="B1145" s="13" t="s">
        <v>411</v>
      </c>
      <c r="C1145" s="13" t="s">
        <v>1797</v>
      </c>
      <c r="D1145" s="13" t="s">
        <v>1474</v>
      </c>
      <c r="E1145" s="13">
        <v>-0.00837806630750739</v>
      </c>
      <c r="F1145" s="13">
        <v>0.00767445659215601</v>
      </c>
      <c r="G1145" s="13">
        <v>-1.09168202424527</v>
      </c>
      <c r="H1145" s="13">
        <v>0.274972888955675</v>
      </c>
      <c r="I1145" s="13">
        <v>475765.0</v>
      </c>
      <c r="J1145" s="31" t="s">
        <v>1796</v>
      </c>
      <c r="K1145" s="31" t="s">
        <v>1793</v>
      </c>
      <c r="L1145" s="31"/>
      <c r="M1145" s="31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  <c r="Y1145" s="31"/>
      <c r="Z1145" s="31"/>
    </row>
    <row r="1146" ht="15.75" customHeight="1">
      <c r="A1146" s="13" t="s">
        <v>1350</v>
      </c>
      <c r="B1146" s="13" t="s">
        <v>411</v>
      </c>
      <c r="C1146" s="13" t="s">
        <v>570</v>
      </c>
      <c r="D1146" s="13" t="s">
        <v>1474</v>
      </c>
      <c r="E1146" s="13">
        <v>-0.196878507313964</v>
      </c>
      <c r="F1146" s="13">
        <v>0.0135714467024498</v>
      </c>
      <c r="G1146" s="13">
        <v>-14.5068180003555</v>
      </c>
      <c r="H1146" s="63">
        <v>1.09692237744063E-47</v>
      </c>
      <c r="I1146" s="13">
        <v>168669.0</v>
      </c>
      <c r="J1146" s="31" t="s">
        <v>1796</v>
      </c>
      <c r="K1146" s="31" t="s">
        <v>1793</v>
      </c>
      <c r="L1146" s="31"/>
      <c r="M1146" s="31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1"/>
      <c r="Z1146" s="31"/>
    </row>
    <row r="1147" ht="15.75" customHeight="1">
      <c r="A1147" s="13" t="s">
        <v>1350</v>
      </c>
      <c r="B1147" s="13" t="s">
        <v>411</v>
      </c>
      <c r="C1147" s="13" t="s">
        <v>42</v>
      </c>
      <c r="D1147" s="13" t="s">
        <v>1474</v>
      </c>
      <c r="E1147" s="13">
        <v>-0.168431832928816</v>
      </c>
      <c r="F1147" s="13">
        <v>0.00789668109600459</v>
      </c>
      <c r="G1147" s="13">
        <v>-21.3294459889023</v>
      </c>
      <c r="H1147" s="63">
        <v>6.05203916521393E-101</v>
      </c>
      <c r="I1147" s="13">
        <v>2815558.0</v>
      </c>
      <c r="J1147" s="31" t="s">
        <v>1796</v>
      </c>
      <c r="K1147" s="31" t="s">
        <v>1793</v>
      </c>
      <c r="L1147" s="31"/>
      <c r="M1147" s="31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1"/>
      <c r="Z1147" s="31"/>
    </row>
    <row r="1148" ht="15.75" customHeight="1">
      <c r="A1148" s="13" t="s">
        <v>1350</v>
      </c>
      <c r="B1148" s="13" t="s">
        <v>411</v>
      </c>
      <c r="C1148" s="13" t="s">
        <v>55</v>
      </c>
      <c r="D1148" s="13" t="s">
        <v>1474</v>
      </c>
      <c r="E1148" s="13">
        <v>-0.17795472966231</v>
      </c>
      <c r="F1148" s="13">
        <v>0.00776512139978416</v>
      </c>
      <c r="G1148" s="13">
        <v>-22.9171857721705</v>
      </c>
      <c r="H1148" s="63">
        <v>3.1317608259975E-116</v>
      </c>
      <c r="I1148" s="13">
        <v>2809527.0</v>
      </c>
      <c r="J1148" s="31" t="s">
        <v>1796</v>
      </c>
      <c r="K1148" s="31" t="s">
        <v>1793</v>
      </c>
      <c r="L1148" s="31"/>
      <c r="M1148" s="31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1"/>
      <c r="Z1148" s="31"/>
    </row>
    <row r="1149" ht="15.75" customHeight="1">
      <c r="A1149" s="13" t="s">
        <v>1350</v>
      </c>
      <c r="B1149" s="13" t="s">
        <v>411</v>
      </c>
      <c r="C1149" s="13" t="s">
        <v>1797</v>
      </c>
      <c r="D1149" s="13" t="s">
        <v>1474</v>
      </c>
      <c r="E1149" s="13">
        <v>0.0795134450300601</v>
      </c>
      <c r="F1149" s="13">
        <v>0.00685631756816647</v>
      </c>
      <c r="G1149" s="13">
        <v>11.5971064991558</v>
      </c>
      <c r="H1149" s="63">
        <v>4.26247246235039E-31</v>
      </c>
      <c r="I1149" s="13">
        <v>2816364.0</v>
      </c>
      <c r="J1149" s="31" t="s">
        <v>1796</v>
      </c>
      <c r="K1149" s="31" t="s">
        <v>1793</v>
      </c>
      <c r="L1149" s="31"/>
      <c r="M1149" s="31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1"/>
      <c r="Z1149" s="31"/>
    </row>
    <row r="1150" ht="15.75" customHeight="1">
      <c r="A1150" s="13" t="s">
        <v>477</v>
      </c>
      <c r="B1150" s="13" t="s">
        <v>411</v>
      </c>
      <c r="C1150" s="13" t="s">
        <v>570</v>
      </c>
      <c r="D1150" s="13" t="s">
        <v>1474</v>
      </c>
      <c r="E1150" s="13">
        <v>0.0120927670187142</v>
      </c>
      <c r="F1150" s="13">
        <v>0.0150579521637817</v>
      </c>
      <c r="G1150" s="13">
        <v>0.803081779460059</v>
      </c>
      <c r="H1150" s="13">
        <v>0.421927468271094</v>
      </c>
      <c r="I1150" s="13">
        <v>124968.0</v>
      </c>
      <c r="J1150" s="31" t="s">
        <v>1796</v>
      </c>
      <c r="K1150" s="31" t="s">
        <v>1793</v>
      </c>
      <c r="L1150" s="31"/>
      <c r="M1150" s="31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1"/>
      <c r="Z1150" s="31"/>
    </row>
    <row r="1151" ht="15.75" customHeight="1">
      <c r="A1151" s="13" t="s">
        <v>477</v>
      </c>
      <c r="B1151" s="13" t="s">
        <v>411</v>
      </c>
      <c r="C1151" s="13" t="s">
        <v>42</v>
      </c>
      <c r="D1151" s="13" t="s">
        <v>1474</v>
      </c>
      <c r="E1151" s="13">
        <v>-0.00996324351145411</v>
      </c>
      <c r="F1151" s="13">
        <v>0.0046270915668278</v>
      </c>
      <c r="G1151" s="13">
        <v>-2.15324105165366</v>
      </c>
      <c r="H1151" s="13">
        <v>0.0312997389198435</v>
      </c>
      <c r="I1151" s="13">
        <v>1918386.0</v>
      </c>
      <c r="J1151" s="31" t="s">
        <v>1796</v>
      </c>
      <c r="K1151" s="31" t="s">
        <v>1793</v>
      </c>
      <c r="L1151" s="31"/>
      <c r="M1151" s="31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1"/>
      <c r="Z1151" s="31"/>
    </row>
    <row r="1152" ht="15.75" customHeight="1">
      <c r="A1152" s="13" t="s">
        <v>477</v>
      </c>
      <c r="B1152" s="13" t="s">
        <v>411</v>
      </c>
      <c r="C1152" s="13" t="s">
        <v>55</v>
      </c>
      <c r="D1152" s="13" t="s">
        <v>1474</v>
      </c>
      <c r="E1152" s="13">
        <v>0.00791106968522758</v>
      </c>
      <c r="F1152" s="13">
        <v>0.00535774170121304</v>
      </c>
      <c r="G1152" s="13">
        <v>1.47656795090297</v>
      </c>
      <c r="H1152" s="13">
        <v>0.139791487993397</v>
      </c>
      <c r="I1152" s="13">
        <v>1917683.0</v>
      </c>
      <c r="J1152" s="31" t="s">
        <v>1796</v>
      </c>
      <c r="K1152" s="31" t="s">
        <v>1793</v>
      </c>
      <c r="L1152" s="31"/>
      <c r="M1152" s="31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</row>
    <row r="1153" ht="15.75" customHeight="1">
      <c r="A1153" s="13" t="s">
        <v>477</v>
      </c>
      <c r="B1153" s="13" t="s">
        <v>411</v>
      </c>
      <c r="C1153" s="13" t="s">
        <v>1797</v>
      </c>
      <c r="D1153" s="13" t="s">
        <v>1474</v>
      </c>
      <c r="E1153" s="13">
        <v>0.00499136027990186</v>
      </c>
      <c r="F1153" s="13">
        <v>0.00476858529232222</v>
      </c>
      <c r="G1153" s="13">
        <v>1.04671720728961</v>
      </c>
      <c r="H1153" s="13">
        <v>0.295230025102756</v>
      </c>
      <c r="I1153" s="13">
        <v>1918289.0</v>
      </c>
      <c r="J1153" s="31" t="s">
        <v>1796</v>
      </c>
      <c r="K1153" s="31" t="s">
        <v>1793</v>
      </c>
      <c r="L1153" s="31"/>
      <c r="M1153" s="31"/>
      <c r="N1153" s="31"/>
      <c r="O1153" s="31"/>
      <c r="P1153" s="31"/>
      <c r="Q1153" s="31"/>
      <c r="R1153" s="31"/>
      <c r="S1153" s="31"/>
      <c r="T1153" s="31"/>
      <c r="U1153" s="31"/>
      <c r="V1153" s="31"/>
      <c r="W1153" s="31"/>
      <c r="X1153" s="31"/>
      <c r="Y1153" s="31"/>
      <c r="Z1153" s="31"/>
    </row>
    <row r="1154" ht="15.75" customHeight="1">
      <c r="A1154" s="13" t="s">
        <v>1353</v>
      </c>
      <c r="B1154" s="13" t="s">
        <v>411</v>
      </c>
      <c r="C1154" s="13" t="s">
        <v>570</v>
      </c>
      <c r="D1154" s="13" t="s">
        <v>1474</v>
      </c>
      <c r="E1154" s="13">
        <v>-0.549336365871086</v>
      </c>
      <c r="F1154" s="13">
        <v>0.009751287261239</v>
      </c>
      <c r="G1154" s="13">
        <v>-56.3347536744894</v>
      </c>
      <c r="H1154" s="13">
        <v>0.0</v>
      </c>
      <c r="I1154" s="13">
        <v>168071.0</v>
      </c>
      <c r="J1154" s="31" t="s">
        <v>1796</v>
      </c>
      <c r="K1154" s="31" t="s">
        <v>1793</v>
      </c>
      <c r="L1154" s="31"/>
      <c r="M1154" s="31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1"/>
      <c r="Z1154" s="31"/>
    </row>
    <row r="1155" ht="15.75" customHeight="1">
      <c r="A1155" s="13" t="s">
        <v>1353</v>
      </c>
      <c r="B1155" s="13" t="s">
        <v>411</v>
      </c>
      <c r="C1155" s="13" t="s">
        <v>42</v>
      </c>
      <c r="D1155" s="13" t="s">
        <v>1474</v>
      </c>
      <c r="E1155" s="13">
        <v>-0.551554112401741</v>
      </c>
      <c r="F1155" s="13">
        <v>0.00616237726798095</v>
      </c>
      <c r="G1155" s="13">
        <v>-89.5034640718212</v>
      </c>
      <c r="H1155" s="13">
        <v>0.0</v>
      </c>
      <c r="I1155" s="13">
        <v>2807391.0</v>
      </c>
      <c r="J1155" s="31" t="s">
        <v>1796</v>
      </c>
      <c r="K1155" s="31" t="s">
        <v>1793</v>
      </c>
      <c r="L1155" s="31"/>
      <c r="M1155" s="31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1"/>
      <c r="Z1155" s="31"/>
    </row>
    <row r="1156" ht="15.75" customHeight="1">
      <c r="A1156" s="13" t="s">
        <v>1353</v>
      </c>
      <c r="B1156" s="13" t="s">
        <v>411</v>
      </c>
      <c r="C1156" s="13" t="s">
        <v>55</v>
      </c>
      <c r="D1156" s="13" t="s">
        <v>1474</v>
      </c>
      <c r="E1156" s="13">
        <v>-0.502295131082944</v>
      </c>
      <c r="F1156" s="13">
        <v>0.00600843809540261</v>
      </c>
      <c r="G1156" s="13">
        <v>-83.5982867939136</v>
      </c>
      <c r="H1156" s="13">
        <v>0.0</v>
      </c>
      <c r="I1156" s="13">
        <v>2801381.0</v>
      </c>
      <c r="J1156" s="31" t="s">
        <v>1796</v>
      </c>
      <c r="K1156" s="31" t="s">
        <v>1793</v>
      </c>
      <c r="L1156" s="31"/>
      <c r="M1156" s="31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1"/>
      <c r="Z1156" s="31"/>
    </row>
    <row r="1157" ht="15.75" customHeight="1">
      <c r="A1157" s="13" t="s">
        <v>1353</v>
      </c>
      <c r="B1157" s="13" t="s">
        <v>411</v>
      </c>
      <c r="C1157" s="13" t="s">
        <v>1797</v>
      </c>
      <c r="D1157" s="13" t="s">
        <v>1474</v>
      </c>
      <c r="E1157" s="13">
        <v>0.23064909728877</v>
      </c>
      <c r="F1157" s="13">
        <v>0.00710975996510961</v>
      </c>
      <c r="G1157" s="13">
        <v>32.4411932921302</v>
      </c>
      <c r="H1157" s="63">
        <v>7.21005855559051E-231</v>
      </c>
      <c r="I1157" s="13">
        <v>2808207.0</v>
      </c>
      <c r="J1157" s="31" t="s">
        <v>1796</v>
      </c>
      <c r="K1157" s="31" t="s">
        <v>1793</v>
      </c>
      <c r="L1157" s="31"/>
      <c r="M1157" s="31"/>
      <c r="N1157" s="31"/>
      <c r="O1157" s="31"/>
      <c r="P1157" s="31"/>
      <c r="Q1157" s="31"/>
      <c r="R1157" s="31"/>
      <c r="S1157" s="31"/>
      <c r="T1157" s="31"/>
      <c r="U1157" s="31"/>
      <c r="V1157" s="31"/>
      <c r="W1157" s="31"/>
      <c r="X1157" s="31"/>
      <c r="Y1157" s="31"/>
      <c r="Z1157" s="31"/>
    </row>
    <row r="1158" ht="15.75" customHeight="1">
      <c r="A1158" s="13" t="s">
        <v>1357</v>
      </c>
      <c r="B1158" s="13" t="s">
        <v>411</v>
      </c>
      <c r="C1158" s="13" t="s">
        <v>570</v>
      </c>
      <c r="D1158" s="13" t="s">
        <v>1474</v>
      </c>
      <c r="E1158" s="13">
        <v>-0.400091429081861</v>
      </c>
      <c r="F1158" s="13">
        <v>0.011709005277063</v>
      </c>
      <c r="G1158" s="13">
        <v>-34.1695489595179</v>
      </c>
      <c r="H1158" s="63">
        <v>6.8535370524194E-256</v>
      </c>
      <c r="I1158" s="13">
        <v>167234.0</v>
      </c>
      <c r="J1158" s="31" t="s">
        <v>1796</v>
      </c>
      <c r="K1158" s="31" t="s">
        <v>1793</v>
      </c>
      <c r="L1158" s="31"/>
      <c r="M1158" s="31"/>
      <c r="N1158" s="31"/>
      <c r="O1158" s="31"/>
      <c r="P1158" s="31"/>
      <c r="Q1158" s="31"/>
      <c r="R1158" s="31"/>
      <c r="S1158" s="31"/>
      <c r="T1158" s="31"/>
      <c r="U1158" s="31"/>
      <c r="V1158" s="31"/>
      <c r="W1158" s="31"/>
      <c r="X1158" s="31"/>
      <c r="Y1158" s="31"/>
      <c r="Z1158" s="31"/>
    </row>
    <row r="1159" ht="15.75" customHeight="1">
      <c r="A1159" s="13" t="s">
        <v>1357</v>
      </c>
      <c r="B1159" s="13" t="s">
        <v>411</v>
      </c>
      <c r="C1159" s="13" t="s">
        <v>42</v>
      </c>
      <c r="D1159" s="13" t="s">
        <v>1474</v>
      </c>
      <c r="E1159" s="13">
        <v>-0.361800808459712</v>
      </c>
      <c r="F1159" s="13">
        <v>0.00784120671578477</v>
      </c>
      <c r="G1159" s="13">
        <v>-46.1409603870521</v>
      </c>
      <c r="H1159" s="13">
        <v>0.0</v>
      </c>
      <c r="I1159" s="13">
        <v>2794339.0</v>
      </c>
      <c r="J1159" s="31" t="s">
        <v>1796</v>
      </c>
      <c r="K1159" s="31" t="s">
        <v>1793</v>
      </c>
      <c r="L1159" s="31"/>
      <c r="M1159" s="31"/>
      <c r="N1159" s="31"/>
      <c r="O1159" s="31"/>
      <c r="P1159" s="31"/>
      <c r="Q1159" s="31"/>
      <c r="R1159" s="31"/>
      <c r="S1159" s="31"/>
      <c r="T1159" s="31"/>
      <c r="U1159" s="31"/>
      <c r="V1159" s="31"/>
      <c r="W1159" s="31"/>
      <c r="X1159" s="31"/>
      <c r="Y1159" s="31"/>
      <c r="Z1159" s="31"/>
    </row>
    <row r="1160" ht="15.75" customHeight="1">
      <c r="A1160" s="13" t="s">
        <v>1357</v>
      </c>
      <c r="B1160" s="13" t="s">
        <v>411</v>
      </c>
      <c r="C1160" s="13" t="s">
        <v>55</v>
      </c>
      <c r="D1160" s="13" t="s">
        <v>1474</v>
      </c>
      <c r="E1160" s="13">
        <v>-0.352425868666671</v>
      </c>
      <c r="F1160" s="13">
        <v>0.00741155479113278</v>
      </c>
      <c r="G1160" s="13">
        <v>-47.5508686906444</v>
      </c>
      <c r="H1160" s="13">
        <v>0.0</v>
      </c>
      <c r="I1160" s="13">
        <v>2788329.0</v>
      </c>
      <c r="J1160" s="31" t="s">
        <v>1796</v>
      </c>
      <c r="K1160" s="31" t="s">
        <v>1793</v>
      </c>
      <c r="L1160" s="31"/>
      <c r="M1160" s="31"/>
      <c r="N1160" s="31"/>
      <c r="O1160" s="31"/>
      <c r="P1160" s="31"/>
      <c r="Q1160" s="31"/>
      <c r="R1160" s="31"/>
      <c r="S1160" s="31"/>
      <c r="T1160" s="31"/>
      <c r="U1160" s="31"/>
      <c r="V1160" s="31"/>
      <c r="W1160" s="31"/>
      <c r="X1160" s="31"/>
      <c r="Y1160" s="31"/>
      <c r="Z1160" s="31"/>
    </row>
    <row r="1161" ht="15.75" customHeight="1">
      <c r="A1161" s="13" t="s">
        <v>1357</v>
      </c>
      <c r="B1161" s="13" t="s">
        <v>411</v>
      </c>
      <c r="C1161" s="13" t="s">
        <v>1797</v>
      </c>
      <c r="D1161" s="13" t="s">
        <v>1474</v>
      </c>
      <c r="E1161" s="13">
        <v>0.169519656901432</v>
      </c>
      <c r="F1161" s="13">
        <v>0.00749101796661185</v>
      </c>
      <c r="G1161" s="13">
        <v>22.6297223764509</v>
      </c>
      <c r="H1161" s="63">
        <v>2.20990441097209E-113</v>
      </c>
      <c r="I1161" s="13">
        <v>2795142.0</v>
      </c>
      <c r="J1161" s="31" t="s">
        <v>1796</v>
      </c>
      <c r="K1161" s="31" t="s">
        <v>1793</v>
      </c>
      <c r="L1161" s="31"/>
      <c r="M1161" s="31"/>
      <c r="N1161" s="31"/>
      <c r="O1161" s="31"/>
      <c r="P1161" s="31"/>
      <c r="Q1161" s="31"/>
      <c r="R1161" s="31"/>
      <c r="S1161" s="31"/>
      <c r="T1161" s="31"/>
      <c r="U1161" s="31"/>
      <c r="V1161" s="31"/>
      <c r="W1161" s="31"/>
      <c r="X1161" s="31"/>
      <c r="Y1161" s="31"/>
      <c r="Z1161" s="31"/>
    </row>
    <row r="1162" ht="15.75" customHeight="1">
      <c r="A1162" s="13" t="s">
        <v>1359</v>
      </c>
      <c r="B1162" s="13" t="s">
        <v>411</v>
      </c>
      <c r="C1162" s="13" t="s">
        <v>570</v>
      </c>
      <c r="D1162" s="13" t="s">
        <v>1474</v>
      </c>
      <c r="E1162" s="13">
        <v>-0.496439365575296</v>
      </c>
      <c r="F1162" s="13">
        <v>0.0105137310504351</v>
      </c>
      <c r="G1162" s="13">
        <v>-47.2181914482919</v>
      </c>
      <c r="H1162" s="13">
        <v>0.0</v>
      </c>
      <c r="I1162" s="13">
        <v>168753.0</v>
      </c>
      <c r="J1162" s="31" t="s">
        <v>1796</v>
      </c>
      <c r="K1162" s="31" t="s">
        <v>1793</v>
      </c>
      <c r="L1162" s="31"/>
      <c r="M1162" s="31"/>
      <c r="N1162" s="31"/>
      <c r="O1162" s="31"/>
      <c r="P1162" s="31"/>
      <c r="Q1162" s="31"/>
      <c r="R1162" s="31"/>
      <c r="S1162" s="31"/>
      <c r="T1162" s="31"/>
      <c r="U1162" s="31"/>
      <c r="V1162" s="31"/>
      <c r="W1162" s="31"/>
      <c r="X1162" s="31"/>
      <c r="Y1162" s="31"/>
      <c r="Z1162" s="31"/>
    </row>
    <row r="1163" ht="15.75" customHeight="1">
      <c r="A1163" s="13" t="s">
        <v>1359</v>
      </c>
      <c r="B1163" s="13" t="s">
        <v>411</v>
      </c>
      <c r="C1163" s="13" t="s">
        <v>42</v>
      </c>
      <c r="D1163" s="13" t="s">
        <v>1474</v>
      </c>
      <c r="E1163" s="13">
        <v>-0.491032759512238</v>
      </c>
      <c r="F1163" s="13">
        <v>0.00695651620791463</v>
      </c>
      <c r="G1163" s="13">
        <v>-70.5860153036912</v>
      </c>
      <c r="H1163" s="13">
        <v>0.0</v>
      </c>
      <c r="I1163" s="13">
        <v>2817330.0</v>
      </c>
      <c r="J1163" s="31" t="s">
        <v>1796</v>
      </c>
      <c r="K1163" s="31" t="s">
        <v>1793</v>
      </c>
      <c r="L1163" s="31"/>
      <c r="M1163" s="31"/>
      <c r="N1163" s="31"/>
      <c r="O1163" s="31"/>
      <c r="P1163" s="31"/>
      <c r="Q1163" s="31"/>
      <c r="R1163" s="31"/>
      <c r="S1163" s="31"/>
      <c r="T1163" s="31"/>
      <c r="U1163" s="31"/>
      <c r="V1163" s="31"/>
      <c r="W1163" s="31"/>
      <c r="X1163" s="31"/>
      <c r="Y1163" s="31"/>
      <c r="Z1163" s="31"/>
    </row>
    <row r="1164" ht="15.75" customHeight="1">
      <c r="A1164" s="13" t="s">
        <v>1359</v>
      </c>
      <c r="B1164" s="13" t="s">
        <v>411</v>
      </c>
      <c r="C1164" s="13" t="s">
        <v>55</v>
      </c>
      <c r="D1164" s="13" t="s">
        <v>1474</v>
      </c>
      <c r="E1164" s="13">
        <v>-0.45098824408254</v>
      </c>
      <c r="F1164" s="13">
        <v>0.00644897556352596</v>
      </c>
      <c r="G1164" s="13">
        <v>-69.9317650749421</v>
      </c>
      <c r="H1164" s="13">
        <v>0.0</v>
      </c>
      <c r="I1164" s="13">
        <v>2811306.0</v>
      </c>
      <c r="J1164" s="31" t="s">
        <v>1796</v>
      </c>
      <c r="K1164" s="31" t="s">
        <v>1793</v>
      </c>
      <c r="L1164" s="31"/>
      <c r="M1164" s="31"/>
      <c r="N1164" s="31"/>
      <c r="O1164" s="31"/>
      <c r="P1164" s="31"/>
      <c r="Q1164" s="31"/>
      <c r="R1164" s="31"/>
      <c r="S1164" s="31"/>
      <c r="T1164" s="31"/>
      <c r="U1164" s="31"/>
      <c r="V1164" s="31"/>
      <c r="W1164" s="31"/>
      <c r="X1164" s="31"/>
      <c r="Y1164" s="31"/>
      <c r="Z1164" s="31"/>
    </row>
    <row r="1165" ht="15.75" customHeight="1">
      <c r="A1165" s="13" t="s">
        <v>1359</v>
      </c>
      <c r="B1165" s="13" t="s">
        <v>411</v>
      </c>
      <c r="C1165" s="13" t="s">
        <v>1797</v>
      </c>
      <c r="D1165" s="13" t="s">
        <v>1474</v>
      </c>
      <c r="E1165" s="13">
        <v>0.208342467495296</v>
      </c>
      <c r="F1165" s="13">
        <v>0.00730104202651026</v>
      </c>
      <c r="G1165" s="13">
        <v>28.5359907173249</v>
      </c>
      <c r="H1165" s="63">
        <v>4.19195312118806E-179</v>
      </c>
      <c r="I1165" s="13">
        <v>2818151.0</v>
      </c>
      <c r="J1165" s="31" t="s">
        <v>1796</v>
      </c>
      <c r="K1165" s="31" t="s">
        <v>1793</v>
      </c>
      <c r="L1165" s="31"/>
      <c r="M1165" s="31"/>
      <c r="N1165" s="31"/>
      <c r="O1165" s="31"/>
      <c r="P1165" s="31"/>
      <c r="Q1165" s="31"/>
      <c r="R1165" s="31"/>
      <c r="S1165" s="31"/>
      <c r="T1165" s="31"/>
      <c r="U1165" s="31"/>
      <c r="V1165" s="31"/>
      <c r="W1165" s="31"/>
      <c r="X1165" s="31"/>
      <c r="Y1165" s="31"/>
      <c r="Z1165" s="31"/>
    </row>
    <row r="1166" ht="15.75" customHeight="1">
      <c r="A1166" s="13" t="s">
        <v>1361</v>
      </c>
      <c r="B1166" s="13" t="s">
        <v>411</v>
      </c>
      <c r="C1166" s="13" t="s">
        <v>570</v>
      </c>
      <c r="D1166" s="13" t="s">
        <v>1474</v>
      </c>
      <c r="E1166" s="13">
        <v>-0.337306693818077</v>
      </c>
      <c r="F1166" s="13">
        <v>0.0121083648337925</v>
      </c>
      <c r="G1166" s="13">
        <v>-27.8573282559761</v>
      </c>
      <c r="H1166" s="63">
        <v>8.78029687998645E-171</v>
      </c>
      <c r="I1166" s="13">
        <v>168614.0</v>
      </c>
      <c r="J1166" s="31" t="s">
        <v>1796</v>
      </c>
      <c r="K1166" s="31" t="s">
        <v>1793</v>
      </c>
      <c r="L1166" s="31"/>
      <c r="M1166" s="31"/>
      <c r="N1166" s="31"/>
      <c r="O1166" s="31"/>
      <c r="P1166" s="31"/>
      <c r="Q1166" s="31"/>
      <c r="R1166" s="31"/>
      <c r="S1166" s="31"/>
      <c r="T1166" s="31"/>
      <c r="U1166" s="31"/>
      <c r="V1166" s="31"/>
      <c r="W1166" s="31"/>
      <c r="X1166" s="31"/>
      <c r="Y1166" s="31"/>
      <c r="Z1166" s="31"/>
    </row>
    <row r="1167" ht="15.75" customHeight="1">
      <c r="A1167" s="13" t="s">
        <v>1361</v>
      </c>
      <c r="B1167" s="13" t="s">
        <v>411</v>
      </c>
      <c r="C1167" s="13" t="s">
        <v>42</v>
      </c>
      <c r="D1167" s="13" t="s">
        <v>1474</v>
      </c>
      <c r="E1167" s="13">
        <v>-0.306702799762865</v>
      </c>
      <c r="F1167" s="13">
        <v>0.00806955690007836</v>
      </c>
      <c r="G1167" s="13">
        <v>-38.0073904379913</v>
      </c>
      <c r="H1167" s="13">
        <v>0.0</v>
      </c>
      <c r="I1167" s="13">
        <v>2816221.0</v>
      </c>
      <c r="J1167" s="31" t="s">
        <v>1796</v>
      </c>
      <c r="K1167" s="31" t="s">
        <v>1793</v>
      </c>
      <c r="L1167" s="31"/>
      <c r="M1167" s="31"/>
      <c r="N1167" s="31"/>
      <c r="O1167" s="31"/>
      <c r="P1167" s="31"/>
      <c r="Q1167" s="31"/>
      <c r="R1167" s="31"/>
      <c r="S1167" s="31"/>
      <c r="T1167" s="31"/>
      <c r="U1167" s="31"/>
      <c r="V1167" s="31"/>
      <c r="W1167" s="31"/>
      <c r="X1167" s="31"/>
      <c r="Y1167" s="31"/>
      <c r="Z1167" s="31"/>
    </row>
    <row r="1168" ht="15.75" customHeight="1">
      <c r="A1168" s="13" t="s">
        <v>1361</v>
      </c>
      <c r="B1168" s="13" t="s">
        <v>411</v>
      </c>
      <c r="C1168" s="13" t="s">
        <v>55</v>
      </c>
      <c r="D1168" s="13" t="s">
        <v>1474</v>
      </c>
      <c r="E1168" s="13">
        <v>-0.308711998573048</v>
      </c>
      <c r="F1168" s="13">
        <v>0.00737277848631855</v>
      </c>
      <c r="G1168" s="13">
        <v>-41.8718667793852</v>
      </c>
      <c r="H1168" s="13">
        <v>0.0</v>
      </c>
      <c r="I1168" s="13">
        <v>2810190.0</v>
      </c>
      <c r="J1168" s="31" t="s">
        <v>1796</v>
      </c>
      <c r="K1168" s="31" t="s">
        <v>1793</v>
      </c>
      <c r="L1168" s="31"/>
      <c r="M1168" s="31"/>
      <c r="N1168" s="31"/>
      <c r="O1168" s="31"/>
      <c r="P1168" s="31"/>
      <c r="Q1168" s="31"/>
      <c r="R1168" s="31"/>
      <c r="S1168" s="31"/>
      <c r="T1168" s="31"/>
      <c r="U1168" s="31"/>
      <c r="V1168" s="31"/>
      <c r="W1168" s="31"/>
      <c r="X1168" s="31"/>
      <c r="Y1168" s="31"/>
      <c r="Z1168" s="31"/>
    </row>
    <row r="1169" ht="15.75" customHeight="1">
      <c r="A1169" s="13" t="s">
        <v>1361</v>
      </c>
      <c r="B1169" s="13" t="s">
        <v>411</v>
      </c>
      <c r="C1169" s="13" t="s">
        <v>1797</v>
      </c>
      <c r="D1169" s="13" t="s">
        <v>1474</v>
      </c>
      <c r="E1169" s="13">
        <v>0.154150033303951</v>
      </c>
      <c r="F1169" s="13">
        <v>0.00688061184746013</v>
      </c>
      <c r="G1169" s="13">
        <v>22.4035357205701</v>
      </c>
      <c r="H1169" s="63">
        <v>3.63549856736591E-111</v>
      </c>
      <c r="I1169" s="13">
        <v>2817029.0</v>
      </c>
      <c r="J1169" s="31" t="s">
        <v>1796</v>
      </c>
      <c r="K1169" s="31" t="s">
        <v>1793</v>
      </c>
      <c r="L1169" s="31"/>
      <c r="M1169" s="31"/>
      <c r="N1169" s="31"/>
      <c r="O1169" s="31"/>
      <c r="P1169" s="31"/>
      <c r="Q1169" s="31"/>
      <c r="R1169" s="31"/>
      <c r="S1169" s="31"/>
      <c r="T1169" s="31"/>
      <c r="U1169" s="31"/>
      <c r="V1169" s="31"/>
      <c r="W1169" s="31"/>
      <c r="X1169" s="31"/>
      <c r="Y1169" s="31"/>
      <c r="Z1169" s="31"/>
    </row>
    <row r="1170" ht="15.75" customHeight="1">
      <c r="A1170" s="13" t="s">
        <v>1363</v>
      </c>
      <c r="B1170" s="13" t="s">
        <v>411</v>
      </c>
      <c r="C1170" s="13" t="s">
        <v>570</v>
      </c>
      <c r="D1170" s="13" t="s">
        <v>1474</v>
      </c>
      <c r="E1170" s="13">
        <v>-0.474171683866412</v>
      </c>
      <c r="F1170" s="13">
        <v>0.0105584122417351</v>
      </c>
      <c r="G1170" s="13">
        <v>-44.9093739674334</v>
      </c>
      <c r="H1170" s="13">
        <v>0.0</v>
      </c>
      <c r="I1170" s="13">
        <v>167802.0</v>
      </c>
      <c r="J1170" s="31" t="s">
        <v>1796</v>
      </c>
      <c r="K1170" s="31" t="s">
        <v>1793</v>
      </c>
      <c r="L1170" s="31"/>
      <c r="M1170" s="31"/>
      <c r="N1170" s="31"/>
      <c r="O1170" s="31"/>
      <c r="P1170" s="31"/>
      <c r="Q1170" s="31"/>
      <c r="R1170" s="31"/>
      <c r="S1170" s="31"/>
      <c r="T1170" s="31"/>
      <c r="U1170" s="31"/>
      <c r="V1170" s="31"/>
      <c r="W1170" s="31"/>
      <c r="X1170" s="31"/>
      <c r="Y1170" s="31"/>
      <c r="Z1170" s="31"/>
    </row>
    <row r="1171" ht="15.75" customHeight="1">
      <c r="A1171" s="13" t="s">
        <v>1363</v>
      </c>
      <c r="B1171" s="13" t="s">
        <v>411</v>
      </c>
      <c r="C1171" s="13" t="s">
        <v>42</v>
      </c>
      <c r="D1171" s="13" t="s">
        <v>1474</v>
      </c>
      <c r="E1171" s="13">
        <v>-0.460015403938717</v>
      </c>
      <c r="F1171" s="13">
        <v>0.00745954060300031</v>
      </c>
      <c r="G1171" s="13">
        <v>-61.6680608660665</v>
      </c>
      <c r="H1171" s="13">
        <v>0.0</v>
      </c>
      <c r="I1171" s="13">
        <v>2802302.0</v>
      </c>
      <c r="J1171" s="31" t="s">
        <v>1796</v>
      </c>
      <c r="K1171" s="31" t="s">
        <v>1793</v>
      </c>
      <c r="L1171" s="31"/>
      <c r="M1171" s="31"/>
      <c r="N1171" s="31"/>
      <c r="O1171" s="31"/>
      <c r="P1171" s="31"/>
      <c r="Q1171" s="31"/>
      <c r="R1171" s="31"/>
      <c r="S1171" s="31"/>
      <c r="T1171" s="31"/>
      <c r="U1171" s="31"/>
      <c r="V1171" s="31"/>
      <c r="W1171" s="31"/>
      <c r="X1171" s="31"/>
      <c r="Y1171" s="31"/>
      <c r="Z1171" s="31"/>
    </row>
    <row r="1172" ht="15.75" customHeight="1">
      <c r="A1172" s="13" t="s">
        <v>1363</v>
      </c>
      <c r="B1172" s="13" t="s">
        <v>411</v>
      </c>
      <c r="C1172" s="13" t="s">
        <v>55</v>
      </c>
      <c r="D1172" s="13" t="s">
        <v>1474</v>
      </c>
      <c r="E1172" s="13">
        <v>-0.426705925961906</v>
      </c>
      <c r="F1172" s="13">
        <v>0.0071004897537327</v>
      </c>
      <c r="G1172" s="13">
        <v>-60.0952808554632</v>
      </c>
      <c r="H1172" s="13">
        <v>0.0</v>
      </c>
      <c r="I1172" s="13">
        <v>2796290.0</v>
      </c>
      <c r="J1172" s="31" t="s">
        <v>1796</v>
      </c>
      <c r="K1172" s="31" t="s">
        <v>1793</v>
      </c>
      <c r="L1172" s="31"/>
      <c r="M1172" s="31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1"/>
      <c r="Z1172" s="31"/>
    </row>
    <row r="1173" ht="15.75" customHeight="1">
      <c r="A1173" s="13" t="s">
        <v>1363</v>
      </c>
      <c r="B1173" s="13" t="s">
        <v>411</v>
      </c>
      <c r="C1173" s="13" t="s">
        <v>1797</v>
      </c>
      <c r="D1173" s="13" t="s">
        <v>1474</v>
      </c>
      <c r="E1173" s="13">
        <v>0.199227068257945</v>
      </c>
      <c r="F1173" s="13">
        <v>0.00685845486011305</v>
      </c>
      <c r="G1173" s="13">
        <v>29.0483895165071</v>
      </c>
      <c r="H1173" s="63">
        <v>1.61258655354749E-185</v>
      </c>
      <c r="I1173" s="13">
        <v>2803105.0</v>
      </c>
      <c r="J1173" s="31" t="s">
        <v>1796</v>
      </c>
      <c r="K1173" s="31" t="s">
        <v>1793</v>
      </c>
      <c r="L1173" s="31"/>
      <c r="M1173" s="31"/>
      <c r="N1173" s="31"/>
      <c r="O1173" s="31"/>
      <c r="P1173" s="31"/>
      <c r="Q1173" s="31"/>
      <c r="R1173" s="31"/>
      <c r="S1173" s="31"/>
      <c r="T1173" s="31"/>
      <c r="U1173" s="31"/>
      <c r="V1173" s="31"/>
      <c r="W1173" s="31"/>
      <c r="X1173" s="31"/>
      <c r="Y1173" s="31"/>
      <c r="Z1173" s="31"/>
    </row>
    <row r="1174" ht="15.75" customHeight="1">
      <c r="A1174" s="13" t="s">
        <v>1365</v>
      </c>
      <c r="B1174" s="13" t="s">
        <v>411</v>
      </c>
      <c r="C1174" s="13" t="s">
        <v>570</v>
      </c>
      <c r="D1174" s="13" t="s">
        <v>1474</v>
      </c>
      <c r="E1174" s="13">
        <v>-0.0639501608604256</v>
      </c>
      <c r="F1174" s="13">
        <v>0.0129478559625327</v>
      </c>
      <c r="G1174" s="13">
        <v>-4.93905408319944</v>
      </c>
      <c r="H1174" s="63">
        <v>7.85024396537496E-7</v>
      </c>
      <c r="I1174" s="13">
        <v>168262.0</v>
      </c>
      <c r="J1174" s="31" t="s">
        <v>1796</v>
      </c>
      <c r="K1174" s="31" t="s">
        <v>1793</v>
      </c>
      <c r="L1174" s="31"/>
      <c r="M1174" s="31"/>
      <c r="N1174" s="31"/>
      <c r="O1174" s="31"/>
      <c r="P1174" s="31"/>
      <c r="Q1174" s="31"/>
      <c r="R1174" s="31"/>
      <c r="S1174" s="31"/>
      <c r="T1174" s="31"/>
      <c r="U1174" s="31"/>
      <c r="V1174" s="31"/>
      <c r="W1174" s="31"/>
      <c r="X1174" s="31"/>
      <c r="Y1174" s="31"/>
      <c r="Z1174" s="31"/>
    </row>
    <row r="1175" ht="15.75" customHeight="1">
      <c r="A1175" s="13" t="s">
        <v>1365</v>
      </c>
      <c r="B1175" s="13" t="s">
        <v>411</v>
      </c>
      <c r="C1175" s="13" t="s">
        <v>42</v>
      </c>
      <c r="D1175" s="13" t="s">
        <v>1474</v>
      </c>
      <c r="E1175" s="13">
        <v>0.0350466977678593</v>
      </c>
      <c r="F1175" s="13">
        <v>0.00457265650236722</v>
      </c>
      <c r="G1175" s="13">
        <v>7.66440640133716</v>
      </c>
      <c r="H1175" s="63">
        <v>1.79660169987496E-14</v>
      </c>
      <c r="I1175" s="13">
        <v>2808749.0</v>
      </c>
      <c r="J1175" s="31" t="s">
        <v>1796</v>
      </c>
      <c r="K1175" s="31" t="s">
        <v>1793</v>
      </c>
      <c r="L1175" s="31"/>
      <c r="M1175" s="31"/>
      <c r="N1175" s="31"/>
      <c r="O1175" s="31"/>
      <c r="P1175" s="31"/>
      <c r="Q1175" s="31"/>
      <c r="R1175" s="31"/>
      <c r="S1175" s="31"/>
      <c r="T1175" s="31"/>
      <c r="U1175" s="31"/>
      <c r="V1175" s="31"/>
      <c r="W1175" s="31"/>
      <c r="X1175" s="31"/>
      <c r="Y1175" s="31"/>
      <c r="Z1175" s="31"/>
    </row>
    <row r="1176" ht="15.75" customHeight="1">
      <c r="A1176" s="13" t="s">
        <v>1365</v>
      </c>
      <c r="B1176" s="13" t="s">
        <v>411</v>
      </c>
      <c r="C1176" s="13" t="s">
        <v>55</v>
      </c>
      <c r="D1176" s="13" t="s">
        <v>1474</v>
      </c>
      <c r="E1176" s="13">
        <v>-0.0412224721068733</v>
      </c>
      <c r="F1176" s="13">
        <v>0.00508327638305806</v>
      </c>
      <c r="G1176" s="13">
        <v>-8.10942962776189</v>
      </c>
      <c r="H1176" s="63">
        <v>5.08579242986364E-16</v>
      </c>
      <c r="I1176" s="13">
        <v>2802749.0</v>
      </c>
      <c r="J1176" s="31" t="s">
        <v>1796</v>
      </c>
      <c r="K1176" s="31" t="s">
        <v>1793</v>
      </c>
      <c r="L1176" s="31"/>
      <c r="M1176" s="31"/>
      <c r="N1176" s="31"/>
      <c r="O1176" s="31"/>
      <c r="P1176" s="31"/>
      <c r="Q1176" s="31"/>
      <c r="R1176" s="31"/>
      <c r="S1176" s="31"/>
      <c r="T1176" s="31"/>
      <c r="U1176" s="31"/>
      <c r="V1176" s="31"/>
      <c r="W1176" s="31"/>
      <c r="X1176" s="31"/>
      <c r="Y1176" s="31"/>
      <c r="Z1176" s="31"/>
    </row>
    <row r="1177" ht="15.75" customHeight="1">
      <c r="A1177" s="13" t="s">
        <v>1365</v>
      </c>
      <c r="B1177" s="13" t="s">
        <v>411</v>
      </c>
      <c r="C1177" s="13" t="s">
        <v>1797</v>
      </c>
      <c r="D1177" s="13" t="s">
        <v>1474</v>
      </c>
      <c r="E1177" s="13">
        <v>-0.0313746106884725</v>
      </c>
      <c r="F1177" s="13">
        <v>0.00451177774884917</v>
      </c>
      <c r="G1177" s="13">
        <v>-6.95393532992072</v>
      </c>
      <c r="H1177" s="63">
        <v>3.55234502841136E-12</v>
      </c>
      <c r="I1177" s="13">
        <v>2809549.0</v>
      </c>
      <c r="J1177" s="31" t="s">
        <v>1796</v>
      </c>
      <c r="K1177" s="31" t="s">
        <v>1793</v>
      </c>
      <c r="L1177" s="31"/>
      <c r="M1177" s="31"/>
      <c r="N1177" s="31"/>
      <c r="O1177" s="31"/>
      <c r="P1177" s="31"/>
      <c r="Q1177" s="31"/>
      <c r="R1177" s="31"/>
      <c r="S1177" s="31"/>
      <c r="T1177" s="31"/>
      <c r="U1177" s="31"/>
      <c r="V1177" s="31"/>
      <c r="W1177" s="31"/>
      <c r="X1177" s="31"/>
      <c r="Y1177" s="31"/>
      <c r="Z1177" s="31"/>
    </row>
    <row r="1178" ht="15.75" customHeight="1">
      <c r="A1178" s="13" t="s">
        <v>1368</v>
      </c>
      <c r="B1178" s="13" t="s">
        <v>411</v>
      </c>
      <c r="C1178" s="13" t="s">
        <v>570</v>
      </c>
      <c r="D1178" s="13" t="s">
        <v>1474</v>
      </c>
      <c r="E1178" s="13">
        <v>-0.0649233954401586</v>
      </c>
      <c r="F1178" s="13">
        <v>0.0181852187081113</v>
      </c>
      <c r="G1178" s="13">
        <v>-3.57011903360832</v>
      </c>
      <c r="H1178" s="63">
        <v>3.56819047728098E-4</v>
      </c>
      <c r="I1178" s="13">
        <v>72073.0</v>
      </c>
      <c r="J1178" s="31" t="s">
        <v>1796</v>
      </c>
      <c r="K1178" s="31" t="s">
        <v>1793</v>
      </c>
      <c r="L1178" s="31"/>
      <c r="M1178" s="31"/>
      <c r="N1178" s="31"/>
      <c r="O1178" s="31"/>
      <c r="P1178" s="31"/>
      <c r="Q1178" s="31"/>
      <c r="R1178" s="31"/>
      <c r="S1178" s="31"/>
      <c r="T1178" s="31"/>
      <c r="U1178" s="31"/>
      <c r="V1178" s="31"/>
      <c r="W1178" s="31"/>
      <c r="X1178" s="31"/>
      <c r="Y1178" s="31"/>
      <c r="Z1178" s="31"/>
    </row>
    <row r="1179" ht="15.75" customHeight="1">
      <c r="A1179" s="13" t="s">
        <v>1368</v>
      </c>
      <c r="B1179" s="13" t="s">
        <v>411</v>
      </c>
      <c r="C1179" s="13" t="s">
        <v>42</v>
      </c>
      <c r="D1179" s="13" t="s">
        <v>1474</v>
      </c>
      <c r="E1179" s="13">
        <v>0.0387625769548308</v>
      </c>
      <c r="F1179" s="13">
        <v>0.00533815175476826</v>
      </c>
      <c r="G1179" s="13">
        <v>7.26142281740239</v>
      </c>
      <c r="H1179" s="63">
        <v>3.83039549344218E-13</v>
      </c>
      <c r="I1179" s="13">
        <v>1206934.0</v>
      </c>
      <c r="J1179" s="31" t="s">
        <v>1796</v>
      </c>
      <c r="K1179" s="31" t="s">
        <v>1793</v>
      </c>
      <c r="L1179" s="31"/>
      <c r="M1179" s="31"/>
      <c r="N1179" s="31"/>
      <c r="O1179" s="31"/>
      <c r="P1179" s="31"/>
      <c r="Q1179" s="31"/>
      <c r="R1179" s="31"/>
      <c r="S1179" s="31"/>
      <c r="T1179" s="31"/>
      <c r="U1179" s="31"/>
      <c r="V1179" s="31"/>
      <c r="W1179" s="31"/>
      <c r="X1179" s="31"/>
      <c r="Y1179" s="31"/>
      <c r="Z1179" s="31"/>
    </row>
    <row r="1180" ht="15.75" customHeight="1">
      <c r="A1180" s="13" t="s">
        <v>1368</v>
      </c>
      <c r="B1180" s="13" t="s">
        <v>411</v>
      </c>
      <c r="C1180" s="13" t="s">
        <v>55</v>
      </c>
      <c r="D1180" s="13" t="s">
        <v>1474</v>
      </c>
      <c r="E1180" s="13">
        <v>-0.0465252803837225</v>
      </c>
      <c r="F1180" s="13">
        <v>0.00597459443693577</v>
      </c>
      <c r="G1180" s="13">
        <v>-7.78718637303592</v>
      </c>
      <c r="H1180" s="63">
        <v>6.85178476633366E-15</v>
      </c>
      <c r="I1180" s="13">
        <v>1204177.0</v>
      </c>
      <c r="J1180" s="31" t="s">
        <v>1796</v>
      </c>
      <c r="K1180" s="31" t="s">
        <v>1793</v>
      </c>
      <c r="L1180" s="31"/>
      <c r="M1180" s="31"/>
      <c r="N1180" s="31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1"/>
      <c r="Z1180" s="31"/>
    </row>
    <row r="1181" ht="15.75" customHeight="1">
      <c r="A1181" s="13" t="s">
        <v>1368</v>
      </c>
      <c r="B1181" s="13" t="s">
        <v>411</v>
      </c>
      <c r="C1181" s="13" t="s">
        <v>1797</v>
      </c>
      <c r="D1181" s="13" t="s">
        <v>1474</v>
      </c>
      <c r="E1181" s="13">
        <v>-0.0275720328391261</v>
      </c>
      <c r="F1181" s="13">
        <v>0.00594539686872256</v>
      </c>
      <c r="G1181" s="13">
        <v>-4.63754286684823</v>
      </c>
      <c r="H1181" s="63">
        <v>3.52575503072148E-6</v>
      </c>
      <c r="I1181" s="13">
        <v>1207271.0</v>
      </c>
      <c r="J1181" s="31" t="s">
        <v>1796</v>
      </c>
      <c r="K1181" s="31" t="s">
        <v>1793</v>
      </c>
      <c r="L1181" s="31"/>
      <c r="M1181" s="31"/>
      <c r="N1181" s="31"/>
      <c r="O1181" s="31"/>
      <c r="P1181" s="31"/>
      <c r="Q1181" s="31"/>
      <c r="R1181" s="31"/>
      <c r="S1181" s="31"/>
      <c r="T1181" s="31"/>
      <c r="U1181" s="31"/>
      <c r="V1181" s="31"/>
      <c r="W1181" s="31"/>
      <c r="X1181" s="31"/>
      <c r="Y1181" s="31"/>
      <c r="Z1181" s="31"/>
    </row>
    <row r="1182" ht="15.75" customHeight="1">
      <c r="A1182" s="13" t="s">
        <v>1798</v>
      </c>
      <c r="B1182" s="13" t="s">
        <v>411</v>
      </c>
      <c r="C1182" s="13" t="s">
        <v>570</v>
      </c>
      <c r="D1182" s="13" t="s">
        <v>1474</v>
      </c>
      <c r="E1182" s="13">
        <v>0.038367951238677</v>
      </c>
      <c r="F1182" s="13">
        <v>0.0292021710321394</v>
      </c>
      <c r="G1182" s="13">
        <v>1.31387324580935</v>
      </c>
      <c r="H1182" s="13">
        <v>0.188888863457774</v>
      </c>
      <c r="I1182" s="13">
        <v>31969.0</v>
      </c>
      <c r="J1182" s="31" t="s">
        <v>1796</v>
      </c>
      <c r="K1182" s="31" t="s">
        <v>1793</v>
      </c>
      <c r="L1182" s="31"/>
      <c r="M1182" s="31"/>
      <c r="N1182" s="31"/>
      <c r="O1182" s="31"/>
      <c r="P1182" s="31"/>
      <c r="Q1182" s="31"/>
      <c r="R1182" s="31"/>
      <c r="S1182" s="31"/>
      <c r="T1182" s="31"/>
      <c r="U1182" s="31"/>
      <c r="V1182" s="31"/>
      <c r="W1182" s="31"/>
      <c r="X1182" s="31"/>
      <c r="Y1182" s="31"/>
      <c r="Z1182" s="31"/>
    </row>
    <row r="1183" ht="15.75" customHeight="1">
      <c r="A1183" s="13" t="s">
        <v>1798</v>
      </c>
      <c r="B1183" s="13" t="s">
        <v>411</v>
      </c>
      <c r="C1183" s="13" t="s">
        <v>42</v>
      </c>
      <c r="D1183" s="13" t="s">
        <v>1474</v>
      </c>
      <c r="E1183" s="13">
        <v>-0.013219858713305</v>
      </c>
      <c r="F1183" s="13">
        <v>0.00713559938011462</v>
      </c>
      <c r="G1183" s="13">
        <v>-1.852662685933</v>
      </c>
      <c r="H1183" s="13">
        <v>0.0639307214636897</v>
      </c>
      <c r="I1183" s="13">
        <v>479292.0</v>
      </c>
      <c r="J1183" s="31" t="s">
        <v>1796</v>
      </c>
      <c r="K1183" s="31" t="s">
        <v>1793</v>
      </c>
      <c r="L1183" s="31"/>
      <c r="M1183" s="31"/>
      <c r="N1183" s="31"/>
      <c r="O1183" s="31"/>
      <c r="P1183" s="31"/>
      <c r="Q1183" s="31"/>
      <c r="R1183" s="31"/>
      <c r="S1183" s="31"/>
      <c r="T1183" s="31"/>
      <c r="U1183" s="31"/>
      <c r="V1183" s="31"/>
      <c r="W1183" s="31"/>
      <c r="X1183" s="31"/>
      <c r="Y1183" s="31"/>
      <c r="Z1183" s="31"/>
    </row>
    <row r="1184" ht="15.75" customHeight="1">
      <c r="A1184" s="13" t="s">
        <v>1798</v>
      </c>
      <c r="B1184" s="13" t="s">
        <v>411</v>
      </c>
      <c r="C1184" s="13" t="s">
        <v>55</v>
      </c>
      <c r="D1184" s="13" t="s">
        <v>1474</v>
      </c>
      <c r="E1184" s="63">
        <v>1.69648863027945E-4</v>
      </c>
      <c r="F1184" s="13">
        <v>0.00794927605320714</v>
      </c>
      <c r="G1184" s="13">
        <v>0.0213414230292708</v>
      </c>
      <c r="H1184" s="13">
        <v>0.982973300555551</v>
      </c>
      <c r="I1184" s="13">
        <v>479025.0</v>
      </c>
      <c r="J1184" s="31" t="s">
        <v>1796</v>
      </c>
      <c r="K1184" s="31" t="s">
        <v>1793</v>
      </c>
      <c r="L1184" s="31"/>
      <c r="M1184" s="31"/>
      <c r="N1184" s="31"/>
      <c r="O1184" s="31"/>
      <c r="P1184" s="31"/>
      <c r="Q1184" s="31"/>
      <c r="R1184" s="31"/>
      <c r="S1184" s="31"/>
      <c r="T1184" s="31"/>
      <c r="U1184" s="31"/>
      <c r="V1184" s="31"/>
      <c r="W1184" s="31"/>
      <c r="X1184" s="31"/>
      <c r="Y1184" s="31"/>
      <c r="Z1184" s="31"/>
    </row>
    <row r="1185" ht="15.75" customHeight="1">
      <c r="A1185" s="13" t="s">
        <v>1798</v>
      </c>
      <c r="B1185" s="13" t="s">
        <v>411</v>
      </c>
      <c r="C1185" s="13" t="s">
        <v>1797</v>
      </c>
      <c r="D1185" s="13" t="s">
        <v>1474</v>
      </c>
      <c r="E1185" s="13">
        <v>0.00902124104396971</v>
      </c>
      <c r="F1185" s="13">
        <v>0.00793937671254915</v>
      </c>
      <c r="G1185" s="13">
        <v>1.13626565038922</v>
      </c>
      <c r="H1185" s="13">
        <v>0.255845402050355</v>
      </c>
      <c r="I1185" s="13">
        <v>479275.0</v>
      </c>
      <c r="J1185" s="31" t="s">
        <v>1796</v>
      </c>
      <c r="K1185" s="31" t="s">
        <v>1793</v>
      </c>
      <c r="L1185" s="31"/>
      <c r="M1185" s="31"/>
      <c r="N1185" s="31"/>
      <c r="O1185" s="31"/>
      <c r="P1185" s="31"/>
      <c r="Q1185" s="31"/>
      <c r="R1185" s="31"/>
      <c r="S1185" s="31"/>
      <c r="T1185" s="31"/>
      <c r="U1185" s="31"/>
      <c r="V1185" s="31"/>
      <c r="W1185" s="31"/>
      <c r="X1185" s="31"/>
      <c r="Y1185" s="31"/>
      <c r="Z1185" s="31"/>
    </row>
    <row r="1186" ht="15.75" customHeight="1">
      <c r="A1186" s="13" t="s">
        <v>1376</v>
      </c>
      <c r="B1186" s="13" t="s">
        <v>411</v>
      </c>
      <c r="C1186" s="13" t="s">
        <v>570</v>
      </c>
      <c r="D1186" s="13" t="s">
        <v>1474</v>
      </c>
      <c r="E1186" s="13">
        <v>-0.0537874127884917</v>
      </c>
      <c r="F1186" s="13">
        <v>0.0127947693627256</v>
      </c>
      <c r="G1186" s="13">
        <v>-4.20385950411798</v>
      </c>
      <c r="H1186" s="63">
        <v>2.62401848879518E-5</v>
      </c>
      <c r="I1186" s="13">
        <v>168846.0</v>
      </c>
      <c r="J1186" s="31" t="s">
        <v>1796</v>
      </c>
      <c r="K1186" s="31" t="s">
        <v>1793</v>
      </c>
      <c r="L1186" s="31"/>
      <c r="M1186" s="31"/>
      <c r="N1186" s="31"/>
      <c r="O1186" s="31"/>
      <c r="P1186" s="31"/>
      <c r="Q1186" s="31"/>
      <c r="R1186" s="31"/>
      <c r="S1186" s="31"/>
      <c r="T1186" s="31"/>
      <c r="U1186" s="31"/>
      <c r="V1186" s="31"/>
      <c r="W1186" s="31"/>
      <c r="X1186" s="31"/>
      <c r="Y1186" s="31"/>
      <c r="Z1186" s="31"/>
    </row>
    <row r="1187" ht="15.75" customHeight="1">
      <c r="A1187" s="13" t="s">
        <v>1376</v>
      </c>
      <c r="B1187" s="13" t="s">
        <v>411</v>
      </c>
      <c r="C1187" s="13" t="s">
        <v>42</v>
      </c>
      <c r="D1187" s="13" t="s">
        <v>1474</v>
      </c>
      <c r="E1187" s="13">
        <v>0.0434016686011333</v>
      </c>
      <c r="F1187" s="13">
        <v>0.00446556370214279</v>
      </c>
      <c r="G1187" s="13">
        <v>9.71919146071236</v>
      </c>
      <c r="H1187" s="63">
        <v>2.49756758747105E-22</v>
      </c>
      <c r="I1187" s="13">
        <v>2818896.0</v>
      </c>
      <c r="J1187" s="31" t="s">
        <v>1796</v>
      </c>
      <c r="K1187" s="31" t="s">
        <v>1793</v>
      </c>
      <c r="L1187" s="31"/>
      <c r="M1187" s="31"/>
      <c r="N1187" s="31"/>
      <c r="O1187" s="31"/>
      <c r="P1187" s="31"/>
      <c r="Q1187" s="31"/>
      <c r="R1187" s="31"/>
      <c r="S1187" s="31"/>
      <c r="T1187" s="31"/>
      <c r="U1187" s="31"/>
      <c r="V1187" s="31"/>
      <c r="W1187" s="31"/>
      <c r="X1187" s="31"/>
      <c r="Y1187" s="31"/>
      <c r="Z1187" s="31"/>
    </row>
    <row r="1188" ht="15.75" customHeight="1">
      <c r="A1188" s="13" t="s">
        <v>1376</v>
      </c>
      <c r="B1188" s="13" t="s">
        <v>411</v>
      </c>
      <c r="C1188" s="13" t="s">
        <v>55</v>
      </c>
      <c r="D1188" s="13" t="s">
        <v>1474</v>
      </c>
      <c r="E1188" s="13">
        <v>-0.0397316371887938</v>
      </c>
      <c r="F1188" s="13">
        <v>0.00519730515806367</v>
      </c>
      <c r="G1188" s="13">
        <v>-7.64466121969955</v>
      </c>
      <c r="H1188" s="63">
        <v>2.0949617213521E-14</v>
      </c>
      <c r="I1188" s="13">
        <v>2812865.0</v>
      </c>
      <c r="J1188" s="31" t="s">
        <v>1796</v>
      </c>
      <c r="K1188" s="31" t="s">
        <v>1793</v>
      </c>
      <c r="L1188" s="31"/>
      <c r="M1188" s="31"/>
      <c r="N1188" s="31"/>
      <c r="O1188" s="31"/>
      <c r="P1188" s="31"/>
      <c r="Q1188" s="31"/>
      <c r="R1188" s="31"/>
      <c r="S1188" s="31"/>
      <c r="T1188" s="31"/>
      <c r="U1188" s="31"/>
      <c r="V1188" s="31"/>
      <c r="W1188" s="31"/>
      <c r="X1188" s="31"/>
      <c r="Y1188" s="31"/>
      <c r="Z1188" s="31"/>
    </row>
    <row r="1189" ht="15.75" customHeight="1">
      <c r="A1189" s="13" t="s">
        <v>1376</v>
      </c>
      <c r="B1189" s="13" t="s">
        <v>411</v>
      </c>
      <c r="C1189" s="13" t="s">
        <v>1797</v>
      </c>
      <c r="D1189" s="13" t="s">
        <v>1474</v>
      </c>
      <c r="E1189" s="13">
        <v>-0.029936541507658</v>
      </c>
      <c r="F1189" s="13">
        <v>0.0049470236803446</v>
      </c>
      <c r="G1189" s="13">
        <v>-6.05142474385178</v>
      </c>
      <c r="H1189" s="63">
        <v>1.4357035185096E-9</v>
      </c>
      <c r="I1189" s="13">
        <v>2819698.0</v>
      </c>
      <c r="J1189" s="31" t="s">
        <v>1796</v>
      </c>
      <c r="K1189" s="31" t="s">
        <v>1793</v>
      </c>
      <c r="L1189" s="31"/>
      <c r="M1189" s="31"/>
      <c r="N1189" s="31"/>
      <c r="O1189" s="31"/>
      <c r="P1189" s="31"/>
      <c r="Q1189" s="31"/>
      <c r="R1189" s="31"/>
      <c r="S1189" s="31"/>
      <c r="T1189" s="31"/>
      <c r="U1189" s="31"/>
      <c r="V1189" s="31"/>
      <c r="W1189" s="31"/>
      <c r="X1189" s="31"/>
      <c r="Y1189" s="31"/>
      <c r="Z1189" s="31"/>
    </row>
    <row r="1190" ht="15.75" customHeight="1">
      <c r="A1190" s="13" t="s">
        <v>1379</v>
      </c>
      <c r="B1190" s="13" t="s">
        <v>411</v>
      </c>
      <c r="C1190" s="13" t="s">
        <v>570</v>
      </c>
      <c r="D1190" s="13" t="s">
        <v>1474</v>
      </c>
      <c r="E1190" s="13">
        <v>-0.0457177711214124</v>
      </c>
      <c r="F1190" s="13">
        <v>0.0125029424232634</v>
      </c>
      <c r="G1190" s="13">
        <v>-3.65656095771089</v>
      </c>
      <c r="H1190" s="63">
        <v>2.55621644907121E-4</v>
      </c>
      <c r="I1190" s="13">
        <v>168283.0</v>
      </c>
      <c r="J1190" s="31" t="s">
        <v>1796</v>
      </c>
      <c r="K1190" s="31" t="s">
        <v>1793</v>
      </c>
      <c r="L1190" s="31"/>
      <c r="M1190" s="31"/>
      <c r="N1190" s="31"/>
      <c r="O1190" s="31"/>
      <c r="P1190" s="31"/>
      <c r="Q1190" s="31"/>
      <c r="R1190" s="31"/>
      <c r="S1190" s="31"/>
      <c r="T1190" s="31"/>
      <c r="U1190" s="31"/>
      <c r="V1190" s="31"/>
      <c r="W1190" s="31"/>
      <c r="X1190" s="31"/>
      <c r="Y1190" s="31"/>
      <c r="Z1190" s="31"/>
    </row>
    <row r="1191" ht="15.75" customHeight="1">
      <c r="A1191" s="13" t="s">
        <v>1379</v>
      </c>
      <c r="B1191" s="13" t="s">
        <v>411</v>
      </c>
      <c r="C1191" s="13" t="s">
        <v>42</v>
      </c>
      <c r="D1191" s="13" t="s">
        <v>1474</v>
      </c>
      <c r="E1191" s="13">
        <v>0.0264285444657634</v>
      </c>
      <c r="F1191" s="13">
        <v>0.00489922044586902</v>
      </c>
      <c r="G1191" s="13">
        <v>5.39443871892879</v>
      </c>
      <c r="H1191" s="63">
        <v>6.87380810665739E-8</v>
      </c>
      <c r="I1191" s="13">
        <v>2808157.0</v>
      </c>
      <c r="J1191" s="31" t="s">
        <v>1796</v>
      </c>
      <c r="K1191" s="31" t="s">
        <v>1793</v>
      </c>
      <c r="L1191" s="31"/>
      <c r="M1191" s="31"/>
      <c r="N1191" s="31"/>
      <c r="O1191" s="31"/>
      <c r="P1191" s="31"/>
      <c r="Q1191" s="31"/>
      <c r="R1191" s="31"/>
      <c r="S1191" s="31"/>
      <c r="T1191" s="31"/>
      <c r="U1191" s="31"/>
      <c r="V1191" s="31"/>
      <c r="W1191" s="31"/>
      <c r="X1191" s="31"/>
      <c r="Y1191" s="31"/>
      <c r="Z1191" s="31"/>
    </row>
    <row r="1192" ht="15.75" customHeight="1">
      <c r="A1192" s="13" t="s">
        <v>1379</v>
      </c>
      <c r="B1192" s="13" t="s">
        <v>411</v>
      </c>
      <c r="C1192" s="13" t="s">
        <v>55</v>
      </c>
      <c r="D1192" s="13" t="s">
        <v>1474</v>
      </c>
      <c r="E1192" s="13">
        <v>-0.0390680212027723</v>
      </c>
      <c r="F1192" s="13">
        <v>0.00550154880525007</v>
      </c>
      <c r="G1192" s="13">
        <v>-7.10127685598101</v>
      </c>
      <c r="H1192" s="63">
        <v>1.23609469458632E-12</v>
      </c>
      <c r="I1192" s="13">
        <v>2802159.0</v>
      </c>
      <c r="J1192" s="31" t="s">
        <v>1796</v>
      </c>
      <c r="K1192" s="31" t="s">
        <v>1793</v>
      </c>
      <c r="L1192" s="31"/>
      <c r="M1192" s="31"/>
      <c r="N1192" s="31"/>
      <c r="O1192" s="31"/>
      <c r="P1192" s="31"/>
      <c r="Q1192" s="31"/>
      <c r="R1192" s="31"/>
      <c r="S1192" s="31"/>
      <c r="T1192" s="31"/>
      <c r="U1192" s="31"/>
      <c r="V1192" s="31"/>
      <c r="W1192" s="31"/>
      <c r="X1192" s="31"/>
      <c r="Y1192" s="31"/>
      <c r="Z1192" s="31"/>
    </row>
    <row r="1193" ht="15.75" customHeight="1">
      <c r="A1193" s="13" t="s">
        <v>1379</v>
      </c>
      <c r="B1193" s="13" t="s">
        <v>411</v>
      </c>
      <c r="C1193" s="13" t="s">
        <v>1797</v>
      </c>
      <c r="D1193" s="13" t="s">
        <v>1474</v>
      </c>
      <c r="E1193" s="13">
        <v>-0.0206016207190279</v>
      </c>
      <c r="F1193" s="13">
        <v>0.00455631534460236</v>
      </c>
      <c r="G1193" s="13">
        <v>-4.52155286912563</v>
      </c>
      <c r="H1193" s="63">
        <v>6.13876229924314E-6</v>
      </c>
      <c r="I1193" s="13">
        <v>2808954.0</v>
      </c>
      <c r="J1193" s="31" t="s">
        <v>1796</v>
      </c>
      <c r="K1193" s="31" t="s">
        <v>1793</v>
      </c>
      <c r="L1193" s="31"/>
      <c r="M1193" s="31"/>
      <c r="N1193" s="31"/>
      <c r="O1193" s="31"/>
      <c r="P1193" s="31"/>
      <c r="Q1193" s="31"/>
      <c r="R1193" s="31"/>
      <c r="S1193" s="31"/>
      <c r="T1193" s="31"/>
      <c r="U1193" s="31"/>
      <c r="V1193" s="31"/>
      <c r="W1193" s="31"/>
      <c r="X1193" s="31"/>
      <c r="Y1193" s="31"/>
      <c r="Z1193" s="31"/>
    </row>
    <row r="1194" ht="15.75" customHeight="1">
      <c r="A1194" s="13" t="s">
        <v>1381</v>
      </c>
      <c r="B1194" s="13" t="s">
        <v>411</v>
      </c>
      <c r="C1194" s="13" t="s">
        <v>570</v>
      </c>
      <c r="D1194" s="13" t="s">
        <v>1474</v>
      </c>
      <c r="E1194" s="13">
        <v>-0.028316107085895</v>
      </c>
      <c r="F1194" s="13">
        <v>0.0129219748742282</v>
      </c>
      <c r="G1194" s="13">
        <v>-2.1913142040207</v>
      </c>
      <c r="H1194" s="13">
        <v>0.0284290628869994</v>
      </c>
      <c r="I1194" s="13">
        <v>168741.0</v>
      </c>
      <c r="J1194" s="31" t="s">
        <v>1796</v>
      </c>
      <c r="K1194" s="31" t="s">
        <v>1793</v>
      </c>
      <c r="L1194" s="31"/>
      <c r="M1194" s="31"/>
      <c r="N1194" s="31"/>
      <c r="O1194" s="31"/>
      <c r="P1194" s="31"/>
      <c r="Q1194" s="31"/>
      <c r="R1194" s="31"/>
      <c r="S1194" s="31"/>
      <c r="T1194" s="31"/>
      <c r="U1194" s="31"/>
      <c r="V1194" s="31"/>
      <c r="W1194" s="31"/>
      <c r="X1194" s="31"/>
      <c r="Y1194" s="31"/>
      <c r="Z1194" s="31"/>
    </row>
    <row r="1195" ht="15.75" customHeight="1">
      <c r="A1195" s="13" t="s">
        <v>1381</v>
      </c>
      <c r="B1195" s="13" t="s">
        <v>411</v>
      </c>
      <c r="C1195" s="13" t="s">
        <v>42</v>
      </c>
      <c r="D1195" s="13" t="s">
        <v>1474</v>
      </c>
      <c r="E1195" s="13">
        <v>0.0228974201666761</v>
      </c>
      <c r="F1195" s="13">
        <v>0.00443529949218419</v>
      </c>
      <c r="G1195" s="13">
        <v>5.16254205765035</v>
      </c>
      <c r="H1195" s="63">
        <v>2.43618615675743E-7</v>
      </c>
      <c r="I1195" s="13">
        <v>2816755.0</v>
      </c>
      <c r="J1195" s="31" t="s">
        <v>1796</v>
      </c>
      <c r="K1195" s="31" t="s">
        <v>1793</v>
      </c>
      <c r="L1195" s="31"/>
      <c r="M1195" s="31"/>
      <c r="N1195" s="31"/>
      <c r="O1195" s="31"/>
      <c r="P1195" s="31"/>
      <c r="Q1195" s="31"/>
      <c r="R1195" s="31"/>
      <c r="S1195" s="31"/>
      <c r="T1195" s="31"/>
      <c r="U1195" s="31"/>
      <c r="V1195" s="31"/>
      <c r="W1195" s="31"/>
      <c r="X1195" s="31"/>
      <c r="Y1195" s="31"/>
      <c r="Z1195" s="31"/>
    </row>
    <row r="1196" ht="15.75" customHeight="1">
      <c r="A1196" s="13" t="s">
        <v>1381</v>
      </c>
      <c r="B1196" s="13" t="s">
        <v>411</v>
      </c>
      <c r="C1196" s="13" t="s">
        <v>55</v>
      </c>
      <c r="D1196" s="13" t="s">
        <v>1474</v>
      </c>
      <c r="E1196" s="13">
        <v>-0.0373223912010014</v>
      </c>
      <c r="F1196" s="13">
        <v>0.00503477929390177</v>
      </c>
      <c r="G1196" s="13">
        <v>-7.41291504996199</v>
      </c>
      <c r="H1196" s="63">
        <v>1.23553034550636E-13</v>
      </c>
      <c r="I1196" s="13">
        <v>2810739.0</v>
      </c>
      <c r="J1196" s="31" t="s">
        <v>1796</v>
      </c>
      <c r="K1196" s="31" t="s">
        <v>1793</v>
      </c>
      <c r="L1196" s="31"/>
      <c r="M1196" s="31"/>
      <c r="N1196" s="31"/>
      <c r="O1196" s="31"/>
      <c r="P1196" s="31"/>
      <c r="Q1196" s="31"/>
      <c r="R1196" s="31"/>
      <c r="S1196" s="31"/>
      <c r="T1196" s="31"/>
      <c r="U1196" s="31"/>
      <c r="V1196" s="31"/>
      <c r="W1196" s="31"/>
      <c r="X1196" s="31"/>
      <c r="Y1196" s="31"/>
      <c r="Z1196" s="31"/>
    </row>
    <row r="1197" ht="15.75" customHeight="1">
      <c r="A1197" s="13" t="s">
        <v>1381</v>
      </c>
      <c r="B1197" s="13" t="s">
        <v>411</v>
      </c>
      <c r="C1197" s="13" t="s">
        <v>1797</v>
      </c>
      <c r="D1197" s="13" t="s">
        <v>1474</v>
      </c>
      <c r="E1197" s="13">
        <v>-0.0218158538473068</v>
      </c>
      <c r="F1197" s="13">
        <v>0.00437746539601774</v>
      </c>
      <c r="G1197" s="13">
        <v>-4.98367248480207</v>
      </c>
      <c r="H1197" s="63">
        <v>6.23886473355237E-7</v>
      </c>
      <c r="I1197" s="13">
        <v>2817554.0</v>
      </c>
      <c r="J1197" s="31" t="s">
        <v>1796</v>
      </c>
      <c r="K1197" s="31" t="s">
        <v>1793</v>
      </c>
      <c r="L1197" s="31"/>
      <c r="M1197" s="31"/>
      <c r="N1197" s="31"/>
      <c r="O1197" s="31"/>
      <c r="P1197" s="31"/>
      <c r="Q1197" s="31"/>
      <c r="R1197" s="31"/>
      <c r="S1197" s="31"/>
      <c r="T1197" s="31"/>
      <c r="U1197" s="31"/>
      <c r="V1197" s="31"/>
      <c r="W1197" s="31"/>
      <c r="X1197" s="31"/>
      <c r="Y1197" s="31"/>
      <c r="Z1197" s="31"/>
    </row>
    <row r="1198" ht="15.75" customHeight="1">
      <c r="A1198" s="13" t="s">
        <v>1384</v>
      </c>
      <c r="B1198" s="13" t="s">
        <v>411</v>
      </c>
      <c r="C1198" s="13" t="s">
        <v>570</v>
      </c>
      <c r="D1198" s="13" t="s">
        <v>1474</v>
      </c>
      <c r="E1198" s="13">
        <v>-0.0443898714479158</v>
      </c>
      <c r="F1198" s="13">
        <v>0.0132364206178867</v>
      </c>
      <c r="G1198" s="13">
        <v>-3.3536159607931</v>
      </c>
      <c r="H1198" s="63">
        <v>7.9762983757251E-4</v>
      </c>
      <c r="I1198" s="13">
        <v>168744.0</v>
      </c>
      <c r="J1198" s="31" t="s">
        <v>1796</v>
      </c>
      <c r="K1198" s="31" t="s">
        <v>1793</v>
      </c>
      <c r="L1198" s="31"/>
      <c r="M1198" s="31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1"/>
      <c r="Z1198" s="31"/>
    </row>
    <row r="1199" ht="15.75" customHeight="1">
      <c r="A1199" s="13" t="s">
        <v>1384</v>
      </c>
      <c r="B1199" s="13" t="s">
        <v>411</v>
      </c>
      <c r="C1199" s="13" t="s">
        <v>42</v>
      </c>
      <c r="D1199" s="13" t="s">
        <v>1474</v>
      </c>
      <c r="E1199" s="13">
        <v>0.0192390547631441</v>
      </c>
      <c r="F1199" s="13">
        <v>0.00490125457862855</v>
      </c>
      <c r="G1199" s="13">
        <v>3.92533267850117</v>
      </c>
      <c r="H1199" s="63">
        <v>8.66099557532209E-5</v>
      </c>
      <c r="I1199" s="13">
        <v>2817504.0</v>
      </c>
      <c r="J1199" s="31" t="s">
        <v>1796</v>
      </c>
      <c r="K1199" s="31" t="s">
        <v>1793</v>
      </c>
      <c r="L1199" s="31"/>
      <c r="M1199" s="31"/>
      <c r="N1199" s="31"/>
      <c r="O1199" s="31"/>
      <c r="P1199" s="31"/>
      <c r="Q1199" s="31"/>
      <c r="R1199" s="31"/>
      <c r="S1199" s="31"/>
      <c r="T1199" s="31"/>
      <c r="U1199" s="31"/>
      <c r="V1199" s="31"/>
      <c r="W1199" s="31"/>
      <c r="X1199" s="31"/>
      <c r="Y1199" s="31"/>
      <c r="Z1199" s="31"/>
    </row>
    <row r="1200" ht="15.75" customHeight="1">
      <c r="A1200" s="13" t="s">
        <v>1384</v>
      </c>
      <c r="B1200" s="13" t="s">
        <v>411</v>
      </c>
      <c r="C1200" s="13" t="s">
        <v>55</v>
      </c>
      <c r="D1200" s="13" t="s">
        <v>1474</v>
      </c>
      <c r="E1200" s="13">
        <v>-0.0349371310910646</v>
      </c>
      <c r="F1200" s="13">
        <v>0.00526221941505254</v>
      </c>
      <c r="G1200" s="13">
        <v>-6.63923875753397</v>
      </c>
      <c r="H1200" s="63">
        <v>3.15307302385902E-11</v>
      </c>
      <c r="I1200" s="13">
        <v>2811501.0</v>
      </c>
      <c r="J1200" s="31" t="s">
        <v>1796</v>
      </c>
      <c r="K1200" s="31" t="s">
        <v>1793</v>
      </c>
      <c r="L1200" s="31"/>
      <c r="M1200" s="31"/>
      <c r="N1200" s="31"/>
      <c r="O1200" s="31"/>
      <c r="P1200" s="31"/>
      <c r="Q1200" s="31"/>
      <c r="R1200" s="31"/>
      <c r="S1200" s="31"/>
      <c r="T1200" s="31"/>
      <c r="U1200" s="31"/>
      <c r="V1200" s="31"/>
      <c r="W1200" s="31"/>
      <c r="X1200" s="31"/>
      <c r="Y1200" s="31"/>
      <c r="Z1200" s="31"/>
    </row>
    <row r="1201" ht="15.75" customHeight="1">
      <c r="A1201" s="13" t="s">
        <v>1384</v>
      </c>
      <c r="B1201" s="13" t="s">
        <v>411</v>
      </c>
      <c r="C1201" s="13" t="s">
        <v>1797</v>
      </c>
      <c r="D1201" s="13" t="s">
        <v>1474</v>
      </c>
      <c r="E1201" s="13">
        <v>-0.0235611779467025</v>
      </c>
      <c r="F1201" s="13">
        <v>0.00462379646391872</v>
      </c>
      <c r="G1201" s="13">
        <v>-5.09563475178018</v>
      </c>
      <c r="H1201" s="63">
        <v>3.47574684518818E-7</v>
      </c>
      <c r="I1201" s="13">
        <v>2818306.0</v>
      </c>
      <c r="J1201" s="31" t="s">
        <v>1796</v>
      </c>
      <c r="K1201" s="31" t="s">
        <v>1793</v>
      </c>
      <c r="L1201" s="31"/>
      <c r="M1201" s="31"/>
      <c r="N1201" s="31"/>
      <c r="O1201" s="31"/>
      <c r="P1201" s="31"/>
      <c r="Q1201" s="31"/>
      <c r="R1201" s="31"/>
      <c r="S1201" s="31"/>
      <c r="T1201" s="31"/>
      <c r="U1201" s="31"/>
      <c r="V1201" s="31"/>
      <c r="W1201" s="31"/>
      <c r="X1201" s="31"/>
      <c r="Y1201" s="31"/>
      <c r="Z1201" s="31"/>
    </row>
    <row r="1202" ht="15.75" customHeight="1">
      <c r="A1202" s="13" t="s">
        <v>1386</v>
      </c>
      <c r="B1202" s="13" t="s">
        <v>411</v>
      </c>
      <c r="C1202" s="13" t="s">
        <v>570</v>
      </c>
      <c r="D1202" s="13" t="s">
        <v>1474</v>
      </c>
      <c r="E1202" s="13">
        <v>-0.0615052141898919</v>
      </c>
      <c r="F1202" s="13">
        <v>0.0131035294902776</v>
      </c>
      <c r="G1202" s="13">
        <v>-4.69378988581105</v>
      </c>
      <c r="H1202" s="63">
        <v>2.68189496844624E-6</v>
      </c>
      <c r="I1202" s="13">
        <v>168868.0</v>
      </c>
      <c r="J1202" s="31" t="s">
        <v>1796</v>
      </c>
      <c r="K1202" s="31" t="s">
        <v>1793</v>
      </c>
      <c r="L1202" s="31"/>
      <c r="M1202" s="31"/>
      <c r="N1202" s="31"/>
      <c r="O1202" s="31"/>
      <c r="P1202" s="31"/>
      <c r="Q1202" s="31"/>
      <c r="R1202" s="31"/>
      <c r="S1202" s="31"/>
      <c r="T1202" s="31"/>
      <c r="U1202" s="31"/>
      <c r="V1202" s="31"/>
      <c r="W1202" s="31"/>
      <c r="X1202" s="31"/>
      <c r="Y1202" s="31"/>
      <c r="Z1202" s="31"/>
    </row>
    <row r="1203" ht="15.75" customHeight="1">
      <c r="A1203" s="13" t="s">
        <v>1386</v>
      </c>
      <c r="B1203" s="13" t="s">
        <v>411</v>
      </c>
      <c r="C1203" s="13" t="s">
        <v>42</v>
      </c>
      <c r="D1203" s="13" t="s">
        <v>1474</v>
      </c>
      <c r="E1203" s="13">
        <v>0.0404667844262003</v>
      </c>
      <c r="F1203" s="13">
        <v>0.00446762624409544</v>
      </c>
      <c r="G1203" s="13">
        <v>9.05778196635908</v>
      </c>
      <c r="H1203" s="63">
        <v>1.33130042363189E-19</v>
      </c>
      <c r="I1203" s="13">
        <v>2819169.0</v>
      </c>
      <c r="J1203" s="31" t="s">
        <v>1796</v>
      </c>
      <c r="K1203" s="31" t="s">
        <v>1793</v>
      </c>
      <c r="L1203" s="31"/>
      <c r="M1203" s="31"/>
      <c r="N1203" s="31"/>
      <c r="O1203" s="31"/>
      <c r="P1203" s="31"/>
      <c r="Q1203" s="31"/>
      <c r="R1203" s="31"/>
      <c r="S1203" s="31"/>
      <c r="T1203" s="31"/>
      <c r="U1203" s="31"/>
      <c r="V1203" s="31"/>
      <c r="W1203" s="31"/>
      <c r="X1203" s="31"/>
      <c r="Y1203" s="31"/>
      <c r="Z1203" s="31"/>
    </row>
    <row r="1204" ht="15.75" customHeight="1">
      <c r="A1204" s="13" t="s">
        <v>1386</v>
      </c>
      <c r="B1204" s="13" t="s">
        <v>411</v>
      </c>
      <c r="C1204" s="13" t="s">
        <v>55</v>
      </c>
      <c r="D1204" s="13" t="s">
        <v>1474</v>
      </c>
      <c r="E1204" s="13">
        <v>-0.039524936191859</v>
      </c>
      <c r="F1204" s="13">
        <v>0.00526523701570332</v>
      </c>
      <c r="G1204" s="13">
        <v>-7.50677245373337</v>
      </c>
      <c r="H1204" s="63">
        <v>6.06029327471209E-14</v>
      </c>
      <c r="I1204" s="13">
        <v>2813138.0</v>
      </c>
      <c r="J1204" s="31" t="s">
        <v>1796</v>
      </c>
      <c r="K1204" s="31" t="s">
        <v>1793</v>
      </c>
      <c r="L1204" s="31"/>
      <c r="M1204" s="31"/>
      <c r="N1204" s="31"/>
      <c r="O1204" s="31"/>
      <c r="P1204" s="31"/>
      <c r="Q1204" s="31"/>
      <c r="R1204" s="31"/>
      <c r="S1204" s="31"/>
      <c r="T1204" s="31"/>
      <c r="U1204" s="31"/>
      <c r="V1204" s="31"/>
      <c r="W1204" s="31"/>
      <c r="X1204" s="31"/>
      <c r="Y1204" s="31"/>
      <c r="Z1204" s="31"/>
    </row>
    <row r="1205" ht="15.75" customHeight="1">
      <c r="A1205" s="13" t="s">
        <v>1386</v>
      </c>
      <c r="B1205" s="13" t="s">
        <v>411</v>
      </c>
      <c r="C1205" s="13" t="s">
        <v>1797</v>
      </c>
      <c r="D1205" s="13" t="s">
        <v>1474</v>
      </c>
      <c r="E1205" s="13">
        <v>-0.0311715182549371</v>
      </c>
      <c r="F1205" s="13">
        <v>0.00439254766860092</v>
      </c>
      <c r="G1205" s="13">
        <v>-7.09645531629839</v>
      </c>
      <c r="H1205" s="63">
        <v>1.27997304608265E-12</v>
      </c>
      <c r="I1205" s="13">
        <v>2819968.0</v>
      </c>
      <c r="J1205" s="31" t="s">
        <v>1796</v>
      </c>
      <c r="K1205" s="31" t="s">
        <v>1793</v>
      </c>
      <c r="L1205" s="31"/>
      <c r="M1205" s="31"/>
      <c r="N1205" s="31"/>
      <c r="O1205" s="31"/>
      <c r="P1205" s="31"/>
      <c r="Q1205" s="31"/>
      <c r="R1205" s="31"/>
      <c r="S1205" s="31"/>
      <c r="T1205" s="31"/>
      <c r="U1205" s="31"/>
      <c r="V1205" s="31"/>
      <c r="W1205" s="31"/>
      <c r="X1205" s="31"/>
      <c r="Y1205" s="31"/>
      <c r="Z1205" s="31"/>
    </row>
    <row r="1206" ht="15.75" customHeight="1">
      <c r="A1206" s="13" t="s">
        <v>1389</v>
      </c>
      <c r="B1206" s="13" t="s">
        <v>411</v>
      </c>
      <c r="C1206" s="13" t="s">
        <v>570</v>
      </c>
      <c r="D1206" s="13" t="s">
        <v>1474</v>
      </c>
      <c r="E1206" s="13">
        <v>-0.0543342576798938</v>
      </c>
      <c r="F1206" s="13">
        <v>0.0128109058803919</v>
      </c>
      <c r="G1206" s="13">
        <v>-4.24125024312734</v>
      </c>
      <c r="H1206" s="63">
        <v>2.22278141225801E-5</v>
      </c>
      <c r="I1206" s="13">
        <v>168871.0</v>
      </c>
      <c r="J1206" s="31" t="s">
        <v>1796</v>
      </c>
      <c r="K1206" s="31" t="s">
        <v>1793</v>
      </c>
      <c r="L1206" s="31"/>
      <c r="M1206" s="31"/>
      <c r="N1206" s="31"/>
      <c r="O1206" s="31"/>
      <c r="P1206" s="31"/>
      <c r="Q1206" s="31"/>
      <c r="R1206" s="31"/>
      <c r="S1206" s="31"/>
      <c r="T1206" s="31"/>
      <c r="U1206" s="31"/>
      <c r="V1206" s="31"/>
      <c r="W1206" s="31"/>
      <c r="X1206" s="31"/>
      <c r="Y1206" s="31"/>
      <c r="Z1206" s="31"/>
    </row>
    <row r="1207" ht="15.75" customHeight="1">
      <c r="A1207" s="13" t="s">
        <v>1389</v>
      </c>
      <c r="B1207" s="13" t="s">
        <v>411</v>
      </c>
      <c r="C1207" s="13" t="s">
        <v>42</v>
      </c>
      <c r="D1207" s="13" t="s">
        <v>1474</v>
      </c>
      <c r="E1207" s="13">
        <v>0.0374785865054974</v>
      </c>
      <c r="F1207" s="13">
        <v>0.00467723864330831</v>
      </c>
      <c r="G1207" s="13">
        <v>8.01297290210276</v>
      </c>
      <c r="H1207" s="63">
        <v>1.11968316648076E-15</v>
      </c>
      <c r="I1207" s="13">
        <v>2819412.0</v>
      </c>
      <c r="J1207" s="31" t="s">
        <v>1796</v>
      </c>
      <c r="K1207" s="31" t="s">
        <v>1793</v>
      </c>
      <c r="L1207" s="31"/>
      <c r="M1207" s="31"/>
      <c r="N1207" s="31"/>
      <c r="O1207" s="31"/>
      <c r="P1207" s="31"/>
      <c r="Q1207" s="31"/>
      <c r="R1207" s="31"/>
      <c r="S1207" s="31"/>
      <c r="T1207" s="31"/>
      <c r="U1207" s="31"/>
      <c r="V1207" s="31"/>
      <c r="W1207" s="31"/>
      <c r="X1207" s="31"/>
      <c r="Y1207" s="31"/>
      <c r="Z1207" s="31"/>
    </row>
    <row r="1208" ht="15.75" customHeight="1">
      <c r="A1208" s="13" t="s">
        <v>1389</v>
      </c>
      <c r="B1208" s="13" t="s">
        <v>411</v>
      </c>
      <c r="C1208" s="13" t="s">
        <v>55</v>
      </c>
      <c r="D1208" s="13" t="s">
        <v>1474</v>
      </c>
      <c r="E1208" s="13">
        <v>-0.0392306468794136</v>
      </c>
      <c r="F1208" s="13">
        <v>0.00534735631348156</v>
      </c>
      <c r="G1208" s="13">
        <v>-7.33645648046806</v>
      </c>
      <c r="H1208" s="63">
        <v>2.19323083777088E-13</v>
      </c>
      <c r="I1208" s="13">
        <v>2813378.0</v>
      </c>
      <c r="J1208" s="31" t="s">
        <v>1796</v>
      </c>
      <c r="K1208" s="31" t="s">
        <v>1793</v>
      </c>
      <c r="L1208" s="31"/>
      <c r="M1208" s="31"/>
      <c r="N1208" s="31"/>
      <c r="O1208" s="31"/>
      <c r="P1208" s="31"/>
      <c r="Q1208" s="31"/>
      <c r="R1208" s="31"/>
      <c r="S1208" s="31"/>
      <c r="T1208" s="31"/>
      <c r="U1208" s="31"/>
      <c r="V1208" s="31"/>
      <c r="W1208" s="31"/>
      <c r="X1208" s="31"/>
      <c r="Y1208" s="31"/>
      <c r="Z1208" s="31"/>
    </row>
    <row r="1209" ht="15.75" customHeight="1">
      <c r="A1209" s="13" t="s">
        <v>1389</v>
      </c>
      <c r="B1209" s="13" t="s">
        <v>411</v>
      </c>
      <c r="C1209" s="13" t="s">
        <v>1797</v>
      </c>
      <c r="D1209" s="13" t="s">
        <v>1474</v>
      </c>
      <c r="E1209" s="13">
        <v>-0.0276234122420314</v>
      </c>
      <c r="F1209" s="13">
        <v>0.00437375946691271</v>
      </c>
      <c r="G1209" s="13">
        <v>-6.31571362142825</v>
      </c>
      <c r="H1209" s="63">
        <v>2.68917631920159E-10</v>
      </c>
      <c r="I1209" s="13">
        <v>2820213.0</v>
      </c>
      <c r="J1209" s="31" t="s">
        <v>1796</v>
      </c>
      <c r="K1209" s="31" t="s">
        <v>1793</v>
      </c>
      <c r="L1209" s="31"/>
      <c r="M1209" s="31"/>
      <c r="N1209" s="31"/>
      <c r="O1209" s="31"/>
      <c r="P1209" s="31"/>
      <c r="Q1209" s="31"/>
      <c r="R1209" s="31"/>
      <c r="S1209" s="31"/>
      <c r="T1209" s="31"/>
      <c r="U1209" s="31"/>
      <c r="V1209" s="31"/>
      <c r="W1209" s="31"/>
      <c r="X1209" s="31"/>
      <c r="Y1209" s="31"/>
      <c r="Z1209" s="31"/>
    </row>
    <row r="1210" ht="15.75" customHeight="1">
      <c r="A1210" s="13" t="s">
        <v>1391</v>
      </c>
      <c r="B1210" s="13" t="s">
        <v>411</v>
      </c>
      <c r="C1210" s="13" t="s">
        <v>570</v>
      </c>
      <c r="D1210" s="13" t="s">
        <v>1474</v>
      </c>
      <c r="E1210" s="13">
        <v>-0.0365548279010876</v>
      </c>
      <c r="F1210" s="13">
        <v>0.0126214998479947</v>
      </c>
      <c r="G1210" s="13">
        <v>-2.89623486442423</v>
      </c>
      <c r="H1210" s="13">
        <v>0.00377669628549334</v>
      </c>
      <c r="I1210" s="13">
        <v>168814.0</v>
      </c>
      <c r="J1210" s="31" t="s">
        <v>1796</v>
      </c>
      <c r="K1210" s="31" t="s">
        <v>1793</v>
      </c>
      <c r="L1210" s="31"/>
      <c r="M1210" s="31"/>
      <c r="N1210" s="31"/>
      <c r="O1210" s="31"/>
      <c r="P1210" s="31"/>
      <c r="Q1210" s="31"/>
      <c r="R1210" s="31"/>
      <c r="S1210" s="31"/>
      <c r="T1210" s="31"/>
      <c r="U1210" s="31"/>
      <c r="V1210" s="31"/>
      <c r="W1210" s="31"/>
      <c r="X1210" s="31"/>
      <c r="Y1210" s="31"/>
      <c r="Z1210" s="31"/>
    </row>
    <row r="1211" ht="15.75" customHeight="1">
      <c r="A1211" s="13" t="s">
        <v>1391</v>
      </c>
      <c r="B1211" s="13" t="s">
        <v>411</v>
      </c>
      <c r="C1211" s="13" t="s">
        <v>42</v>
      </c>
      <c r="D1211" s="13" t="s">
        <v>1474</v>
      </c>
      <c r="E1211" s="13">
        <v>0.0458106070718543</v>
      </c>
      <c r="F1211" s="13">
        <v>0.00455488966114843</v>
      </c>
      <c r="G1211" s="13">
        <v>10.0574570362488</v>
      </c>
      <c r="H1211" s="63">
        <v>8.5169869354898E-24</v>
      </c>
      <c r="I1211" s="13">
        <v>2818336.0</v>
      </c>
      <c r="J1211" s="31" t="s">
        <v>1796</v>
      </c>
      <c r="K1211" s="31" t="s">
        <v>1793</v>
      </c>
      <c r="L1211" s="31"/>
      <c r="M1211" s="31"/>
      <c r="N1211" s="31"/>
      <c r="O1211" s="31"/>
      <c r="P1211" s="31"/>
      <c r="Q1211" s="31"/>
      <c r="R1211" s="31"/>
      <c r="S1211" s="31"/>
      <c r="T1211" s="31"/>
      <c r="U1211" s="31"/>
      <c r="V1211" s="31"/>
      <c r="W1211" s="31"/>
      <c r="X1211" s="31"/>
      <c r="Y1211" s="31"/>
      <c r="Z1211" s="31"/>
    </row>
    <row r="1212" ht="15.75" customHeight="1">
      <c r="A1212" s="13" t="s">
        <v>1391</v>
      </c>
      <c r="B1212" s="13" t="s">
        <v>411</v>
      </c>
      <c r="C1212" s="13" t="s">
        <v>55</v>
      </c>
      <c r="D1212" s="13" t="s">
        <v>1474</v>
      </c>
      <c r="E1212" s="13">
        <v>-0.0389655208877157</v>
      </c>
      <c r="F1212" s="13">
        <v>0.00513247739494438</v>
      </c>
      <c r="G1212" s="13">
        <v>-7.59195177870587</v>
      </c>
      <c r="H1212" s="63">
        <v>3.15122299550237E-14</v>
      </c>
      <c r="I1212" s="13">
        <v>2812308.0</v>
      </c>
      <c r="J1212" s="31" t="s">
        <v>1796</v>
      </c>
      <c r="K1212" s="31" t="s">
        <v>1793</v>
      </c>
      <c r="L1212" s="31"/>
      <c r="M1212" s="31"/>
      <c r="N1212" s="31"/>
      <c r="O1212" s="31"/>
      <c r="P1212" s="31"/>
      <c r="Q1212" s="31"/>
      <c r="R1212" s="31"/>
      <c r="S1212" s="31"/>
      <c r="T1212" s="31"/>
      <c r="U1212" s="31"/>
      <c r="V1212" s="31"/>
      <c r="W1212" s="31"/>
      <c r="X1212" s="31"/>
      <c r="Y1212" s="31"/>
      <c r="Z1212" s="31"/>
    </row>
    <row r="1213" ht="15.75" customHeight="1">
      <c r="A1213" s="13" t="s">
        <v>1391</v>
      </c>
      <c r="B1213" s="13" t="s">
        <v>411</v>
      </c>
      <c r="C1213" s="13" t="s">
        <v>1797</v>
      </c>
      <c r="D1213" s="13" t="s">
        <v>1474</v>
      </c>
      <c r="E1213" s="13">
        <v>-0.035941515909215</v>
      </c>
      <c r="F1213" s="13">
        <v>0.00470295290626852</v>
      </c>
      <c r="G1213" s="13">
        <v>-7.64232953753563</v>
      </c>
      <c r="H1213" s="63">
        <v>2.13326333862362E-14</v>
      </c>
      <c r="I1213" s="13">
        <v>2819139.0</v>
      </c>
      <c r="J1213" s="31" t="s">
        <v>1796</v>
      </c>
      <c r="K1213" s="31" t="s">
        <v>1793</v>
      </c>
      <c r="L1213" s="31"/>
      <c r="M1213" s="31"/>
      <c r="N1213" s="31"/>
      <c r="O1213" s="31"/>
      <c r="P1213" s="31"/>
      <c r="Q1213" s="31"/>
      <c r="R1213" s="31"/>
      <c r="S1213" s="31"/>
      <c r="T1213" s="31"/>
      <c r="U1213" s="31"/>
      <c r="V1213" s="31"/>
      <c r="W1213" s="31"/>
      <c r="X1213" s="31"/>
      <c r="Y1213" s="31"/>
      <c r="Z1213" s="31"/>
    </row>
    <row r="1214" ht="15.75" customHeight="1">
      <c r="A1214" s="13" t="s">
        <v>1799</v>
      </c>
      <c r="B1214" s="13" t="s">
        <v>411</v>
      </c>
      <c r="C1214" s="13" t="s">
        <v>570</v>
      </c>
      <c r="D1214" s="13" t="s">
        <v>1474</v>
      </c>
      <c r="E1214" s="13">
        <v>-0.051134691543294</v>
      </c>
      <c r="F1214" s="13">
        <v>0.0209704856773815</v>
      </c>
      <c r="G1214" s="13">
        <v>-2.43841236345075</v>
      </c>
      <c r="H1214" s="13">
        <v>0.0147519351504601</v>
      </c>
      <c r="I1214" s="13">
        <v>58295.0</v>
      </c>
      <c r="J1214" s="31" t="s">
        <v>1796</v>
      </c>
      <c r="K1214" s="31" t="s">
        <v>1793</v>
      </c>
      <c r="L1214" s="31"/>
      <c r="M1214" s="31"/>
      <c r="N1214" s="31"/>
      <c r="O1214" s="31"/>
      <c r="P1214" s="31"/>
      <c r="Q1214" s="31"/>
      <c r="R1214" s="31"/>
      <c r="S1214" s="31"/>
      <c r="T1214" s="31"/>
      <c r="U1214" s="31"/>
      <c r="V1214" s="31"/>
      <c r="W1214" s="31"/>
      <c r="X1214" s="31"/>
      <c r="Y1214" s="31"/>
      <c r="Z1214" s="31"/>
    </row>
    <row r="1215" ht="15.75" customHeight="1">
      <c r="A1215" s="13" t="s">
        <v>1799</v>
      </c>
      <c r="B1215" s="13" t="s">
        <v>411</v>
      </c>
      <c r="C1215" s="13" t="s">
        <v>42</v>
      </c>
      <c r="D1215" s="13" t="s">
        <v>1474</v>
      </c>
      <c r="E1215" s="13">
        <v>-0.0366091578908996</v>
      </c>
      <c r="F1215" s="13">
        <v>0.00665683758839669</v>
      </c>
      <c r="G1215" s="13">
        <v>-5.49948190935464</v>
      </c>
      <c r="H1215" s="63">
        <v>3.80908783103225E-8</v>
      </c>
      <c r="I1215" s="13">
        <v>861235.0</v>
      </c>
      <c r="J1215" s="31" t="s">
        <v>1796</v>
      </c>
      <c r="K1215" s="31" t="s">
        <v>1793</v>
      </c>
      <c r="L1215" s="31"/>
      <c r="M1215" s="31"/>
      <c r="N1215" s="31"/>
      <c r="O1215" s="31"/>
      <c r="P1215" s="31"/>
      <c r="Q1215" s="31"/>
      <c r="R1215" s="31"/>
      <c r="S1215" s="31"/>
      <c r="T1215" s="31"/>
      <c r="U1215" s="31"/>
      <c r="V1215" s="31"/>
      <c r="W1215" s="31"/>
      <c r="X1215" s="31"/>
      <c r="Y1215" s="31"/>
      <c r="Z1215" s="31"/>
    </row>
    <row r="1216" ht="15.75" customHeight="1">
      <c r="A1216" s="13" t="s">
        <v>1799</v>
      </c>
      <c r="B1216" s="13" t="s">
        <v>411</v>
      </c>
      <c r="C1216" s="13" t="s">
        <v>55</v>
      </c>
      <c r="D1216" s="13" t="s">
        <v>1474</v>
      </c>
      <c r="E1216" s="13">
        <v>0.0381469574299972</v>
      </c>
      <c r="F1216" s="13">
        <v>0.00770224081443531</v>
      </c>
      <c r="G1216" s="13">
        <v>4.95270900365817</v>
      </c>
      <c r="H1216" s="63">
        <v>7.31873802513572E-7</v>
      </c>
      <c r="I1216" s="13">
        <v>860876.0</v>
      </c>
      <c r="J1216" s="31" t="s">
        <v>1796</v>
      </c>
      <c r="K1216" s="31" t="s">
        <v>1793</v>
      </c>
      <c r="L1216" s="31"/>
      <c r="M1216" s="31"/>
      <c r="N1216" s="31"/>
      <c r="O1216" s="31"/>
      <c r="P1216" s="31"/>
      <c r="Q1216" s="31"/>
      <c r="R1216" s="31"/>
      <c r="S1216" s="31"/>
      <c r="T1216" s="31"/>
      <c r="U1216" s="31"/>
      <c r="V1216" s="31"/>
      <c r="W1216" s="31"/>
      <c r="X1216" s="31"/>
      <c r="Y1216" s="31"/>
      <c r="Z1216" s="31"/>
    </row>
    <row r="1217" ht="15.75" customHeight="1">
      <c r="A1217" s="13" t="s">
        <v>1799</v>
      </c>
      <c r="B1217" s="13" t="s">
        <v>411</v>
      </c>
      <c r="C1217" s="13" t="s">
        <v>1797</v>
      </c>
      <c r="D1217" s="13" t="s">
        <v>1474</v>
      </c>
      <c r="E1217" s="13">
        <v>-0.00509069596278317</v>
      </c>
      <c r="F1217" s="13">
        <v>0.00703891008993995</v>
      </c>
      <c r="G1217" s="13">
        <v>-0.723222188909448</v>
      </c>
      <c r="H1217" s="13">
        <v>0.469543388684013</v>
      </c>
      <c r="I1217" s="13">
        <v>861193.0</v>
      </c>
      <c r="J1217" s="31" t="s">
        <v>1796</v>
      </c>
      <c r="K1217" s="31" t="s">
        <v>1793</v>
      </c>
      <c r="L1217" s="31"/>
      <c r="M1217" s="31"/>
      <c r="N1217" s="31"/>
      <c r="O1217" s="31"/>
      <c r="P1217" s="31"/>
      <c r="Q1217" s="31"/>
      <c r="R1217" s="31"/>
      <c r="S1217" s="31"/>
      <c r="T1217" s="31"/>
      <c r="U1217" s="31"/>
      <c r="V1217" s="31"/>
      <c r="W1217" s="31"/>
      <c r="X1217" s="31"/>
      <c r="Y1217" s="31"/>
      <c r="Z1217" s="31"/>
    </row>
    <row r="1218" ht="15.75" customHeight="1">
      <c r="A1218" s="13" t="s">
        <v>606</v>
      </c>
      <c r="B1218" s="13" t="s">
        <v>411</v>
      </c>
      <c r="C1218" s="13" t="s">
        <v>570</v>
      </c>
      <c r="D1218" s="13" t="s">
        <v>1474</v>
      </c>
      <c r="E1218" s="13">
        <v>0.0599288826260031</v>
      </c>
      <c r="F1218" s="13">
        <v>0.0735564881275025</v>
      </c>
      <c r="G1218" s="13">
        <v>0.814732787706267</v>
      </c>
      <c r="H1218" s="13">
        <v>0.415225281100455</v>
      </c>
      <c r="I1218" s="13">
        <v>4839.0</v>
      </c>
      <c r="J1218" s="31" t="s">
        <v>1796</v>
      </c>
      <c r="K1218" s="31" t="s">
        <v>1793</v>
      </c>
      <c r="L1218" s="31"/>
      <c r="M1218" s="31"/>
      <c r="N1218" s="31"/>
      <c r="O1218" s="31"/>
      <c r="P1218" s="31"/>
      <c r="Q1218" s="31"/>
      <c r="R1218" s="31"/>
      <c r="S1218" s="31"/>
      <c r="T1218" s="31"/>
      <c r="U1218" s="31"/>
      <c r="V1218" s="31"/>
      <c r="W1218" s="31"/>
      <c r="X1218" s="31"/>
      <c r="Y1218" s="31"/>
      <c r="Z1218" s="31"/>
    </row>
    <row r="1219" ht="15.75" customHeight="1">
      <c r="A1219" s="13" t="s">
        <v>606</v>
      </c>
      <c r="B1219" s="13" t="s">
        <v>411</v>
      </c>
      <c r="C1219" s="13" t="s">
        <v>42</v>
      </c>
      <c r="D1219" s="13" t="s">
        <v>1474</v>
      </c>
      <c r="E1219" s="13">
        <v>-0.0056076531341182</v>
      </c>
      <c r="F1219" s="13">
        <v>0.0163233851264609</v>
      </c>
      <c r="G1219" s="13">
        <v>-0.343534940251328</v>
      </c>
      <c r="H1219" s="13">
        <v>0.731196059832955</v>
      </c>
      <c r="I1219" s="13">
        <v>72918.0</v>
      </c>
      <c r="J1219" s="31" t="s">
        <v>1796</v>
      </c>
      <c r="K1219" s="31" t="s">
        <v>1793</v>
      </c>
      <c r="L1219" s="31"/>
      <c r="M1219" s="31"/>
      <c r="N1219" s="31"/>
      <c r="O1219" s="31"/>
      <c r="P1219" s="31"/>
      <c r="Q1219" s="31"/>
      <c r="R1219" s="31"/>
      <c r="S1219" s="31"/>
      <c r="T1219" s="31"/>
      <c r="U1219" s="31"/>
      <c r="V1219" s="31"/>
      <c r="W1219" s="31"/>
      <c r="X1219" s="31"/>
      <c r="Y1219" s="31"/>
      <c r="Z1219" s="31"/>
    </row>
    <row r="1220" ht="15.75" customHeight="1">
      <c r="A1220" s="13" t="s">
        <v>606</v>
      </c>
      <c r="B1220" s="13" t="s">
        <v>411</v>
      </c>
      <c r="C1220" s="13" t="s">
        <v>55</v>
      </c>
      <c r="D1220" s="13" t="s">
        <v>1474</v>
      </c>
      <c r="E1220" s="13">
        <v>0.0476467067604142</v>
      </c>
      <c r="F1220" s="13">
        <v>0.0197502970744116</v>
      </c>
      <c r="G1220" s="13">
        <v>2.41245519401046</v>
      </c>
      <c r="H1220" s="13">
        <v>0.0158454849034257</v>
      </c>
      <c r="I1220" s="13">
        <v>72839.0</v>
      </c>
      <c r="J1220" s="31" t="s">
        <v>1796</v>
      </c>
      <c r="K1220" s="31" t="s">
        <v>1793</v>
      </c>
      <c r="L1220" s="31"/>
      <c r="M1220" s="31"/>
      <c r="N1220" s="31"/>
      <c r="O1220" s="31"/>
      <c r="P1220" s="31"/>
      <c r="Q1220" s="31"/>
      <c r="R1220" s="31"/>
      <c r="S1220" s="31"/>
      <c r="T1220" s="31"/>
      <c r="U1220" s="31"/>
      <c r="V1220" s="31"/>
      <c r="W1220" s="31"/>
      <c r="X1220" s="31"/>
      <c r="Y1220" s="31"/>
      <c r="Z1220" s="31"/>
    </row>
    <row r="1221" ht="15.75" customHeight="1">
      <c r="A1221" s="13" t="s">
        <v>606</v>
      </c>
      <c r="B1221" s="13" t="s">
        <v>411</v>
      </c>
      <c r="C1221" s="13" t="s">
        <v>1797</v>
      </c>
      <c r="D1221" s="13" t="s">
        <v>1474</v>
      </c>
      <c r="E1221" s="13">
        <v>-0.00838392109556227</v>
      </c>
      <c r="F1221" s="13">
        <v>0.0203906373922927</v>
      </c>
      <c r="G1221" s="13">
        <v>-0.411165229132623</v>
      </c>
      <c r="H1221" s="13">
        <v>0.680951382529167</v>
      </c>
      <c r="I1221" s="13">
        <v>72920.0</v>
      </c>
      <c r="J1221" s="31" t="s">
        <v>1796</v>
      </c>
      <c r="K1221" s="31" t="s">
        <v>1793</v>
      </c>
      <c r="L1221" s="31"/>
      <c r="M1221" s="31"/>
      <c r="N1221" s="31"/>
      <c r="O1221" s="31"/>
      <c r="P1221" s="31"/>
      <c r="Q1221" s="31"/>
      <c r="R1221" s="31"/>
      <c r="S1221" s="31"/>
      <c r="T1221" s="31"/>
      <c r="U1221" s="31"/>
      <c r="V1221" s="31"/>
      <c r="W1221" s="31"/>
      <c r="X1221" s="31"/>
      <c r="Y1221" s="31"/>
      <c r="Z1221" s="31"/>
    </row>
    <row r="1222" ht="15.75" customHeight="1">
      <c r="A1222" s="13" t="s">
        <v>538</v>
      </c>
      <c r="B1222" s="13" t="s">
        <v>411</v>
      </c>
      <c r="C1222" s="13" t="s">
        <v>570</v>
      </c>
      <c r="D1222" s="13" t="s">
        <v>1474</v>
      </c>
      <c r="E1222" s="13">
        <v>-0.0212325145709859</v>
      </c>
      <c r="F1222" s="13">
        <v>0.0400147912956925</v>
      </c>
      <c r="G1222" s="13">
        <v>-0.530616651579826</v>
      </c>
      <c r="H1222" s="13">
        <v>0.595684454279656</v>
      </c>
      <c r="I1222" s="13">
        <v>18473.0</v>
      </c>
      <c r="J1222" s="31" t="s">
        <v>1796</v>
      </c>
      <c r="K1222" s="31" t="s">
        <v>1793</v>
      </c>
      <c r="L1222" s="31"/>
      <c r="M1222" s="31"/>
      <c r="N1222" s="31"/>
      <c r="O1222" s="31"/>
      <c r="P1222" s="31"/>
      <c r="Q1222" s="31"/>
      <c r="R1222" s="31"/>
      <c r="S1222" s="31"/>
      <c r="T1222" s="31"/>
      <c r="U1222" s="31"/>
      <c r="V1222" s="31"/>
      <c r="W1222" s="31"/>
      <c r="X1222" s="31"/>
      <c r="Y1222" s="31"/>
      <c r="Z1222" s="31"/>
    </row>
    <row r="1223" ht="15.75" customHeight="1">
      <c r="A1223" s="13" t="s">
        <v>538</v>
      </c>
      <c r="B1223" s="13" t="s">
        <v>411</v>
      </c>
      <c r="C1223" s="13" t="s">
        <v>42</v>
      </c>
      <c r="D1223" s="13" t="s">
        <v>1474</v>
      </c>
      <c r="E1223" s="13">
        <v>-0.0163485994266027</v>
      </c>
      <c r="F1223" s="13">
        <v>0.00945965821800454</v>
      </c>
      <c r="G1223" s="13">
        <v>-1.72824419760604</v>
      </c>
      <c r="H1223" s="13">
        <v>0.0839444528559392</v>
      </c>
      <c r="I1223" s="13">
        <v>272495.0</v>
      </c>
      <c r="J1223" s="31" t="s">
        <v>1796</v>
      </c>
      <c r="K1223" s="31" t="s">
        <v>1793</v>
      </c>
      <c r="L1223" s="31"/>
      <c r="M1223" s="31"/>
      <c r="N1223" s="31"/>
      <c r="O1223" s="31"/>
      <c r="P1223" s="31"/>
      <c r="Q1223" s="31"/>
      <c r="R1223" s="31"/>
      <c r="S1223" s="31"/>
      <c r="T1223" s="31"/>
      <c r="U1223" s="31"/>
      <c r="V1223" s="31"/>
      <c r="W1223" s="31"/>
      <c r="X1223" s="31"/>
      <c r="Y1223" s="31"/>
      <c r="Z1223" s="31"/>
    </row>
    <row r="1224" ht="15.75" customHeight="1">
      <c r="A1224" s="13" t="s">
        <v>538</v>
      </c>
      <c r="B1224" s="13" t="s">
        <v>411</v>
      </c>
      <c r="C1224" s="13" t="s">
        <v>55</v>
      </c>
      <c r="D1224" s="13" t="s">
        <v>1474</v>
      </c>
      <c r="E1224" s="13">
        <v>0.0624466759606575</v>
      </c>
      <c r="F1224" s="13">
        <v>0.0103649257137111</v>
      </c>
      <c r="G1224" s="13">
        <v>6.02480690026083</v>
      </c>
      <c r="H1224" s="63">
        <v>1.69311643608117E-9</v>
      </c>
      <c r="I1224" s="13">
        <v>272277.0</v>
      </c>
      <c r="J1224" s="31" t="s">
        <v>1796</v>
      </c>
      <c r="K1224" s="31" t="s">
        <v>1793</v>
      </c>
      <c r="L1224" s="31"/>
      <c r="M1224" s="31"/>
      <c r="N1224" s="31"/>
      <c r="O1224" s="31"/>
      <c r="P1224" s="31"/>
      <c r="Q1224" s="31"/>
      <c r="R1224" s="31"/>
      <c r="S1224" s="31"/>
      <c r="T1224" s="31"/>
      <c r="U1224" s="31"/>
      <c r="V1224" s="31"/>
      <c r="W1224" s="31"/>
      <c r="X1224" s="31"/>
      <c r="Y1224" s="31"/>
      <c r="Z1224" s="31"/>
    </row>
    <row r="1225" ht="15.75" customHeight="1">
      <c r="A1225" s="13" t="s">
        <v>538</v>
      </c>
      <c r="B1225" s="13" t="s">
        <v>411</v>
      </c>
      <c r="C1225" s="13" t="s">
        <v>1797</v>
      </c>
      <c r="D1225" s="13" t="s">
        <v>1474</v>
      </c>
      <c r="E1225" s="13">
        <v>-0.0197347681340854</v>
      </c>
      <c r="F1225" s="13">
        <v>0.0109389174188987</v>
      </c>
      <c r="G1225" s="13">
        <v>-1.80408786156391</v>
      </c>
      <c r="H1225" s="13">
        <v>0.071217534314467</v>
      </c>
      <c r="I1225" s="13">
        <v>272493.0</v>
      </c>
      <c r="J1225" s="31" t="s">
        <v>1796</v>
      </c>
      <c r="K1225" s="31" t="s">
        <v>1793</v>
      </c>
      <c r="L1225" s="31"/>
      <c r="M1225" s="31"/>
      <c r="N1225" s="31"/>
      <c r="O1225" s="31"/>
      <c r="P1225" s="31"/>
      <c r="Q1225" s="31"/>
      <c r="R1225" s="31"/>
      <c r="S1225" s="31"/>
      <c r="T1225" s="31"/>
      <c r="U1225" s="31"/>
      <c r="V1225" s="31"/>
      <c r="W1225" s="31"/>
      <c r="X1225" s="31"/>
      <c r="Y1225" s="31"/>
      <c r="Z1225" s="31"/>
    </row>
    <row r="1226" ht="15.75" customHeight="1">
      <c r="A1226" s="13" t="s">
        <v>586</v>
      </c>
      <c r="B1226" s="13" t="s">
        <v>411</v>
      </c>
      <c r="C1226" s="13" t="s">
        <v>570</v>
      </c>
      <c r="D1226" s="13" t="s">
        <v>1474</v>
      </c>
      <c r="E1226" s="13">
        <v>-0.045734441449955</v>
      </c>
      <c r="F1226" s="13">
        <v>0.0651279275067062</v>
      </c>
      <c r="G1226" s="13">
        <v>-0.702224732166486</v>
      </c>
      <c r="H1226" s="13">
        <v>0.482539024126179</v>
      </c>
      <c r="I1226" s="13">
        <v>6285.0</v>
      </c>
      <c r="J1226" s="31" t="s">
        <v>1796</v>
      </c>
      <c r="K1226" s="31" t="s">
        <v>1793</v>
      </c>
      <c r="L1226" s="31"/>
      <c r="M1226" s="31"/>
      <c r="N1226" s="31"/>
      <c r="O1226" s="31"/>
      <c r="P1226" s="31"/>
      <c r="Q1226" s="31"/>
      <c r="R1226" s="31"/>
      <c r="S1226" s="31"/>
      <c r="T1226" s="31"/>
      <c r="U1226" s="31"/>
      <c r="V1226" s="31"/>
      <c r="W1226" s="31"/>
      <c r="X1226" s="31"/>
      <c r="Y1226" s="31"/>
      <c r="Z1226" s="31"/>
    </row>
    <row r="1227" ht="15.75" customHeight="1">
      <c r="A1227" s="13" t="s">
        <v>586</v>
      </c>
      <c r="B1227" s="13" t="s">
        <v>411</v>
      </c>
      <c r="C1227" s="13" t="s">
        <v>42</v>
      </c>
      <c r="D1227" s="13" t="s">
        <v>1474</v>
      </c>
      <c r="E1227" s="13">
        <v>-0.00788372271164619</v>
      </c>
      <c r="F1227" s="13">
        <v>0.0151633840281057</v>
      </c>
      <c r="G1227" s="13">
        <v>-0.519918423027044</v>
      </c>
      <c r="H1227" s="13">
        <v>0.60312043422842</v>
      </c>
      <c r="I1227" s="13">
        <v>90817.0</v>
      </c>
      <c r="J1227" s="31" t="s">
        <v>1796</v>
      </c>
      <c r="K1227" s="31" t="s">
        <v>1793</v>
      </c>
      <c r="L1227" s="31"/>
      <c r="M1227" s="31"/>
      <c r="N1227" s="31"/>
      <c r="O1227" s="31"/>
      <c r="P1227" s="31"/>
      <c r="Q1227" s="31"/>
      <c r="R1227" s="31"/>
      <c r="S1227" s="31"/>
      <c r="T1227" s="31"/>
      <c r="U1227" s="31"/>
      <c r="V1227" s="31"/>
      <c r="W1227" s="31"/>
      <c r="X1227" s="31"/>
      <c r="Y1227" s="31"/>
      <c r="Z1227" s="31"/>
    </row>
    <row r="1228" ht="15.75" customHeight="1">
      <c r="A1228" s="13" t="s">
        <v>586</v>
      </c>
      <c r="B1228" s="13" t="s">
        <v>411</v>
      </c>
      <c r="C1228" s="13" t="s">
        <v>55</v>
      </c>
      <c r="D1228" s="13" t="s">
        <v>1474</v>
      </c>
      <c r="E1228" s="13">
        <v>0.0215491315870118</v>
      </c>
      <c r="F1228" s="13">
        <v>0.0171514319560211</v>
      </c>
      <c r="G1228" s="13">
        <v>1.25640422573853</v>
      </c>
      <c r="H1228" s="13">
        <v>0.20896945033142</v>
      </c>
      <c r="I1228" s="13">
        <v>90752.0</v>
      </c>
      <c r="J1228" s="31" t="s">
        <v>1796</v>
      </c>
      <c r="K1228" s="31" t="s">
        <v>1793</v>
      </c>
      <c r="L1228" s="31"/>
      <c r="M1228" s="31"/>
      <c r="N1228" s="31"/>
      <c r="O1228" s="31"/>
      <c r="P1228" s="31"/>
      <c r="Q1228" s="31"/>
      <c r="R1228" s="31"/>
      <c r="S1228" s="31"/>
      <c r="T1228" s="31"/>
      <c r="U1228" s="31"/>
      <c r="V1228" s="31"/>
      <c r="W1228" s="31"/>
      <c r="X1228" s="31"/>
      <c r="Y1228" s="31"/>
      <c r="Z1228" s="31"/>
    </row>
    <row r="1229" ht="15.75" customHeight="1">
      <c r="A1229" s="13" t="s">
        <v>586</v>
      </c>
      <c r="B1229" s="13" t="s">
        <v>411</v>
      </c>
      <c r="C1229" s="13" t="s">
        <v>1797</v>
      </c>
      <c r="D1229" s="13" t="s">
        <v>1474</v>
      </c>
      <c r="E1229" s="13">
        <v>-0.0455395159568871</v>
      </c>
      <c r="F1229" s="13">
        <v>0.0181835273783414</v>
      </c>
      <c r="G1229" s="13">
        <v>-2.50443794591415</v>
      </c>
      <c r="H1229" s="13">
        <v>0.0122646117415151</v>
      </c>
      <c r="I1229" s="13">
        <v>90812.0</v>
      </c>
      <c r="J1229" s="31" t="s">
        <v>1796</v>
      </c>
      <c r="K1229" s="31" t="s">
        <v>1793</v>
      </c>
      <c r="L1229" s="31"/>
      <c r="M1229" s="31"/>
      <c r="N1229" s="31"/>
      <c r="O1229" s="31"/>
      <c r="P1229" s="31"/>
      <c r="Q1229" s="31"/>
      <c r="R1229" s="31"/>
      <c r="S1229" s="31"/>
      <c r="T1229" s="31"/>
      <c r="U1229" s="31"/>
      <c r="V1229" s="31"/>
      <c r="W1229" s="31"/>
      <c r="X1229" s="31"/>
      <c r="Y1229" s="31"/>
      <c r="Z1229" s="31"/>
    </row>
    <row r="1230" ht="15.75" customHeight="1">
      <c r="A1230" s="13" t="s">
        <v>620</v>
      </c>
      <c r="B1230" s="13" t="s">
        <v>411</v>
      </c>
      <c r="C1230" s="13" t="s">
        <v>570</v>
      </c>
      <c r="D1230" s="13" t="s">
        <v>1474</v>
      </c>
      <c r="E1230" s="13">
        <v>-0.299723258272818</v>
      </c>
      <c r="F1230" s="13">
        <v>0.0885014572648331</v>
      </c>
      <c r="G1230" s="13">
        <v>-3.38664771785533</v>
      </c>
      <c r="H1230" s="63">
        <v>7.07521754623125E-4</v>
      </c>
      <c r="I1230" s="13">
        <v>3297.0</v>
      </c>
      <c r="J1230" s="31" t="s">
        <v>1796</v>
      </c>
      <c r="K1230" s="31" t="s">
        <v>1793</v>
      </c>
      <c r="L1230" s="31"/>
      <c r="M1230" s="31"/>
      <c r="N1230" s="31"/>
      <c r="O1230" s="31"/>
      <c r="P1230" s="31"/>
      <c r="Q1230" s="31"/>
      <c r="R1230" s="31"/>
      <c r="S1230" s="31"/>
      <c r="T1230" s="31"/>
      <c r="U1230" s="31"/>
      <c r="V1230" s="31"/>
      <c r="W1230" s="31"/>
      <c r="X1230" s="31"/>
      <c r="Y1230" s="31"/>
      <c r="Z1230" s="31"/>
    </row>
    <row r="1231" ht="15.75" customHeight="1">
      <c r="A1231" s="13" t="s">
        <v>620</v>
      </c>
      <c r="B1231" s="13" t="s">
        <v>411</v>
      </c>
      <c r="C1231" s="13" t="s">
        <v>42</v>
      </c>
      <c r="D1231" s="13" t="s">
        <v>1474</v>
      </c>
      <c r="E1231" s="13">
        <v>-0.048015219084393</v>
      </c>
      <c r="F1231" s="13">
        <v>0.0191217034438279</v>
      </c>
      <c r="G1231" s="13">
        <v>-2.51103251472563</v>
      </c>
      <c r="H1231" s="13">
        <v>0.0120378608728846</v>
      </c>
      <c r="I1231" s="13">
        <v>49723.0</v>
      </c>
      <c r="J1231" s="31" t="s">
        <v>1796</v>
      </c>
      <c r="K1231" s="31" t="s">
        <v>1793</v>
      </c>
      <c r="L1231" s="31"/>
      <c r="M1231" s="31"/>
      <c r="N1231" s="31"/>
      <c r="O1231" s="31"/>
      <c r="P1231" s="31"/>
      <c r="Q1231" s="31"/>
      <c r="R1231" s="31"/>
      <c r="S1231" s="31"/>
      <c r="T1231" s="31"/>
      <c r="U1231" s="31"/>
      <c r="V1231" s="31"/>
      <c r="W1231" s="31"/>
      <c r="X1231" s="31"/>
      <c r="Y1231" s="31"/>
      <c r="Z1231" s="31"/>
    </row>
    <row r="1232" ht="15.75" customHeight="1">
      <c r="A1232" s="13" t="s">
        <v>620</v>
      </c>
      <c r="B1232" s="13" t="s">
        <v>411</v>
      </c>
      <c r="C1232" s="13" t="s">
        <v>55</v>
      </c>
      <c r="D1232" s="13" t="s">
        <v>1474</v>
      </c>
      <c r="E1232" s="13">
        <v>-0.00388097487428803</v>
      </c>
      <c r="F1232" s="13">
        <v>0.0229685182697654</v>
      </c>
      <c r="G1232" s="13">
        <v>-0.168969318294979</v>
      </c>
      <c r="H1232" s="13">
        <v>0.865820774811566</v>
      </c>
      <c r="I1232" s="13">
        <v>49691.0</v>
      </c>
      <c r="J1232" s="31" t="s">
        <v>1796</v>
      </c>
      <c r="K1232" s="31" t="s">
        <v>1793</v>
      </c>
      <c r="L1232" s="31"/>
      <c r="M1232" s="31"/>
      <c r="N1232" s="31"/>
      <c r="O1232" s="31"/>
      <c r="P1232" s="31"/>
      <c r="Q1232" s="31"/>
      <c r="R1232" s="31"/>
      <c r="S1232" s="31"/>
      <c r="T1232" s="31"/>
      <c r="U1232" s="31"/>
      <c r="V1232" s="31"/>
      <c r="W1232" s="31"/>
      <c r="X1232" s="31"/>
      <c r="Y1232" s="31"/>
      <c r="Z1232" s="31"/>
    </row>
    <row r="1233" ht="15.75" customHeight="1">
      <c r="A1233" s="13" t="s">
        <v>620</v>
      </c>
      <c r="B1233" s="13" t="s">
        <v>411</v>
      </c>
      <c r="C1233" s="13" t="s">
        <v>1797</v>
      </c>
      <c r="D1233" s="13" t="s">
        <v>1474</v>
      </c>
      <c r="E1233" s="13">
        <v>-0.0913061996805463</v>
      </c>
      <c r="F1233" s="13">
        <v>0.024290562161666</v>
      </c>
      <c r="G1233" s="13">
        <v>-3.75891669665185</v>
      </c>
      <c r="H1233" s="63">
        <v>1.70650639651053E-4</v>
      </c>
      <c r="I1233" s="13">
        <v>49722.0</v>
      </c>
      <c r="J1233" s="31" t="s">
        <v>1796</v>
      </c>
      <c r="K1233" s="31" t="s">
        <v>1793</v>
      </c>
      <c r="L1233" s="31"/>
      <c r="M1233" s="31"/>
      <c r="N1233" s="31"/>
      <c r="O1233" s="31"/>
      <c r="P1233" s="31"/>
      <c r="Q1233" s="31"/>
      <c r="R1233" s="31"/>
      <c r="S1233" s="31"/>
      <c r="T1233" s="31"/>
      <c r="U1233" s="31"/>
      <c r="V1233" s="31"/>
      <c r="W1233" s="31"/>
      <c r="X1233" s="31"/>
      <c r="Y1233" s="31"/>
      <c r="Z1233" s="31"/>
    </row>
    <row r="1234" ht="15.75" customHeight="1">
      <c r="A1234" s="13" t="s">
        <v>1800</v>
      </c>
      <c r="B1234" s="13" t="s">
        <v>411</v>
      </c>
      <c r="C1234" s="13" t="s">
        <v>570</v>
      </c>
      <c r="D1234" s="13" t="s">
        <v>1474</v>
      </c>
      <c r="E1234" s="13">
        <v>-0.061431197939012</v>
      </c>
      <c r="F1234" s="13">
        <v>0.0158982120636842</v>
      </c>
      <c r="G1234" s="13">
        <v>-3.86403186049689</v>
      </c>
      <c r="H1234" s="63">
        <v>1.11530664736546E-4</v>
      </c>
      <c r="I1234" s="13">
        <v>107365.0</v>
      </c>
      <c r="J1234" s="31" t="s">
        <v>1796</v>
      </c>
      <c r="K1234" s="31" t="s">
        <v>1793</v>
      </c>
      <c r="L1234" s="31"/>
      <c r="M1234" s="31"/>
      <c r="N1234" s="31"/>
      <c r="O1234" s="31"/>
      <c r="P1234" s="31"/>
      <c r="Q1234" s="31"/>
      <c r="R1234" s="31"/>
      <c r="S1234" s="31"/>
      <c r="T1234" s="31"/>
      <c r="U1234" s="31"/>
      <c r="V1234" s="31"/>
      <c r="W1234" s="31"/>
      <c r="X1234" s="31"/>
      <c r="Y1234" s="31"/>
      <c r="Z1234" s="31"/>
    </row>
    <row r="1235" ht="15.75" customHeight="1">
      <c r="A1235" s="13" t="s">
        <v>1800</v>
      </c>
      <c r="B1235" s="13" t="s">
        <v>411</v>
      </c>
      <c r="C1235" s="13" t="s">
        <v>42</v>
      </c>
      <c r="D1235" s="13" t="s">
        <v>1474</v>
      </c>
      <c r="E1235" s="13">
        <v>-0.0199788982284585</v>
      </c>
      <c r="F1235" s="13">
        <v>0.0050987393399632</v>
      </c>
      <c r="G1235" s="13">
        <v>-3.91839960750038</v>
      </c>
      <c r="H1235" s="63">
        <v>8.9138840939234E-5</v>
      </c>
      <c r="I1235" s="13">
        <v>1683786.0</v>
      </c>
      <c r="J1235" s="31" t="s">
        <v>1796</v>
      </c>
      <c r="K1235" s="31" t="s">
        <v>1793</v>
      </c>
      <c r="L1235" s="31"/>
      <c r="M1235" s="31"/>
      <c r="N1235" s="31"/>
      <c r="O1235" s="31"/>
      <c r="P1235" s="31"/>
      <c r="Q1235" s="31"/>
      <c r="R1235" s="31"/>
      <c r="S1235" s="31"/>
      <c r="T1235" s="31"/>
      <c r="U1235" s="31"/>
      <c r="V1235" s="31"/>
      <c r="W1235" s="31"/>
      <c r="X1235" s="31"/>
      <c r="Y1235" s="31"/>
      <c r="Z1235" s="31"/>
    </row>
    <row r="1236" ht="15.75" customHeight="1">
      <c r="A1236" s="13" t="s">
        <v>1800</v>
      </c>
      <c r="B1236" s="13" t="s">
        <v>411</v>
      </c>
      <c r="C1236" s="13" t="s">
        <v>55</v>
      </c>
      <c r="D1236" s="13" t="s">
        <v>1474</v>
      </c>
      <c r="E1236" s="13">
        <v>0.0462731124013099</v>
      </c>
      <c r="F1236" s="13">
        <v>0.00602420997701495</v>
      </c>
      <c r="G1236" s="13">
        <v>7.68119182064743</v>
      </c>
      <c r="H1236" s="63">
        <v>1.57615261690915E-14</v>
      </c>
      <c r="I1236" s="13">
        <v>1681714.0</v>
      </c>
      <c r="J1236" s="31" t="s">
        <v>1796</v>
      </c>
      <c r="K1236" s="31" t="s">
        <v>1793</v>
      </c>
      <c r="L1236" s="31"/>
      <c r="M1236" s="31"/>
      <c r="N1236" s="31"/>
      <c r="O1236" s="31"/>
      <c r="P1236" s="31"/>
      <c r="Q1236" s="31"/>
      <c r="R1236" s="31"/>
      <c r="S1236" s="31"/>
      <c r="T1236" s="31"/>
      <c r="U1236" s="31"/>
      <c r="V1236" s="31"/>
      <c r="W1236" s="31"/>
      <c r="X1236" s="31"/>
      <c r="Y1236" s="31"/>
      <c r="Z1236" s="31"/>
    </row>
    <row r="1237" ht="15.75" customHeight="1">
      <c r="A1237" s="13" t="s">
        <v>1800</v>
      </c>
      <c r="B1237" s="13" t="s">
        <v>411</v>
      </c>
      <c r="C1237" s="13" t="s">
        <v>1797</v>
      </c>
      <c r="D1237" s="13" t="s">
        <v>1474</v>
      </c>
      <c r="E1237" s="13">
        <v>-0.0222534662431632</v>
      </c>
      <c r="F1237" s="13">
        <v>0.00513161542449853</v>
      </c>
      <c r="G1237" s="13">
        <v>-4.33654208320528</v>
      </c>
      <c r="H1237" s="63">
        <v>1.44741725450907E-5</v>
      </c>
      <c r="I1237" s="13">
        <v>1683911.0</v>
      </c>
      <c r="J1237" s="31" t="s">
        <v>1796</v>
      </c>
      <c r="K1237" s="31" t="s">
        <v>1793</v>
      </c>
      <c r="L1237" s="31"/>
      <c r="M1237" s="31"/>
      <c r="N1237" s="31"/>
      <c r="O1237" s="31"/>
      <c r="P1237" s="31"/>
      <c r="Q1237" s="31"/>
      <c r="R1237" s="31"/>
      <c r="S1237" s="31"/>
      <c r="T1237" s="31"/>
      <c r="U1237" s="31"/>
      <c r="V1237" s="31"/>
      <c r="W1237" s="31"/>
      <c r="X1237" s="31"/>
      <c r="Y1237" s="31"/>
      <c r="Z1237" s="31"/>
    </row>
    <row r="1238" ht="15.75" customHeight="1">
      <c r="A1238" s="13" t="s">
        <v>1393</v>
      </c>
      <c r="B1238" s="13" t="s">
        <v>411</v>
      </c>
      <c r="C1238" s="13" t="s">
        <v>570</v>
      </c>
      <c r="D1238" s="13" t="s">
        <v>1474</v>
      </c>
      <c r="E1238" s="13">
        <v>-0.0380950743676865</v>
      </c>
      <c r="F1238" s="13">
        <v>0.0127328157320329</v>
      </c>
      <c r="G1238" s="13">
        <v>-2.99188138503001</v>
      </c>
      <c r="H1238" s="13">
        <v>0.00277263969282142</v>
      </c>
      <c r="I1238" s="13">
        <v>168652.0</v>
      </c>
      <c r="J1238" s="31" t="s">
        <v>1796</v>
      </c>
      <c r="K1238" s="31" t="s">
        <v>1793</v>
      </c>
      <c r="L1238" s="31"/>
      <c r="M1238" s="31"/>
      <c r="N1238" s="31"/>
      <c r="O1238" s="31"/>
      <c r="P1238" s="31"/>
      <c r="Q1238" s="31"/>
      <c r="R1238" s="31"/>
      <c r="S1238" s="31"/>
      <c r="T1238" s="31"/>
      <c r="U1238" s="31"/>
      <c r="V1238" s="31"/>
      <c r="W1238" s="31"/>
      <c r="X1238" s="31"/>
      <c r="Y1238" s="31"/>
      <c r="Z1238" s="31"/>
    </row>
    <row r="1239" ht="15.75" customHeight="1">
      <c r="A1239" s="13" t="s">
        <v>1393</v>
      </c>
      <c r="B1239" s="13" t="s">
        <v>411</v>
      </c>
      <c r="C1239" s="13" t="s">
        <v>42</v>
      </c>
      <c r="D1239" s="13" t="s">
        <v>1474</v>
      </c>
      <c r="E1239" s="13">
        <v>0.0242603166753151</v>
      </c>
      <c r="F1239" s="13">
        <v>0.00480606997503999</v>
      </c>
      <c r="G1239" s="13">
        <v>5.04784924092023</v>
      </c>
      <c r="H1239" s="63">
        <v>4.4681149945517E-7</v>
      </c>
      <c r="I1239" s="13">
        <v>2814709.0</v>
      </c>
      <c r="J1239" s="31" t="s">
        <v>1796</v>
      </c>
      <c r="K1239" s="31" t="s">
        <v>1793</v>
      </c>
      <c r="L1239" s="31"/>
      <c r="M1239" s="31"/>
      <c r="N1239" s="31"/>
      <c r="O1239" s="31"/>
      <c r="P1239" s="31"/>
      <c r="Q1239" s="31"/>
      <c r="R1239" s="31"/>
      <c r="S1239" s="31"/>
      <c r="T1239" s="31"/>
      <c r="U1239" s="31"/>
      <c r="V1239" s="31"/>
      <c r="W1239" s="31"/>
      <c r="X1239" s="31"/>
      <c r="Y1239" s="31"/>
      <c r="Z1239" s="31"/>
    </row>
    <row r="1240" ht="15.75" customHeight="1">
      <c r="A1240" s="13" t="s">
        <v>1393</v>
      </c>
      <c r="B1240" s="13" t="s">
        <v>411</v>
      </c>
      <c r="C1240" s="13" t="s">
        <v>55</v>
      </c>
      <c r="D1240" s="13" t="s">
        <v>1474</v>
      </c>
      <c r="E1240" s="13">
        <v>-0.0417738595830692</v>
      </c>
      <c r="F1240" s="13">
        <v>0.00518602907536036</v>
      </c>
      <c r="G1240" s="13">
        <v>-8.05507623964998</v>
      </c>
      <c r="H1240" s="63">
        <v>7.94292846274255E-16</v>
      </c>
      <c r="I1240" s="13">
        <v>2808682.0</v>
      </c>
      <c r="J1240" s="31" t="s">
        <v>1796</v>
      </c>
      <c r="K1240" s="31" t="s">
        <v>1793</v>
      </c>
      <c r="L1240" s="31"/>
      <c r="M1240" s="31"/>
      <c r="N1240" s="31"/>
      <c r="O1240" s="31"/>
      <c r="P1240" s="31"/>
      <c r="Q1240" s="31"/>
      <c r="R1240" s="31"/>
      <c r="S1240" s="31"/>
      <c r="T1240" s="31"/>
      <c r="U1240" s="31"/>
      <c r="V1240" s="31"/>
      <c r="W1240" s="31"/>
      <c r="X1240" s="31"/>
      <c r="Y1240" s="31"/>
      <c r="Z1240" s="31"/>
    </row>
    <row r="1241" ht="15.75" customHeight="1">
      <c r="A1241" s="13" t="s">
        <v>1393</v>
      </c>
      <c r="B1241" s="13" t="s">
        <v>411</v>
      </c>
      <c r="C1241" s="13" t="s">
        <v>1797</v>
      </c>
      <c r="D1241" s="13" t="s">
        <v>1474</v>
      </c>
      <c r="E1241" s="13">
        <v>-0.0384424549494464</v>
      </c>
      <c r="F1241" s="13">
        <v>0.00465366893114049</v>
      </c>
      <c r="G1241" s="13">
        <v>-8.26067679464795</v>
      </c>
      <c r="H1241" s="63">
        <v>1.4484880665849E-16</v>
      </c>
      <c r="I1241" s="13">
        <v>2815512.0</v>
      </c>
      <c r="J1241" s="31" t="s">
        <v>1796</v>
      </c>
      <c r="K1241" s="31" t="s">
        <v>1793</v>
      </c>
      <c r="L1241" s="31"/>
      <c r="M1241" s="31"/>
      <c r="N1241" s="31"/>
      <c r="O1241" s="31"/>
      <c r="P1241" s="31"/>
      <c r="Q1241" s="31"/>
      <c r="R1241" s="31"/>
      <c r="S1241" s="31"/>
      <c r="T1241" s="31"/>
      <c r="U1241" s="31"/>
      <c r="V1241" s="31"/>
      <c r="W1241" s="31"/>
      <c r="X1241" s="31"/>
      <c r="Y1241" s="31"/>
      <c r="Z1241" s="31"/>
    </row>
    <row r="1242" ht="15.75" customHeight="1">
      <c r="A1242" s="13" t="s">
        <v>1396</v>
      </c>
      <c r="B1242" s="13" t="s">
        <v>411</v>
      </c>
      <c r="C1242" s="13" t="s">
        <v>570</v>
      </c>
      <c r="D1242" s="13" t="s">
        <v>1474</v>
      </c>
      <c r="E1242" s="13">
        <v>-0.0606046128908308</v>
      </c>
      <c r="F1242" s="13">
        <v>0.0175255197483008</v>
      </c>
      <c r="G1242" s="13">
        <v>-3.45807792072509</v>
      </c>
      <c r="H1242" s="63">
        <v>5.44044008124235E-4</v>
      </c>
      <c r="I1242" s="13">
        <v>76479.0</v>
      </c>
      <c r="J1242" s="31" t="s">
        <v>1796</v>
      </c>
      <c r="K1242" s="31" t="s">
        <v>1793</v>
      </c>
      <c r="L1242" s="31"/>
      <c r="M1242" s="31"/>
      <c r="N1242" s="31"/>
      <c r="O1242" s="31"/>
      <c r="P1242" s="31"/>
      <c r="Q1242" s="31"/>
      <c r="R1242" s="31"/>
      <c r="S1242" s="31"/>
      <c r="T1242" s="31"/>
      <c r="U1242" s="31"/>
      <c r="V1242" s="31"/>
      <c r="W1242" s="31"/>
      <c r="X1242" s="31"/>
      <c r="Y1242" s="31"/>
      <c r="Z1242" s="31"/>
    </row>
    <row r="1243" ht="15.75" customHeight="1">
      <c r="A1243" s="13" t="s">
        <v>1396</v>
      </c>
      <c r="B1243" s="13" t="s">
        <v>411</v>
      </c>
      <c r="C1243" s="13" t="s">
        <v>42</v>
      </c>
      <c r="D1243" s="13" t="s">
        <v>1474</v>
      </c>
      <c r="E1243" s="13">
        <v>0.0264694866809042</v>
      </c>
      <c r="F1243" s="13">
        <v>0.00509589272263534</v>
      </c>
      <c r="G1243" s="13">
        <v>5.1942786321482</v>
      </c>
      <c r="H1243" s="63">
        <v>2.05515148878009E-7</v>
      </c>
      <c r="I1243" s="13">
        <v>1266287.0</v>
      </c>
      <c r="J1243" s="31" t="s">
        <v>1796</v>
      </c>
      <c r="K1243" s="31" t="s">
        <v>1793</v>
      </c>
      <c r="L1243" s="31"/>
      <c r="M1243" s="31"/>
      <c r="N1243" s="31"/>
      <c r="O1243" s="31"/>
      <c r="P1243" s="31"/>
      <c r="Q1243" s="31"/>
      <c r="R1243" s="31"/>
      <c r="S1243" s="31"/>
      <c r="T1243" s="31"/>
      <c r="U1243" s="31"/>
      <c r="V1243" s="31"/>
      <c r="W1243" s="31"/>
      <c r="X1243" s="31"/>
      <c r="Y1243" s="31"/>
      <c r="Z1243" s="31"/>
    </row>
    <row r="1244" ht="15.75" customHeight="1">
      <c r="A1244" s="13" t="s">
        <v>1396</v>
      </c>
      <c r="B1244" s="13" t="s">
        <v>411</v>
      </c>
      <c r="C1244" s="13" t="s">
        <v>55</v>
      </c>
      <c r="D1244" s="13" t="s">
        <v>1474</v>
      </c>
      <c r="E1244" s="13">
        <v>-0.0367129715383193</v>
      </c>
      <c r="F1244" s="13">
        <v>0.00572914711656864</v>
      </c>
      <c r="G1244" s="13">
        <v>-6.40810417176158</v>
      </c>
      <c r="H1244" s="63">
        <v>1.47340228909559E-10</v>
      </c>
      <c r="I1244" s="13">
        <v>1263888.0</v>
      </c>
      <c r="J1244" s="31" t="s">
        <v>1796</v>
      </c>
      <c r="K1244" s="31" t="s">
        <v>1793</v>
      </c>
      <c r="L1244" s="31"/>
      <c r="M1244" s="31"/>
      <c r="N1244" s="31"/>
      <c r="O1244" s="31"/>
      <c r="P1244" s="31"/>
      <c r="Q1244" s="31"/>
      <c r="R1244" s="31"/>
      <c r="S1244" s="31"/>
      <c r="T1244" s="31"/>
      <c r="U1244" s="31"/>
      <c r="V1244" s="31"/>
      <c r="W1244" s="31"/>
      <c r="X1244" s="31"/>
      <c r="Y1244" s="31"/>
      <c r="Z1244" s="31"/>
    </row>
    <row r="1245" ht="15.75" customHeight="1">
      <c r="A1245" s="13" t="s">
        <v>1396</v>
      </c>
      <c r="B1245" s="13" t="s">
        <v>411</v>
      </c>
      <c r="C1245" s="13" t="s">
        <v>1797</v>
      </c>
      <c r="D1245" s="13" t="s">
        <v>1474</v>
      </c>
      <c r="E1245" s="13">
        <v>-0.0293620788073824</v>
      </c>
      <c r="F1245" s="13">
        <v>0.00549423720403072</v>
      </c>
      <c r="G1245" s="13">
        <v>-5.34415929218375</v>
      </c>
      <c r="H1245" s="63">
        <v>9.08376603975375E-8</v>
      </c>
      <c r="I1245" s="13">
        <v>1266557.0</v>
      </c>
      <c r="J1245" s="31" t="s">
        <v>1796</v>
      </c>
      <c r="K1245" s="31" t="s">
        <v>1793</v>
      </c>
      <c r="L1245" s="31"/>
      <c r="M1245" s="31"/>
      <c r="N1245" s="31"/>
      <c r="O1245" s="31"/>
      <c r="P1245" s="31"/>
      <c r="Q1245" s="31"/>
      <c r="R1245" s="31"/>
      <c r="S1245" s="31"/>
      <c r="T1245" s="31"/>
      <c r="U1245" s="31"/>
      <c r="V1245" s="31"/>
      <c r="W1245" s="31"/>
      <c r="X1245" s="31"/>
      <c r="Y1245" s="31"/>
      <c r="Z1245" s="31"/>
    </row>
    <row r="1246" ht="15.75" customHeight="1">
      <c r="A1246" s="13" t="s">
        <v>1398</v>
      </c>
      <c r="B1246" s="13" t="s">
        <v>411</v>
      </c>
      <c r="C1246" s="13" t="s">
        <v>570</v>
      </c>
      <c r="D1246" s="13" t="s">
        <v>1474</v>
      </c>
      <c r="E1246" s="13">
        <v>-0.244782165839461</v>
      </c>
      <c r="F1246" s="13">
        <v>0.0139765013518425</v>
      </c>
      <c r="G1246" s="13">
        <v>-17.5138369522778</v>
      </c>
      <c r="H1246" s="63">
        <v>1.12358821672308E-68</v>
      </c>
      <c r="I1246" s="13">
        <v>168862.0</v>
      </c>
      <c r="J1246" s="31" t="s">
        <v>1796</v>
      </c>
      <c r="K1246" s="31" t="s">
        <v>1793</v>
      </c>
      <c r="L1246" s="31"/>
      <c r="M1246" s="31"/>
      <c r="N1246" s="31"/>
      <c r="O1246" s="31"/>
      <c r="P1246" s="31"/>
      <c r="Q1246" s="31"/>
      <c r="R1246" s="31"/>
      <c r="S1246" s="31"/>
      <c r="T1246" s="31"/>
      <c r="U1246" s="31"/>
      <c r="V1246" s="31"/>
      <c r="W1246" s="31"/>
      <c r="X1246" s="31"/>
      <c r="Y1246" s="31"/>
      <c r="Z1246" s="31"/>
    </row>
    <row r="1247" ht="15.75" customHeight="1">
      <c r="A1247" s="13" t="s">
        <v>1398</v>
      </c>
      <c r="B1247" s="13" t="s">
        <v>411</v>
      </c>
      <c r="C1247" s="13" t="s">
        <v>42</v>
      </c>
      <c r="D1247" s="13" t="s">
        <v>1474</v>
      </c>
      <c r="E1247" s="13">
        <v>-0.209764487844263</v>
      </c>
      <c r="F1247" s="13">
        <v>0.00909661594390426</v>
      </c>
      <c r="G1247" s="13">
        <v>-23.0596178994265</v>
      </c>
      <c r="H1247" s="63">
        <v>1.17788553606894E-117</v>
      </c>
      <c r="I1247" s="13">
        <v>2819116.0</v>
      </c>
      <c r="J1247" s="31" t="s">
        <v>1796</v>
      </c>
      <c r="K1247" s="31" t="s">
        <v>1793</v>
      </c>
      <c r="L1247" s="31"/>
      <c r="M1247" s="31"/>
      <c r="N1247" s="31"/>
      <c r="O1247" s="31"/>
      <c r="P1247" s="31"/>
      <c r="Q1247" s="31"/>
      <c r="R1247" s="31"/>
      <c r="S1247" s="31"/>
      <c r="T1247" s="31"/>
      <c r="U1247" s="31"/>
      <c r="V1247" s="31"/>
      <c r="W1247" s="31"/>
      <c r="X1247" s="31"/>
      <c r="Y1247" s="31"/>
      <c r="Z1247" s="31"/>
    </row>
    <row r="1248" ht="15.75" customHeight="1">
      <c r="A1248" s="13" t="s">
        <v>1398</v>
      </c>
      <c r="B1248" s="13" t="s">
        <v>411</v>
      </c>
      <c r="C1248" s="13" t="s">
        <v>55</v>
      </c>
      <c r="D1248" s="13" t="s">
        <v>1474</v>
      </c>
      <c r="E1248" s="13">
        <v>-0.215690016993824</v>
      </c>
      <c r="F1248" s="13">
        <v>0.0085257077031924</v>
      </c>
      <c r="G1248" s="13">
        <v>-25.2987815795116</v>
      </c>
      <c r="H1248" s="63">
        <v>3.29438480727021E-141</v>
      </c>
      <c r="I1248" s="13">
        <v>2813079.0</v>
      </c>
      <c r="J1248" s="31" t="s">
        <v>1796</v>
      </c>
      <c r="K1248" s="31" t="s">
        <v>1793</v>
      </c>
      <c r="L1248" s="31"/>
      <c r="M1248" s="31"/>
      <c r="N1248" s="31"/>
      <c r="O1248" s="31"/>
      <c r="P1248" s="31"/>
      <c r="Q1248" s="31"/>
      <c r="R1248" s="31"/>
      <c r="S1248" s="31"/>
      <c r="T1248" s="31"/>
      <c r="U1248" s="31"/>
      <c r="V1248" s="31"/>
      <c r="W1248" s="31"/>
      <c r="X1248" s="31"/>
      <c r="Y1248" s="31"/>
      <c r="Z1248" s="31"/>
    </row>
    <row r="1249" ht="15.75" customHeight="1">
      <c r="A1249" s="13" t="s">
        <v>1398</v>
      </c>
      <c r="B1249" s="13" t="s">
        <v>411</v>
      </c>
      <c r="C1249" s="13" t="s">
        <v>1797</v>
      </c>
      <c r="D1249" s="13" t="s">
        <v>1474</v>
      </c>
      <c r="E1249" s="13">
        <v>0.0947537938259534</v>
      </c>
      <c r="F1249" s="13">
        <v>0.00747649881687647</v>
      </c>
      <c r="G1249" s="13">
        <v>12.6735516378426</v>
      </c>
      <c r="H1249" s="63">
        <v>8.28753346143079E-37</v>
      </c>
      <c r="I1249" s="13">
        <v>2819921.0</v>
      </c>
      <c r="J1249" s="31" t="s">
        <v>1796</v>
      </c>
      <c r="K1249" s="31" t="s">
        <v>1793</v>
      </c>
      <c r="L1249" s="31"/>
      <c r="M1249" s="31"/>
      <c r="N1249" s="31"/>
      <c r="O1249" s="31"/>
      <c r="P1249" s="31"/>
      <c r="Q1249" s="31"/>
      <c r="R1249" s="31"/>
      <c r="S1249" s="31"/>
      <c r="T1249" s="31"/>
      <c r="U1249" s="31"/>
      <c r="V1249" s="31"/>
      <c r="W1249" s="31"/>
      <c r="X1249" s="31"/>
      <c r="Y1249" s="31"/>
      <c r="Z1249" s="31"/>
    </row>
    <row r="1250" ht="15.75" customHeight="1">
      <c r="A1250" s="13" t="s">
        <v>1401</v>
      </c>
      <c r="B1250" s="13" t="s">
        <v>411</v>
      </c>
      <c r="C1250" s="13" t="s">
        <v>570</v>
      </c>
      <c r="D1250" s="13" t="s">
        <v>1474</v>
      </c>
      <c r="E1250" s="13">
        <v>-0.0677381147267291</v>
      </c>
      <c r="F1250" s="13">
        <v>0.0129214379318109</v>
      </c>
      <c r="G1250" s="13">
        <v>-5.24230469427606</v>
      </c>
      <c r="H1250" s="63">
        <v>1.58583212360683E-7</v>
      </c>
      <c r="I1250" s="13">
        <v>168871.0</v>
      </c>
      <c r="J1250" s="31" t="s">
        <v>1796</v>
      </c>
      <c r="K1250" s="31" t="s">
        <v>1793</v>
      </c>
      <c r="L1250" s="31"/>
      <c r="M1250" s="31"/>
      <c r="N1250" s="31"/>
      <c r="O1250" s="31"/>
      <c r="P1250" s="31"/>
      <c r="Q1250" s="31"/>
      <c r="R1250" s="31"/>
      <c r="S1250" s="31"/>
      <c r="T1250" s="31"/>
      <c r="U1250" s="31"/>
      <c r="V1250" s="31"/>
      <c r="W1250" s="31"/>
      <c r="X1250" s="31"/>
      <c r="Y1250" s="31"/>
      <c r="Z1250" s="31"/>
    </row>
    <row r="1251" ht="15.75" customHeight="1">
      <c r="A1251" s="13" t="s">
        <v>1401</v>
      </c>
      <c r="B1251" s="13" t="s">
        <v>411</v>
      </c>
      <c r="C1251" s="13" t="s">
        <v>42</v>
      </c>
      <c r="D1251" s="13" t="s">
        <v>1474</v>
      </c>
      <c r="E1251" s="13">
        <v>0.00495834106188745</v>
      </c>
      <c r="F1251" s="13">
        <v>0.00538142783290047</v>
      </c>
      <c r="G1251" s="13">
        <v>0.921380201658306</v>
      </c>
      <c r="H1251" s="13">
        <v>0.356851961611148</v>
      </c>
      <c r="I1251" s="13">
        <v>2819385.0</v>
      </c>
      <c r="J1251" s="31" t="s">
        <v>1796</v>
      </c>
      <c r="K1251" s="31" t="s">
        <v>1793</v>
      </c>
      <c r="L1251" s="31"/>
      <c r="M1251" s="31"/>
      <c r="N1251" s="31"/>
      <c r="O1251" s="31"/>
      <c r="P1251" s="31"/>
      <c r="Q1251" s="31"/>
      <c r="R1251" s="31"/>
      <c r="S1251" s="31"/>
      <c r="T1251" s="31"/>
      <c r="U1251" s="31"/>
      <c r="V1251" s="31"/>
      <c r="W1251" s="31"/>
      <c r="X1251" s="31"/>
      <c r="Y1251" s="31"/>
      <c r="Z1251" s="31"/>
    </row>
    <row r="1252" ht="15.75" customHeight="1">
      <c r="A1252" s="13" t="s">
        <v>1401</v>
      </c>
      <c r="B1252" s="13" t="s">
        <v>411</v>
      </c>
      <c r="C1252" s="13" t="s">
        <v>55</v>
      </c>
      <c r="D1252" s="13" t="s">
        <v>1474</v>
      </c>
      <c r="E1252" s="13">
        <v>-0.0461422021674087</v>
      </c>
      <c r="F1252" s="13">
        <v>0.00547070223636079</v>
      </c>
      <c r="G1252" s="13">
        <v>-8.43442033103658</v>
      </c>
      <c r="H1252" s="63">
        <v>3.3284840800527E-17</v>
      </c>
      <c r="I1252" s="13">
        <v>2813350.0</v>
      </c>
      <c r="J1252" s="31" t="s">
        <v>1796</v>
      </c>
      <c r="K1252" s="31" t="s">
        <v>1793</v>
      </c>
      <c r="L1252" s="31"/>
      <c r="M1252" s="31"/>
      <c r="N1252" s="31"/>
      <c r="O1252" s="31"/>
      <c r="P1252" s="31"/>
      <c r="Q1252" s="31"/>
      <c r="R1252" s="31"/>
      <c r="S1252" s="31"/>
      <c r="T1252" s="31"/>
      <c r="U1252" s="31"/>
      <c r="V1252" s="31"/>
      <c r="W1252" s="31"/>
      <c r="X1252" s="31"/>
      <c r="Y1252" s="31"/>
      <c r="Z1252" s="31"/>
    </row>
    <row r="1253" ht="15.75" customHeight="1">
      <c r="A1253" s="13" t="s">
        <v>1401</v>
      </c>
      <c r="B1253" s="13" t="s">
        <v>411</v>
      </c>
      <c r="C1253" s="13" t="s">
        <v>1797</v>
      </c>
      <c r="D1253" s="13" t="s">
        <v>1474</v>
      </c>
      <c r="E1253" s="13">
        <v>-0.0126961983972278</v>
      </c>
      <c r="F1253" s="13">
        <v>0.00506094071085115</v>
      </c>
      <c r="G1253" s="13">
        <v>-2.50866372925609</v>
      </c>
      <c r="H1253" s="13">
        <v>0.0121188790656312</v>
      </c>
      <c r="I1253" s="13">
        <v>2820185.0</v>
      </c>
      <c r="J1253" s="31" t="s">
        <v>1796</v>
      </c>
      <c r="K1253" s="31" t="s">
        <v>1793</v>
      </c>
      <c r="L1253" s="31"/>
      <c r="M1253" s="31"/>
      <c r="N1253" s="31"/>
      <c r="O1253" s="31"/>
      <c r="P1253" s="31"/>
      <c r="Q1253" s="31"/>
      <c r="R1253" s="31"/>
      <c r="S1253" s="31"/>
      <c r="T1253" s="31"/>
      <c r="U1253" s="31"/>
      <c r="V1253" s="31"/>
      <c r="W1253" s="31"/>
      <c r="X1253" s="31"/>
      <c r="Y1253" s="31"/>
      <c r="Z1253" s="31"/>
    </row>
    <row r="1254" ht="15.75" customHeight="1">
      <c r="A1254" s="13" t="s">
        <v>1404</v>
      </c>
      <c r="B1254" s="13" t="s">
        <v>411</v>
      </c>
      <c r="C1254" s="13" t="s">
        <v>570</v>
      </c>
      <c r="D1254" s="13" t="s">
        <v>1474</v>
      </c>
      <c r="E1254" s="13">
        <v>-0.0454223854841396</v>
      </c>
      <c r="F1254" s="13">
        <v>0.0128382554064153</v>
      </c>
      <c r="G1254" s="13">
        <v>-3.53804968402808</v>
      </c>
      <c r="H1254" s="63">
        <v>4.03094202300689E-4</v>
      </c>
      <c r="I1254" s="13">
        <v>168889.0</v>
      </c>
      <c r="J1254" s="31" t="s">
        <v>1796</v>
      </c>
      <c r="K1254" s="31" t="s">
        <v>1793</v>
      </c>
      <c r="L1254" s="31"/>
      <c r="M1254" s="31"/>
      <c r="N1254" s="31"/>
      <c r="O1254" s="31"/>
      <c r="P1254" s="31"/>
      <c r="Q1254" s="31"/>
      <c r="R1254" s="31"/>
      <c r="S1254" s="31"/>
      <c r="T1254" s="31"/>
      <c r="U1254" s="31"/>
      <c r="V1254" s="31"/>
      <c r="W1254" s="31"/>
      <c r="X1254" s="31"/>
      <c r="Y1254" s="31"/>
      <c r="Z1254" s="31"/>
    </row>
    <row r="1255" ht="15.75" customHeight="1">
      <c r="A1255" s="13" t="s">
        <v>1404</v>
      </c>
      <c r="B1255" s="13" t="s">
        <v>411</v>
      </c>
      <c r="C1255" s="13" t="s">
        <v>42</v>
      </c>
      <c r="D1255" s="13" t="s">
        <v>1474</v>
      </c>
      <c r="E1255" s="13">
        <v>0.0128670044270266</v>
      </c>
      <c r="F1255" s="13">
        <v>0.00480644682131386</v>
      </c>
      <c r="G1255" s="13">
        <v>2.67703043544949</v>
      </c>
      <c r="H1255" s="13">
        <v>0.00742778873044786</v>
      </c>
      <c r="I1255" s="13">
        <v>2819495.0</v>
      </c>
      <c r="J1255" s="31" t="s">
        <v>1796</v>
      </c>
      <c r="K1255" s="31" t="s">
        <v>1793</v>
      </c>
      <c r="L1255" s="31"/>
      <c r="M1255" s="31"/>
      <c r="N1255" s="31"/>
      <c r="O1255" s="31"/>
      <c r="P1255" s="31"/>
      <c r="Q1255" s="31"/>
      <c r="R1255" s="31"/>
      <c r="S1255" s="31"/>
      <c r="T1255" s="31"/>
      <c r="U1255" s="31"/>
      <c r="V1255" s="31"/>
      <c r="W1255" s="31"/>
      <c r="X1255" s="31"/>
      <c r="Y1255" s="31"/>
      <c r="Z1255" s="31"/>
    </row>
    <row r="1256" ht="15.75" customHeight="1">
      <c r="A1256" s="13" t="s">
        <v>1404</v>
      </c>
      <c r="B1256" s="13" t="s">
        <v>411</v>
      </c>
      <c r="C1256" s="13" t="s">
        <v>55</v>
      </c>
      <c r="D1256" s="13" t="s">
        <v>1474</v>
      </c>
      <c r="E1256" s="13">
        <v>-0.0390196039551313</v>
      </c>
      <c r="F1256" s="13">
        <v>0.00557884393651375</v>
      </c>
      <c r="G1256" s="13">
        <v>-6.99420962464042</v>
      </c>
      <c r="H1256" s="63">
        <v>2.66758457124172E-12</v>
      </c>
      <c r="I1256" s="13">
        <v>2813465.0</v>
      </c>
      <c r="J1256" s="31" t="s">
        <v>1796</v>
      </c>
      <c r="K1256" s="31" t="s">
        <v>1793</v>
      </c>
      <c r="L1256" s="31"/>
      <c r="M1256" s="31"/>
      <c r="N1256" s="31"/>
      <c r="O1256" s="31"/>
      <c r="P1256" s="31"/>
      <c r="Q1256" s="31"/>
      <c r="R1256" s="31"/>
      <c r="S1256" s="31"/>
      <c r="T1256" s="31"/>
      <c r="U1256" s="31"/>
      <c r="V1256" s="31"/>
      <c r="W1256" s="31"/>
      <c r="X1256" s="31"/>
      <c r="Y1256" s="31"/>
      <c r="Z1256" s="31"/>
    </row>
    <row r="1257" ht="15.75" customHeight="1">
      <c r="A1257" s="13" t="s">
        <v>1404</v>
      </c>
      <c r="B1257" s="13" t="s">
        <v>411</v>
      </c>
      <c r="C1257" s="13" t="s">
        <v>1797</v>
      </c>
      <c r="D1257" s="13" t="s">
        <v>1474</v>
      </c>
      <c r="E1257" s="13">
        <v>-0.0136248926789842</v>
      </c>
      <c r="F1257" s="13">
        <v>0.00494023845725575</v>
      </c>
      <c r="G1257" s="13">
        <v>-2.75794231328516</v>
      </c>
      <c r="H1257" s="13">
        <v>0.00581664616608525</v>
      </c>
      <c r="I1257" s="13">
        <v>2820299.0</v>
      </c>
      <c r="J1257" s="31" t="s">
        <v>1796</v>
      </c>
      <c r="K1257" s="31" t="s">
        <v>1793</v>
      </c>
      <c r="L1257" s="31"/>
      <c r="M1257" s="31"/>
      <c r="N1257" s="31"/>
      <c r="O1257" s="31"/>
      <c r="P1257" s="31"/>
      <c r="Q1257" s="31"/>
      <c r="R1257" s="31"/>
      <c r="S1257" s="31"/>
      <c r="T1257" s="31"/>
      <c r="U1257" s="31"/>
      <c r="V1257" s="31"/>
      <c r="W1257" s="31"/>
      <c r="X1257" s="31"/>
      <c r="Y1257" s="31"/>
      <c r="Z1257" s="31"/>
    </row>
    <row r="1258" ht="15.75" customHeight="1">
      <c r="A1258" s="13" t="s">
        <v>1406</v>
      </c>
      <c r="B1258" s="13" t="s">
        <v>411</v>
      </c>
      <c r="C1258" s="13" t="s">
        <v>570</v>
      </c>
      <c r="D1258" s="13" t="s">
        <v>1474</v>
      </c>
      <c r="E1258" s="13">
        <v>-0.0504100409357269</v>
      </c>
      <c r="F1258" s="13">
        <v>0.0126084306322264</v>
      </c>
      <c r="G1258" s="13">
        <v>-3.99812176520064</v>
      </c>
      <c r="H1258" s="63">
        <v>6.38471057685772E-5</v>
      </c>
      <c r="I1258" s="13">
        <v>168846.0</v>
      </c>
      <c r="J1258" s="31" t="s">
        <v>1796</v>
      </c>
      <c r="K1258" s="31" t="s">
        <v>1793</v>
      </c>
      <c r="L1258" s="31"/>
      <c r="M1258" s="31"/>
      <c r="N1258" s="31"/>
      <c r="O1258" s="31"/>
      <c r="P1258" s="31"/>
      <c r="Q1258" s="31"/>
      <c r="R1258" s="31"/>
      <c r="S1258" s="31"/>
      <c r="T1258" s="31"/>
      <c r="U1258" s="31"/>
      <c r="V1258" s="31"/>
      <c r="W1258" s="31"/>
      <c r="X1258" s="31"/>
      <c r="Y1258" s="31"/>
      <c r="Z1258" s="31"/>
    </row>
    <row r="1259" ht="15.75" customHeight="1">
      <c r="A1259" s="13" t="s">
        <v>1406</v>
      </c>
      <c r="B1259" s="13" t="s">
        <v>411</v>
      </c>
      <c r="C1259" s="13" t="s">
        <v>42</v>
      </c>
      <c r="D1259" s="13" t="s">
        <v>1474</v>
      </c>
      <c r="E1259" s="13">
        <v>0.0136172425175091</v>
      </c>
      <c r="F1259" s="13">
        <v>0.00538560353303988</v>
      </c>
      <c r="G1259" s="13">
        <v>2.52845246293556</v>
      </c>
      <c r="H1259" s="13">
        <v>0.0114566599896184</v>
      </c>
      <c r="I1259" s="13">
        <v>2818842.0</v>
      </c>
      <c r="J1259" s="31" t="s">
        <v>1796</v>
      </c>
      <c r="K1259" s="31" t="s">
        <v>1793</v>
      </c>
      <c r="L1259" s="31"/>
      <c r="M1259" s="31"/>
      <c r="N1259" s="31"/>
      <c r="O1259" s="31"/>
      <c r="P1259" s="31"/>
      <c r="Q1259" s="31"/>
      <c r="R1259" s="31"/>
      <c r="S1259" s="31"/>
      <c r="T1259" s="31"/>
      <c r="U1259" s="31"/>
      <c r="V1259" s="31"/>
      <c r="W1259" s="31"/>
      <c r="X1259" s="31"/>
      <c r="Y1259" s="31"/>
      <c r="Z1259" s="31"/>
    </row>
    <row r="1260" ht="15.75" customHeight="1">
      <c r="A1260" s="13" t="s">
        <v>1406</v>
      </c>
      <c r="B1260" s="13" t="s">
        <v>411</v>
      </c>
      <c r="C1260" s="13" t="s">
        <v>55</v>
      </c>
      <c r="D1260" s="13" t="s">
        <v>1474</v>
      </c>
      <c r="E1260" s="13">
        <v>-0.041133986853846</v>
      </c>
      <c r="F1260" s="13">
        <v>0.00627141767267071</v>
      </c>
      <c r="G1260" s="13">
        <v>-6.5589614662563</v>
      </c>
      <c r="H1260" s="63">
        <v>5.41838003357643E-11</v>
      </c>
      <c r="I1260" s="13">
        <v>2812805.0</v>
      </c>
      <c r="J1260" s="31" t="s">
        <v>1796</v>
      </c>
      <c r="K1260" s="31" t="s">
        <v>1793</v>
      </c>
      <c r="L1260" s="31"/>
      <c r="M1260" s="31"/>
      <c r="N1260" s="31"/>
      <c r="O1260" s="31"/>
      <c r="P1260" s="31"/>
      <c r="Q1260" s="31"/>
      <c r="R1260" s="31"/>
      <c r="S1260" s="31"/>
      <c r="T1260" s="31"/>
      <c r="U1260" s="31"/>
      <c r="V1260" s="31"/>
      <c r="W1260" s="31"/>
      <c r="X1260" s="31"/>
      <c r="Y1260" s="31"/>
      <c r="Z1260" s="31"/>
    </row>
    <row r="1261" ht="15.75" customHeight="1">
      <c r="A1261" s="13" t="s">
        <v>1406</v>
      </c>
      <c r="B1261" s="13" t="s">
        <v>411</v>
      </c>
      <c r="C1261" s="13" t="s">
        <v>1797</v>
      </c>
      <c r="D1261" s="13" t="s">
        <v>1474</v>
      </c>
      <c r="E1261" s="13">
        <v>-0.0178734539381013</v>
      </c>
      <c r="F1261" s="13">
        <v>0.0051878698117862</v>
      </c>
      <c r="G1261" s="13">
        <v>-3.445239488758</v>
      </c>
      <c r="H1261" s="63">
        <v>5.70553640196659E-4</v>
      </c>
      <c r="I1261" s="13">
        <v>2819646.0</v>
      </c>
      <c r="J1261" s="31" t="s">
        <v>1796</v>
      </c>
      <c r="K1261" s="31" t="s">
        <v>1793</v>
      </c>
      <c r="L1261" s="31"/>
      <c r="M1261" s="31"/>
      <c r="N1261" s="31"/>
      <c r="O1261" s="31"/>
      <c r="P1261" s="31"/>
      <c r="Q1261" s="31"/>
      <c r="R1261" s="31"/>
      <c r="S1261" s="31"/>
      <c r="T1261" s="31"/>
      <c r="U1261" s="31"/>
      <c r="V1261" s="31"/>
      <c r="W1261" s="31"/>
      <c r="X1261" s="31"/>
      <c r="Y1261" s="31"/>
      <c r="Z1261" s="31"/>
    </row>
    <row r="1262" ht="15.75" customHeight="1">
      <c r="A1262" s="13" t="s">
        <v>1408</v>
      </c>
      <c r="B1262" s="13" t="s">
        <v>411</v>
      </c>
      <c r="C1262" s="13" t="s">
        <v>570</v>
      </c>
      <c r="D1262" s="13" t="s">
        <v>1474</v>
      </c>
      <c r="E1262" s="13">
        <v>-0.0640218131981453</v>
      </c>
      <c r="F1262" s="13">
        <v>0.0125586582508364</v>
      </c>
      <c r="G1262" s="13">
        <v>-5.09782270680716</v>
      </c>
      <c r="H1262" s="63">
        <v>3.43582375970145E-7</v>
      </c>
      <c r="I1262" s="13">
        <v>168875.0</v>
      </c>
      <c r="J1262" s="31" t="s">
        <v>1796</v>
      </c>
      <c r="K1262" s="31" t="s">
        <v>1793</v>
      </c>
      <c r="L1262" s="31"/>
      <c r="M1262" s="31"/>
      <c r="N1262" s="31"/>
      <c r="O1262" s="31"/>
      <c r="P1262" s="31"/>
      <c r="Q1262" s="31"/>
      <c r="R1262" s="31"/>
      <c r="S1262" s="31"/>
      <c r="T1262" s="31"/>
      <c r="U1262" s="31"/>
      <c r="V1262" s="31"/>
      <c r="W1262" s="31"/>
      <c r="X1262" s="31"/>
      <c r="Y1262" s="31"/>
      <c r="Z1262" s="31"/>
    </row>
    <row r="1263" ht="15.75" customHeight="1">
      <c r="A1263" s="13" t="s">
        <v>1408</v>
      </c>
      <c r="B1263" s="13" t="s">
        <v>411</v>
      </c>
      <c r="C1263" s="13" t="s">
        <v>42</v>
      </c>
      <c r="D1263" s="13" t="s">
        <v>1474</v>
      </c>
      <c r="E1263" s="13">
        <v>0.0196101484814373</v>
      </c>
      <c r="F1263" s="13">
        <v>0.00466799628180345</v>
      </c>
      <c r="G1263" s="13">
        <v>4.20097774239465</v>
      </c>
      <c r="H1263" s="63">
        <v>2.65764721173675E-5</v>
      </c>
      <c r="I1263" s="13">
        <v>2819502.0</v>
      </c>
      <c r="J1263" s="31" t="s">
        <v>1796</v>
      </c>
      <c r="K1263" s="31" t="s">
        <v>1793</v>
      </c>
      <c r="L1263" s="31"/>
      <c r="M1263" s="31"/>
      <c r="N1263" s="31"/>
      <c r="O1263" s="31"/>
      <c r="P1263" s="31"/>
      <c r="Q1263" s="31"/>
      <c r="R1263" s="31"/>
      <c r="S1263" s="31"/>
      <c r="T1263" s="31"/>
      <c r="U1263" s="31"/>
      <c r="V1263" s="31"/>
      <c r="W1263" s="31"/>
      <c r="X1263" s="31"/>
      <c r="Y1263" s="31"/>
      <c r="Z1263" s="31"/>
    </row>
    <row r="1264" ht="15.75" customHeight="1">
      <c r="A1264" s="13" t="s">
        <v>1408</v>
      </c>
      <c r="B1264" s="13" t="s">
        <v>411</v>
      </c>
      <c r="C1264" s="13" t="s">
        <v>55</v>
      </c>
      <c r="D1264" s="13" t="s">
        <v>1474</v>
      </c>
      <c r="E1264" s="13">
        <v>-0.0411912346772675</v>
      </c>
      <c r="F1264" s="13">
        <v>0.00497824727619207</v>
      </c>
      <c r="G1264" s="13">
        <v>-8.27424440611059</v>
      </c>
      <c r="H1264" s="63">
        <v>1.29272754468869E-16</v>
      </c>
      <c r="I1264" s="13">
        <v>2813459.0</v>
      </c>
      <c r="J1264" s="31" t="s">
        <v>1796</v>
      </c>
      <c r="K1264" s="31" t="s">
        <v>1793</v>
      </c>
      <c r="L1264" s="31"/>
      <c r="M1264" s="31"/>
      <c r="N1264" s="31"/>
      <c r="O1264" s="31"/>
      <c r="P1264" s="31"/>
      <c r="Q1264" s="31"/>
      <c r="R1264" s="31"/>
      <c r="S1264" s="31"/>
      <c r="T1264" s="31"/>
      <c r="U1264" s="31"/>
      <c r="V1264" s="31"/>
      <c r="W1264" s="31"/>
      <c r="X1264" s="31"/>
      <c r="Y1264" s="31"/>
      <c r="Z1264" s="31"/>
    </row>
    <row r="1265" ht="15.75" customHeight="1">
      <c r="A1265" s="13" t="s">
        <v>1408</v>
      </c>
      <c r="B1265" s="13" t="s">
        <v>411</v>
      </c>
      <c r="C1265" s="13" t="s">
        <v>1797</v>
      </c>
      <c r="D1265" s="13" t="s">
        <v>1474</v>
      </c>
      <c r="E1265" s="13">
        <v>-0.0231360970115332</v>
      </c>
      <c r="F1265" s="13">
        <v>0.00465289641278853</v>
      </c>
      <c r="G1265" s="13">
        <v>-4.97240749825065</v>
      </c>
      <c r="H1265" s="63">
        <v>6.6126525636002E-7</v>
      </c>
      <c r="I1265" s="13">
        <v>2820303.0</v>
      </c>
      <c r="J1265" s="31" t="s">
        <v>1796</v>
      </c>
      <c r="K1265" s="31" t="s">
        <v>1793</v>
      </c>
      <c r="L1265" s="31"/>
      <c r="M1265" s="31"/>
      <c r="N1265" s="31"/>
      <c r="O1265" s="31"/>
      <c r="P1265" s="31"/>
      <c r="Q1265" s="31"/>
      <c r="R1265" s="31"/>
      <c r="S1265" s="31"/>
      <c r="T1265" s="31"/>
      <c r="U1265" s="31"/>
      <c r="V1265" s="31"/>
      <c r="W1265" s="31"/>
      <c r="X1265" s="31"/>
      <c r="Y1265" s="31"/>
      <c r="Z1265" s="31"/>
    </row>
    <row r="1266" ht="15.75" customHeight="1">
      <c r="A1266" s="13" t="s">
        <v>1410</v>
      </c>
      <c r="B1266" s="13" t="s">
        <v>411</v>
      </c>
      <c r="C1266" s="13" t="s">
        <v>570</v>
      </c>
      <c r="D1266" s="13" t="s">
        <v>1474</v>
      </c>
      <c r="E1266" s="13">
        <v>-0.0487989398482731</v>
      </c>
      <c r="F1266" s="13">
        <v>0.0124121675971998</v>
      </c>
      <c r="G1266" s="13">
        <v>-3.93154051990742</v>
      </c>
      <c r="H1266" s="63">
        <v>8.44032665816511E-5</v>
      </c>
      <c r="I1266" s="13">
        <v>168861.0</v>
      </c>
      <c r="J1266" s="31" t="s">
        <v>1796</v>
      </c>
      <c r="K1266" s="31" t="s">
        <v>1793</v>
      </c>
      <c r="L1266" s="31"/>
      <c r="M1266" s="31"/>
      <c r="N1266" s="31"/>
      <c r="O1266" s="31"/>
      <c r="P1266" s="31"/>
      <c r="Q1266" s="31"/>
      <c r="R1266" s="31"/>
      <c r="S1266" s="31"/>
      <c r="T1266" s="31"/>
      <c r="U1266" s="31"/>
      <c r="V1266" s="31"/>
      <c r="W1266" s="31"/>
      <c r="X1266" s="31"/>
      <c r="Y1266" s="31"/>
      <c r="Z1266" s="31"/>
    </row>
    <row r="1267" ht="15.75" customHeight="1">
      <c r="A1267" s="13" t="s">
        <v>1410</v>
      </c>
      <c r="B1267" s="13" t="s">
        <v>411</v>
      </c>
      <c r="C1267" s="13" t="s">
        <v>42</v>
      </c>
      <c r="D1267" s="13" t="s">
        <v>1474</v>
      </c>
      <c r="E1267" s="13">
        <v>0.012231524918525</v>
      </c>
      <c r="F1267" s="13">
        <v>0.00507246285088251</v>
      </c>
      <c r="G1267" s="13">
        <v>2.41135820568837</v>
      </c>
      <c r="H1267" s="13">
        <v>0.015893230447245</v>
      </c>
      <c r="I1267" s="13">
        <v>2819227.0</v>
      </c>
      <c r="J1267" s="31" t="s">
        <v>1796</v>
      </c>
      <c r="K1267" s="31" t="s">
        <v>1793</v>
      </c>
      <c r="L1267" s="31"/>
      <c r="M1267" s="31"/>
      <c r="N1267" s="31"/>
      <c r="O1267" s="31"/>
      <c r="P1267" s="31"/>
      <c r="Q1267" s="31"/>
      <c r="R1267" s="31"/>
      <c r="S1267" s="31"/>
      <c r="T1267" s="31"/>
      <c r="U1267" s="31"/>
      <c r="V1267" s="31"/>
      <c r="W1267" s="31"/>
      <c r="X1267" s="31"/>
      <c r="Y1267" s="31"/>
      <c r="Z1267" s="31"/>
    </row>
    <row r="1268" ht="15.75" customHeight="1">
      <c r="A1268" s="13" t="s">
        <v>1410</v>
      </c>
      <c r="B1268" s="13" t="s">
        <v>411</v>
      </c>
      <c r="C1268" s="13" t="s">
        <v>55</v>
      </c>
      <c r="D1268" s="13" t="s">
        <v>1474</v>
      </c>
      <c r="E1268" s="13">
        <v>-0.0483004145943721</v>
      </c>
      <c r="F1268" s="13">
        <v>0.00559182295393278</v>
      </c>
      <c r="G1268" s="13">
        <v>-8.63768667074874</v>
      </c>
      <c r="H1268" s="63">
        <v>5.73626823868034E-18</v>
      </c>
      <c r="I1268" s="13">
        <v>2813192.0</v>
      </c>
      <c r="J1268" s="31" t="s">
        <v>1796</v>
      </c>
      <c r="K1268" s="31" t="s">
        <v>1793</v>
      </c>
      <c r="L1268" s="31"/>
      <c r="M1268" s="31"/>
      <c r="N1268" s="31"/>
      <c r="O1268" s="31"/>
      <c r="P1268" s="31"/>
      <c r="Q1268" s="31"/>
      <c r="R1268" s="31"/>
      <c r="S1268" s="31"/>
      <c r="T1268" s="31"/>
      <c r="U1268" s="31"/>
      <c r="V1268" s="31"/>
      <c r="W1268" s="31"/>
      <c r="X1268" s="31"/>
      <c r="Y1268" s="31"/>
      <c r="Z1268" s="31"/>
    </row>
    <row r="1269" ht="15.75" customHeight="1">
      <c r="A1269" s="13" t="s">
        <v>1410</v>
      </c>
      <c r="B1269" s="13" t="s">
        <v>411</v>
      </c>
      <c r="C1269" s="13" t="s">
        <v>1797</v>
      </c>
      <c r="D1269" s="13" t="s">
        <v>1474</v>
      </c>
      <c r="E1269" s="13">
        <v>-0.0187989185820676</v>
      </c>
      <c r="F1269" s="13">
        <v>0.00476468070921775</v>
      </c>
      <c r="G1269" s="13">
        <v>-3.94547289301028</v>
      </c>
      <c r="H1269" s="63">
        <v>7.96426419367769E-5</v>
      </c>
      <c r="I1269" s="13">
        <v>2820031.0</v>
      </c>
      <c r="J1269" s="31" t="s">
        <v>1796</v>
      </c>
      <c r="K1269" s="31" t="s">
        <v>1793</v>
      </c>
      <c r="L1269" s="31"/>
      <c r="M1269" s="31"/>
      <c r="N1269" s="31"/>
      <c r="O1269" s="31"/>
      <c r="P1269" s="31"/>
      <c r="Q1269" s="31"/>
      <c r="R1269" s="31"/>
      <c r="S1269" s="31"/>
      <c r="T1269" s="31"/>
      <c r="U1269" s="31"/>
      <c r="V1269" s="31"/>
      <c r="W1269" s="31"/>
      <c r="X1269" s="31"/>
      <c r="Y1269" s="31"/>
      <c r="Z1269" s="31"/>
    </row>
    <row r="1270" ht="15.75" customHeight="1">
      <c r="A1270" s="13" t="s">
        <v>1412</v>
      </c>
      <c r="B1270" s="13" t="s">
        <v>411</v>
      </c>
      <c r="C1270" s="13" t="s">
        <v>570</v>
      </c>
      <c r="D1270" s="13" t="s">
        <v>1474</v>
      </c>
      <c r="E1270" s="13">
        <v>-0.0723117797228348</v>
      </c>
      <c r="F1270" s="13">
        <v>0.0126115567909118</v>
      </c>
      <c r="G1270" s="13">
        <v>-5.73377108962028</v>
      </c>
      <c r="H1270" s="63">
        <v>9.82218746405863E-9</v>
      </c>
      <c r="I1270" s="13">
        <v>168858.0</v>
      </c>
      <c r="J1270" s="31" t="s">
        <v>1796</v>
      </c>
      <c r="K1270" s="31" t="s">
        <v>1793</v>
      </c>
      <c r="L1270" s="31"/>
      <c r="M1270" s="31"/>
      <c r="N1270" s="31"/>
      <c r="O1270" s="31"/>
      <c r="P1270" s="31"/>
      <c r="Q1270" s="31"/>
      <c r="R1270" s="31"/>
      <c r="S1270" s="31"/>
      <c r="T1270" s="31"/>
      <c r="U1270" s="31"/>
      <c r="V1270" s="31"/>
      <c r="W1270" s="31"/>
      <c r="X1270" s="31"/>
      <c r="Y1270" s="31"/>
      <c r="Z1270" s="31"/>
    </row>
    <row r="1271" ht="15.75" customHeight="1">
      <c r="A1271" s="13" t="s">
        <v>1412</v>
      </c>
      <c r="B1271" s="13" t="s">
        <v>411</v>
      </c>
      <c r="C1271" s="13" t="s">
        <v>42</v>
      </c>
      <c r="D1271" s="13" t="s">
        <v>1474</v>
      </c>
      <c r="E1271" s="13">
        <v>0.014751244750347</v>
      </c>
      <c r="F1271" s="13">
        <v>0.00545131161734456</v>
      </c>
      <c r="G1271" s="13">
        <v>2.70599917704442</v>
      </c>
      <c r="H1271" s="13">
        <v>0.00680992147278385</v>
      </c>
      <c r="I1271" s="13">
        <v>2819264.0</v>
      </c>
      <c r="J1271" s="31" t="s">
        <v>1796</v>
      </c>
      <c r="K1271" s="31" t="s">
        <v>1793</v>
      </c>
      <c r="L1271" s="31"/>
      <c r="M1271" s="31"/>
      <c r="N1271" s="31"/>
      <c r="O1271" s="31"/>
      <c r="P1271" s="31"/>
      <c r="Q1271" s="31"/>
      <c r="R1271" s="31"/>
      <c r="S1271" s="31"/>
      <c r="T1271" s="31"/>
      <c r="U1271" s="31"/>
      <c r="V1271" s="31"/>
      <c r="W1271" s="31"/>
      <c r="X1271" s="31"/>
      <c r="Y1271" s="31"/>
      <c r="Z1271" s="31"/>
    </row>
    <row r="1272" ht="15.75" customHeight="1">
      <c r="A1272" s="13" t="s">
        <v>1412</v>
      </c>
      <c r="B1272" s="13" t="s">
        <v>411</v>
      </c>
      <c r="C1272" s="13" t="s">
        <v>55</v>
      </c>
      <c r="D1272" s="13" t="s">
        <v>1474</v>
      </c>
      <c r="E1272" s="13">
        <v>-0.0417730388612227</v>
      </c>
      <c r="F1272" s="13">
        <v>0.00596005023727059</v>
      </c>
      <c r="G1272" s="13">
        <v>-7.00884005976981</v>
      </c>
      <c r="H1272" s="63">
        <v>2.40301958640015E-12</v>
      </c>
      <c r="I1272" s="13">
        <v>2813230.0</v>
      </c>
      <c r="J1272" s="31" t="s">
        <v>1796</v>
      </c>
      <c r="K1272" s="31" t="s">
        <v>1793</v>
      </c>
      <c r="L1272" s="31"/>
      <c r="M1272" s="31"/>
      <c r="N1272" s="31"/>
      <c r="O1272" s="31"/>
      <c r="P1272" s="31"/>
      <c r="Q1272" s="31"/>
      <c r="R1272" s="31"/>
      <c r="S1272" s="31"/>
      <c r="T1272" s="31"/>
      <c r="U1272" s="31"/>
      <c r="V1272" s="31"/>
      <c r="W1272" s="31"/>
      <c r="X1272" s="31"/>
      <c r="Y1272" s="31"/>
      <c r="Z1272" s="31"/>
    </row>
    <row r="1273" ht="15.75" customHeight="1">
      <c r="A1273" s="13" t="s">
        <v>1412</v>
      </c>
      <c r="B1273" s="13" t="s">
        <v>411</v>
      </c>
      <c r="C1273" s="13" t="s">
        <v>1797</v>
      </c>
      <c r="D1273" s="13" t="s">
        <v>1474</v>
      </c>
      <c r="E1273" s="13">
        <v>-0.0202827482247725</v>
      </c>
      <c r="F1273" s="13">
        <v>0.00521681659069661</v>
      </c>
      <c r="G1273" s="13">
        <v>-3.887955014739</v>
      </c>
      <c r="H1273" s="63">
        <v>1.0109235648427E-4</v>
      </c>
      <c r="I1273" s="13">
        <v>2820067.0</v>
      </c>
      <c r="J1273" s="31" t="s">
        <v>1796</v>
      </c>
      <c r="K1273" s="31" t="s">
        <v>1793</v>
      </c>
      <c r="L1273" s="31"/>
      <c r="M1273" s="31"/>
      <c r="N1273" s="31"/>
      <c r="O1273" s="31"/>
      <c r="P1273" s="31"/>
      <c r="Q1273" s="31"/>
      <c r="R1273" s="31"/>
      <c r="S1273" s="31"/>
      <c r="T1273" s="31"/>
      <c r="U1273" s="31"/>
      <c r="V1273" s="31"/>
      <c r="W1273" s="31"/>
      <c r="X1273" s="31"/>
      <c r="Y1273" s="31"/>
      <c r="Z1273" s="31"/>
    </row>
    <row r="1274" ht="15.75" customHeight="1">
      <c r="A1274" s="13" t="s">
        <v>1414</v>
      </c>
      <c r="B1274" s="13" t="s">
        <v>411</v>
      </c>
      <c r="C1274" s="13" t="s">
        <v>570</v>
      </c>
      <c r="D1274" s="13" t="s">
        <v>1474</v>
      </c>
      <c r="E1274" s="13">
        <v>-0.0429680583604723</v>
      </c>
      <c r="F1274" s="13">
        <v>0.0129394777057109</v>
      </c>
      <c r="G1274" s="13">
        <v>-3.32069495676074</v>
      </c>
      <c r="H1274" s="63">
        <v>8.97936207729865E-4</v>
      </c>
      <c r="I1274" s="13">
        <v>168865.0</v>
      </c>
      <c r="J1274" s="31" t="s">
        <v>1796</v>
      </c>
      <c r="K1274" s="31" t="s">
        <v>1793</v>
      </c>
      <c r="L1274" s="31"/>
      <c r="M1274" s="31"/>
      <c r="N1274" s="31"/>
      <c r="O1274" s="31"/>
      <c r="P1274" s="31"/>
      <c r="Q1274" s="31"/>
      <c r="R1274" s="31"/>
      <c r="S1274" s="31"/>
      <c r="T1274" s="31"/>
      <c r="U1274" s="31"/>
      <c r="V1274" s="31"/>
      <c r="W1274" s="31"/>
      <c r="X1274" s="31"/>
      <c r="Y1274" s="31"/>
      <c r="Z1274" s="31"/>
    </row>
    <row r="1275" ht="15.75" customHeight="1">
      <c r="A1275" s="13" t="s">
        <v>1414</v>
      </c>
      <c r="B1275" s="13" t="s">
        <v>411</v>
      </c>
      <c r="C1275" s="13" t="s">
        <v>42</v>
      </c>
      <c r="D1275" s="13" t="s">
        <v>1474</v>
      </c>
      <c r="E1275" s="13">
        <v>0.00866984153352807</v>
      </c>
      <c r="F1275" s="13">
        <v>0.0047526411067798</v>
      </c>
      <c r="G1275" s="13">
        <v>1.82421549171054</v>
      </c>
      <c r="H1275" s="13">
        <v>0.0681195004495553</v>
      </c>
      <c r="I1275" s="13">
        <v>2819587.0</v>
      </c>
      <c r="J1275" s="31" t="s">
        <v>1796</v>
      </c>
      <c r="K1275" s="31" t="s">
        <v>1793</v>
      </c>
      <c r="L1275" s="31"/>
      <c r="M1275" s="31"/>
      <c r="N1275" s="31"/>
      <c r="O1275" s="31"/>
      <c r="P1275" s="31"/>
      <c r="Q1275" s="31"/>
      <c r="R1275" s="31"/>
      <c r="S1275" s="31"/>
      <c r="T1275" s="31"/>
      <c r="U1275" s="31"/>
      <c r="V1275" s="31"/>
      <c r="W1275" s="31"/>
      <c r="X1275" s="31"/>
      <c r="Y1275" s="31"/>
      <c r="Z1275" s="31"/>
    </row>
    <row r="1276" ht="15.75" customHeight="1">
      <c r="A1276" s="13" t="s">
        <v>1414</v>
      </c>
      <c r="B1276" s="13" t="s">
        <v>411</v>
      </c>
      <c r="C1276" s="13" t="s">
        <v>55</v>
      </c>
      <c r="D1276" s="13" t="s">
        <v>1474</v>
      </c>
      <c r="E1276" s="13">
        <v>-0.044251652751282</v>
      </c>
      <c r="F1276" s="13">
        <v>0.00513749431985024</v>
      </c>
      <c r="G1276" s="13">
        <v>-8.61346991281382</v>
      </c>
      <c r="H1276" s="63">
        <v>7.08818358393231E-18</v>
      </c>
      <c r="I1276" s="13">
        <v>2813551.0</v>
      </c>
      <c r="J1276" s="31" t="s">
        <v>1796</v>
      </c>
      <c r="K1276" s="31" t="s">
        <v>1793</v>
      </c>
      <c r="L1276" s="31"/>
      <c r="M1276" s="31"/>
      <c r="N1276" s="31"/>
      <c r="O1276" s="31"/>
      <c r="P1276" s="31"/>
      <c r="Q1276" s="31"/>
      <c r="R1276" s="31"/>
      <c r="S1276" s="31"/>
      <c r="T1276" s="31"/>
      <c r="U1276" s="31"/>
      <c r="V1276" s="31"/>
      <c r="W1276" s="31"/>
      <c r="X1276" s="31"/>
      <c r="Y1276" s="31"/>
      <c r="Z1276" s="31"/>
    </row>
    <row r="1277" ht="15.75" customHeight="1">
      <c r="A1277" s="13" t="s">
        <v>1414</v>
      </c>
      <c r="B1277" s="13" t="s">
        <v>411</v>
      </c>
      <c r="C1277" s="13" t="s">
        <v>1797</v>
      </c>
      <c r="D1277" s="13" t="s">
        <v>1474</v>
      </c>
      <c r="E1277" s="13">
        <v>-0.0214876205040261</v>
      </c>
      <c r="F1277" s="13">
        <v>0.0047623006908847</v>
      </c>
      <c r="G1277" s="13">
        <v>-4.51202515312705</v>
      </c>
      <c r="H1277" s="63">
        <v>6.42115710904656E-6</v>
      </c>
      <c r="I1277" s="13">
        <v>2820390.0</v>
      </c>
      <c r="J1277" s="31" t="s">
        <v>1796</v>
      </c>
      <c r="K1277" s="31" t="s">
        <v>1793</v>
      </c>
      <c r="L1277" s="31"/>
      <c r="M1277" s="31"/>
      <c r="N1277" s="31"/>
      <c r="O1277" s="31"/>
      <c r="P1277" s="31"/>
      <c r="Q1277" s="31"/>
      <c r="R1277" s="31"/>
      <c r="S1277" s="31"/>
      <c r="T1277" s="31"/>
      <c r="U1277" s="31"/>
      <c r="V1277" s="31"/>
      <c r="W1277" s="31"/>
      <c r="X1277" s="31"/>
      <c r="Y1277" s="31"/>
      <c r="Z1277" s="31"/>
    </row>
    <row r="1278" ht="15.75" customHeight="1">
      <c r="A1278" s="13" t="s">
        <v>1416</v>
      </c>
      <c r="B1278" s="13" t="s">
        <v>411</v>
      </c>
      <c r="C1278" s="13" t="s">
        <v>570</v>
      </c>
      <c r="D1278" s="13" t="s">
        <v>1474</v>
      </c>
      <c r="E1278" s="13">
        <v>-0.0543277068527997</v>
      </c>
      <c r="F1278" s="13">
        <v>0.0128820062287523</v>
      </c>
      <c r="G1278" s="13">
        <v>-4.21733275765242</v>
      </c>
      <c r="H1278" s="63">
        <v>2.47209040838663E-5</v>
      </c>
      <c r="I1278" s="13">
        <v>168884.0</v>
      </c>
      <c r="J1278" s="31" t="s">
        <v>1796</v>
      </c>
      <c r="K1278" s="31" t="s">
        <v>1793</v>
      </c>
      <c r="L1278" s="31"/>
      <c r="M1278" s="31"/>
      <c r="N1278" s="31"/>
      <c r="O1278" s="31"/>
      <c r="P1278" s="31"/>
      <c r="Q1278" s="31"/>
      <c r="R1278" s="31"/>
      <c r="S1278" s="31"/>
      <c r="T1278" s="31"/>
      <c r="U1278" s="31"/>
      <c r="V1278" s="31"/>
      <c r="W1278" s="31"/>
      <c r="X1278" s="31"/>
      <c r="Y1278" s="31"/>
      <c r="Z1278" s="31"/>
    </row>
    <row r="1279" ht="15.75" customHeight="1">
      <c r="A1279" s="13" t="s">
        <v>1416</v>
      </c>
      <c r="B1279" s="13" t="s">
        <v>411</v>
      </c>
      <c r="C1279" s="13" t="s">
        <v>42</v>
      </c>
      <c r="D1279" s="13" t="s">
        <v>1474</v>
      </c>
      <c r="E1279" s="13">
        <v>0.00427634968254714</v>
      </c>
      <c r="F1279" s="13">
        <v>0.00549775802139947</v>
      </c>
      <c r="G1279" s="13">
        <v>0.77783519498346</v>
      </c>
      <c r="H1279" s="13">
        <v>0.436666176586312</v>
      </c>
      <c r="I1279" s="13">
        <v>2819508.0</v>
      </c>
      <c r="J1279" s="31" t="s">
        <v>1796</v>
      </c>
      <c r="K1279" s="31" t="s">
        <v>1793</v>
      </c>
      <c r="L1279" s="31"/>
      <c r="M1279" s="31"/>
      <c r="N1279" s="31"/>
      <c r="O1279" s="31"/>
      <c r="P1279" s="31"/>
      <c r="Q1279" s="31"/>
      <c r="R1279" s="31"/>
      <c r="S1279" s="31"/>
      <c r="T1279" s="31"/>
      <c r="U1279" s="31"/>
      <c r="V1279" s="31"/>
      <c r="W1279" s="31"/>
      <c r="X1279" s="31"/>
      <c r="Y1279" s="31"/>
      <c r="Z1279" s="31"/>
    </row>
    <row r="1280" ht="15.75" customHeight="1">
      <c r="A1280" s="13" t="s">
        <v>1416</v>
      </c>
      <c r="B1280" s="13" t="s">
        <v>411</v>
      </c>
      <c r="C1280" s="13" t="s">
        <v>55</v>
      </c>
      <c r="D1280" s="13" t="s">
        <v>1474</v>
      </c>
      <c r="E1280" s="13">
        <v>-0.0436153298088753</v>
      </c>
      <c r="F1280" s="13">
        <v>0.0059338144526783</v>
      </c>
      <c r="G1280" s="13">
        <v>-7.35030226453896</v>
      </c>
      <c r="H1280" s="63">
        <v>1.97759133340968E-13</v>
      </c>
      <c r="I1280" s="13">
        <v>2813467.0</v>
      </c>
      <c r="J1280" s="31" t="s">
        <v>1796</v>
      </c>
      <c r="K1280" s="31" t="s">
        <v>1793</v>
      </c>
      <c r="L1280" s="31"/>
      <c r="M1280" s="31"/>
      <c r="N1280" s="31"/>
      <c r="O1280" s="31"/>
      <c r="P1280" s="31"/>
      <c r="Q1280" s="31"/>
      <c r="R1280" s="31"/>
      <c r="S1280" s="31"/>
      <c r="T1280" s="31"/>
      <c r="U1280" s="31"/>
      <c r="V1280" s="31"/>
      <c r="W1280" s="31"/>
      <c r="X1280" s="31"/>
      <c r="Y1280" s="31"/>
      <c r="Z1280" s="31"/>
    </row>
    <row r="1281" ht="15.75" customHeight="1">
      <c r="A1281" s="13" t="s">
        <v>1416</v>
      </c>
      <c r="B1281" s="13" t="s">
        <v>411</v>
      </c>
      <c r="C1281" s="13" t="s">
        <v>1797</v>
      </c>
      <c r="D1281" s="13" t="s">
        <v>1474</v>
      </c>
      <c r="E1281" s="13">
        <v>-0.0231168255965678</v>
      </c>
      <c r="F1281" s="13">
        <v>0.00524604670063818</v>
      </c>
      <c r="G1281" s="13">
        <v>-4.40652302880866</v>
      </c>
      <c r="H1281" s="63">
        <v>1.05043145183982E-5</v>
      </c>
      <c r="I1281" s="13">
        <v>2820308.0</v>
      </c>
      <c r="J1281" s="31" t="s">
        <v>1796</v>
      </c>
      <c r="K1281" s="31" t="s">
        <v>1793</v>
      </c>
      <c r="L1281" s="31"/>
      <c r="M1281" s="31"/>
      <c r="N1281" s="31"/>
      <c r="O1281" s="31"/>
      <c r="P1281" s="31"/>
      <c r="Q1281" s="31"/>
      <c r="R1281" s="31"/>
      <c r="S1281" s="31"/>
      <c r="T1281" s="31"/>
      <c r="U1281" s="31"/>
      <c r="V1281" s="31"/>
      <c r="W1281" s="31"/>
      <c r="X1281" s="31"/>
      <c r="Y1281" s="31"/>
      <c r="Z1281" s="31"/>
    </row>
    <row r="1282" ht="15.75" customHeight="1">
      <c r="A1282" s="13" t="s">
        <v>1418</v>
      </c>
      <c r="B1282" s="13" t="s">
        <v>411</v>
      </c>
      <c r="C1282" s="13" t="s">
        <v>570</v>
      </c>
      <c r="D1282" s="13" t="s">
        <v>1474</v>
      </c>
      <c r="E1282" s="13">
        <v>-0.0866157890699407</v>
      </c>
      <c r="F1282" s="13">
        <v>0.0136300531728148</v>
      </c>
      <c r="G1282" s="13">
        <v>-6.35476530955107</v>
      </c>
      <c r="H1282" s="63">
        <v>2.08745074289342E-10</v>
      </c>
      <c r="I1282" s="13">
        <v>168872.0</v>
      </c>
      <c r="J1282" s="31" t="s">
        <v>1796</v>
      </c>
      <c r="K1282" s="31" t="s">
        <v>1793</v>
      </c>
      <c r="L1282" s="31"/>
      <c r="M1282" s="31"/>
      <c r="N1282" s="31"/>
      <c r="O1282" s="31"/>
      <c r="P1282" s="31"/>
      <c r="Q1282" s="31"/>
      <c r="R1282" s="31"/>
      <c r="S1282" s="31"/>
      <c r="T1282" s="31"/>
      <c r="U1282" s="31"/>
      <c r="V1282" s="31"/>
      <c r="W1282" s="31"/>
      <c r="X1282" s="31"/>
      <c r="Y1282" s="31"/>
      <c r="Z1282" s="31"/>
    </row>
    <row r="1283" ht="15.75" customHeight="1">
      <c r="A1283" s="13" t="s">
        <v>1418</v>
      </c>
      <c r="B1283" s="13" t="s">
        <v>411</v>
      </c>
      <c r="C1283" s="13" t="s">
        <v>42</v>
      </c>
      <c r="D1283" s="13" t="s">
        <v>1474</v>
      </c>
      <c r="E1283" s="13">
        <v>0.00725546482286319</v>
      </c>
      <c r="F1283" s="13">
        <v>0.0059203645848548</v>
      </c>
      <c r="G1283" s="13">
        <v>1.22550980076865</v>
      </c>
      <c r="H1283" s="13">
        <v>0.220383199673534</v>
      </c>
      <c r="I1283" s="13">
        <v>2819417.0</v>
      </c>
      <c r="J1283" s="31" t="s">
        <v>1796</v>
      </c>
      <c r="K1283" s="31" t="s">
        <v>1793</v>
      </c>
      <c r="L1283" s="31"/>
      <c r="M1283" s="31"/>
      <c r="N1283" s="31"/>
      <c r="O1283" s="31"/>
      <c r="P1283" s="31"/>
      <c r="Q1283" s="31"/>
      <c r="R1283" s="31"/>
      <c r="S1283" s="31"/>
      <c r="T1283" s="31"/>
      <c r="U1283" s="31"/>
      <c r="V1283" s="31"/>
      <c r="W1283" s="31"/>
      <c r="X1283" s="31"/>
      <c r="Y1283" s="31"/>
      <c r="Z1283" s="31"/>
    </row>
    <row r="1284" ht="15.75" customHeight="1">
      <c r="A1284" s="13" t="s">
        <v>1418</v>
      </c>
      <c r="B1284" s="13" t="s">
        <v>411</v>
      </c>
      <c r="C1284" s="13" t="s">
        <v>55</v>
      </c>
      <c r="D1284" s="13" t="s">
        <v>1474</v>
      </c>
      <c r="E1284" s="13">
        <v>-0.0560601593877089</v>
      </c>
      <c r="F1284" s="13">
        <v>0.00609129406533148</v>
      </c>
      <c r="G1284" s="13">
        <v>-9.2033250712315</v>
      </c>
      <c r="H1284" s="63">
        <v>3.47041087386741E-20</v>
      </c>
      <c r="I1284" s="13">
        <v>2813379.0</v>
      </c>
      <c r="J1284" s="31" t="s">
        <v>1796</v>
      </c>
      <c r="K1284" s="31" t="s">
        <v>1793</v>
      </c>
      <c r="L1284" s="31"/>
      <c r="M1284" s="31"/>
      <c r="N1284" s="31"/>
      <c r="O1284" s="31"/>
      <c r="P1284" s="31"/>
      <c r="Q1284" s="31"/>
      <c r="R1284" s="31"/>
      <c r="S1284" s="31"/>
      <c r="T1284" s="31"/>
      <c r="U1284" s="31"/>
      <c r="V1284" s="31"/>
      <c r="W1284" s="31"/>
      <c r="X1284" s="31"/>
      <c r="Y1284" s="31"/>
      <c r="Z1284" s="31"/>
    </row>
    <row r="1285" ht="15.75" customHeight="1">
      <c r="A1285" s="13" t="s">
        <v>1418</v>
      </c>
      <c r="B1285" s="13" t="s">
        <v>411</v>
      </c>
      <c r="C1285" s="13" t="s">
        <v>1797</v>
      </c>
      <c r="D1285" s="13" t="s">
        <v>1474</v>
      </c>
      <c r="E1285" s="13">
        <v>-0.0165207263070519</v>
      </c>
      <c r="F1285" s="13">
        <v>0.00568210753701223</v>
      </c>
      <c r="G1285" s="13">
        <v>-2.9074997612134</v>
      </c>
      <c r="H1285" s="13">
        <v>0.0036433062246969</v>
      </c>
      <c r="I1285" s="13">
        <v>2820219.0</v>
      </c>
      <c r="J1285" s="31" t="s">
        <v>1796</v>
      </c>
      <c r="K1285" s="31" t="s">
        <v>1793</v>
      </c>
      <c r="L1285" s="31"/>
      <c r="M1285" s="31"/>
      <c r="N1285" s="31"/>
      <c r="O1285" s="31"/>
      <c r="P1285" s="31"/>
      <c r="Q1285" s="31"/>
      <c r="R1285" s="31"/>
      <c r="S1285" s="31"/>
      <c r="T1285" s="31"/>
      <c r="U1285" s="31"/>
      <c r="V1285" s="31"/>
      <c r="W1285" s="31"/>
      <c r="X1285" s="31"/>
      <c r="Y1285" s="31"/>
      <c r="Z1285" s="31"/>
    </row>
    <row r="1286" ht="15.75" customHeight="1">
      <c r="A1286" s="13" t="s">
        <v>1420</v>
      </c>
      <c r="B1286" s="13" t="s">
        <v>411</v>
      </c>
      <c r="C1286" s="13" t="s">
        <v>570</v>
      </c>
      <c r="D1286" s="13" t="s">
        <v>1474</v>
      </c>
      <c r="E1286" s="13">
        <v>-0.0395746259539746</v>
      </c>
      <c r="F1286" s="13">
        <v>0.012677033910543</v>
      </c>
      <c r="G1286" s="13">
        <v>-3.12175752098144</v>
      </c>
      <c r="H1286" s="13">
        <v>0.00179774941333273</v>
      </c>
      <c r="I1286" s="13">
        <v>168869.0</v>
      </c>
      <c r="J1286" s="31" t="s">
        <v>1796</v>
      </c>
      <c r="K1286" s="31" t="s">
        <v>1793</v>
      </c>
      <c r="L1286" s="31"/>
      <c r="M1286" s="31"/>
      <c r="N1286" s="31"/>
      <c r="O1286" s="31"/>
      <c r="P1286" s="31"/>
      <c r="Q1286" s="31"/>
      <c r="R1286" s="31"/>
      <c r="S1286" s="31"/>
      <c r="T1286" s="31"/>
      <c r="U1286" s="31"/>
      <c r="V1286" s="31"/>
      <c r="W1286" s="31"/>
      <c r="X1286" s="31"/>
      <c r="Y1286" s="31"/>
      <c r="Z1286" s="31"/>
    </row>
    <row r="1287" ht="15.75" customHeight="1">
      <c r="A1287" s="13" t="s">
        <v>1420</v>
      </c>
      <c r="B1287" s="13" t="s">
        <v>411</v>
      </c>
      <c r="C1287" s="13" t="s">
        <v>42</v>
      </c>
      <c r="D1287" s="13" t="s">
        <v>1474</v>
      </c>
      <c r="E1287" s="13">
        <v>0.0132978956538031</v>
      </c>
      <c r="F1287" s="13">
        <v>0.00495512077337265</v>
      </c>
      <c r="G1287" s="13">
        <v>2.68366731347136</v>
      </c>
      <c r="H1287" s="13">
        <v>0.00728195284639846</v>
      </c>
      <c r="I1287" s="13">
        <v>2819298.0</v>
      </c>
      <c r="J1287" s="31" t="s">
        <v>1796</v>
      </c>
      <c r="K1287" s="31" t="s">
        <v>1793</v>
      </c>
      <c r="L1287" s="31"/>
      <c r="M1287" s="31"/>
      <c r="N1287" s="31"/>
      <c r="O1287" s="31"/>
      <c r="P1287" s="31"/>
      <c r="Q1287" s="31"/>
      <c r="R1287" s="31"/>
      <c r="S1287" s="31"/>
      <c r="T1287" s="31"/>
      <c r="U1287" s="31"/>
      <c r="V1287" s="31"/>
      <c r="W1287" s="31"/>
      <c r="X1287" s="31"/>
      <c r="Y1287" s="31"/>
      <c r="Z1287" s="31"/>
    </row>
    <row r="1288" ht="15.75" customHeight="1">
      <c r="A1288" s="13" t="s">
        <v>1420</v>
      </c>
      <c r="B1288" s="13" t="s">
        <v>411</v>
      </c>
      <c r="C1288" s="13" t="s">
        <v>55</v>
      </c>
      <c r="D1288" s="13" t="s">
        <v>1474</v>
      </c>
      <c r="E1288" s="13">
        <v>-0.039871876939188</v>
      </c>
      <c r="F1288" s="13">
        <v>0.00548680708271796</v>
      </c>
      <c r="G1288" s="13">
        <v>-7.26686328461851</v>
      </c>
      <c r="H1288" s="63">
        <v>3.67930839080358E-13</v>
      </c>
      <c r="I1288" s="13">
        <v>2813268.0</v>
      </c>
      <c r="J1288" s="31" t="s">
        <v>1796</v>
      </c>
      <c r="K1288" s="31" t="s">
        <v>1793</v>
      </c>
      <c r="L1288" s="31"/>
      <c r="M1288" s="31"/>
      <c r="N1288" s="31"/>
      <c r="O1288" s="31"/>
      <c r="P1288" s="31"/>
      <c r="Q1288" s="31"/>
      <c r="R1288" s="31"/>
      <c r="S1288" s="31"/>
      <c r="T1288" s="31"/>
      <c r="U1288" s="31"/>
      <c r="V1288" s="31"/>
      <c r="W1288" s="31"/>
      <c r="X1288" s="31"/>
      <c r="Y1288" s="31"/>
      <c r="Z1288" s="31"/>
    </row>
    <row r="1289" ht="15.75" customHeight="1">
      <c r="A1289" s="13" t="s">
        <v>1420</v>
      </c>
      <c r="B1289" s="13" t="s">
        <v>411</v>
      </c>
      <c r="C1289" s="13" t="s">
        <v>1797</v>
      </c>
      <c r="D1289" s="13" t="s">
        <v>1474</v>
      </c>
      <c r="E1289" s="13">
        <v>-0.0211563703742356</v>
      </c>
      <c r="F1289" s="13">
        <v>0.0050327960874519</v>
      </c>
      <c r="G1289" s="13">
        <v>-4.20370108516498</v>
      </c>
      <c r="H1289" s="63">
        <v>2.6258565982864E-5</v>
      </c>
      <c r="I1289" s="13">
        <v>2820101.0</v>
      </c>
      <c r="J1289" s="31" t="s">
        <v>1796</v>
      </c>
      <c r="K1289" s="31" t="s">
        <v>1793</v>
      </c>
      <c r="L1289" s="31"/>
      <c r="M1289" s="31"/>
      <c r="N1289" s="31"/>
      <c r="O1289" s="31"/>
      <c r="P1289" s="31"/>
      <c r="Q1289" s="31"/>
      <c r="R1289" s="31"/>
      <c r="S1289" s="31"/>
      <c r="T1289" s="31"/>
      <c r="U1289" s="31"/>
      <c r="V1289" s="31"/>
      <c r="W1289" s="31"/>
      <c r="X1289" s="31"/>
      <c r="Y1289" s="31"/>
      <c r="Z1289" s="31"/>
    </row>
    <row r="1290" ht="15.75" customHeight="1">
      <c r="A1290" s="13" t="s">
        <v>1422</v>
      </c>
      <c r="B1290" s="13" t="s">
        <v>411</v>
      </c>
      <c r="C1290" s="13" t="s">
        <v>570</v>
      </c>
      <c r="D1290" s="13" t="s">
        <v>1474</v>
      </c>
      <c r="E1290" s="13">
        <v>-0.0224132081273362</v>
      </c>
      <c r="F1290" s="13">
        <v>0.0139343139728213</v>
      </c>
      <c r="G1290" s="13">
        <v>-1.60849024724524</v>
      </c>
      <c r="H1290" s="13">
        <v>0.107727850484247</v>
      </c>
      <c r="I1290" s="13">
        <v>168872.0</v>
      </c>
      <c r="J1290" s="31" t="s">
        <v>1796</v>
      </c>
      <c r="K1290" s="31" t="s">
        <v>1793</v>
      </c>
      <c r="L1290" s="31"/>
      <c r="M1290" s="31"/>
      <c r="N1290" s="31"/>
      <c r="O1290" s="31"/>
      <c r="P1290" s="31"/>
      <c r="Q1290" s="31"/>
      <c r="R1290" s="31"/>
      <c r="S1290" s="31"/>
      <c r="T1290" s="31"/>
      <c r="U1290" s="31"/>
      <c r="V1290" s="31"/>
      <c r="W1290" s="31"/>
      <c r="X1290" s="31"/>
      <c r="Y1290" s="31"/>
      <c r="Z1290" s="31"/>
    </row>
    <row r="1291" ht="15.75" customHeight="1">
      <c r="A1291" s="13" t="s">
        <v>1422</v>
      </c>
      <c r="B1291" s="13" t="s">
        <v>411</v>
      </c>
      <c r="C1291" s="13" t="s">
        <v>42</v>
      </c>
      <c r="D1291" s="13" t="s">
        <v>1474</v>
      </c>
      <c r="E1291" s="13">
        <v>-0.152218705932221</v>
      </c>
      <c r="F1291" s="13">
        <v>0.00673780768115837</v>
      </c>
      <c r="G1291" s="13">
        <v>-22.5917261423008</v>
      </c>
      <c r="H1291" s="63">
        <v>5.22651953983101E-113</v>
      </c>
      <c r="I1291" s="13">
        <v>2819515.0</v>
      </c>
      <c r="J1291" s="31" t="s">
        <v>1796</v>
      </c>
      <c r="K1291" s="31" t="s">
        <v>1793</v>
      </c>
      <c r="L1291" s="31"/>
      <c r="M1291" s="31"/>
      <c r="N1291" s="31"/>
      <c r="O1291" s="31"/>
      <c r="P1291" s="31"/>
      <c r="Q1291" s="31"/>
      <c r="R1291" s="31"/>
      <c r="S1291" s="31"/>
      <c r="T1291" s="31"/>
      <c r="U1291" s="31"/>
      <c r="V1291" s="31"/>
      <c r="W1291" s="31"/>
      <c r="X1291" s="31"/>
      <c r="Y1291" s="31"/>
      <c r="Z1291" s="31"/>
    </row>
    <row r="1292" ht="15.75" customHeight="1">
      <c r="A1292" s="13" t="s">
        <v>1422</v>
      </c>
      <c r="B1292" s="13" t="s">
        <v>411</v>
      </c>
      <c r="C1292" s="13" t="s">
        <v>55</v>
      </c>
      <c r="D1292" s="13" t="s">
        <v>1474</v>
      </c>
      <c r="E1292" s="13">
        <v>-0.0890450720472445</v>
      </c>
      <c r="F1292" s="13">
        <v>0.00713125500694068</v>
      </c>
      <c r="G1292" s="13">
        <v>-12.4865920459412</v>
      </c>
      <c r="H1292" s="63">
        <v>8.83580377354037E-36</v>
      </c>
      <c r="I1292" s="13">
        <v>2813491.0</v>
      </c>
      <c r="J1292" s="31" t="s">
        <v>1796</v>
      </c>
      <c r="K1292" s="31" t="s">
        <v>1793</v>
      </c>
      <c r="L1292" s="31"/>
      <c r="M1292" s="31"/>
      <c r="N1292" s="31"/>
      <c r="O1292" s="31"/>
      <c r="P1292" s="31"/>
      <c r="Q1292" s="31"/>
      <c r="R1292" s="31"/>
      <c r="S1292" s="31"/>
      <c r="T1292" s="31"/>
      <c r="U1292" s="31"/>
      <c r="V1292" s="31"/>
      <c r="W1292" s="31"/>
      <c r="X1292" s="31"/>
      <c r="Y1292" s="31"/>
      <c r="Z1292" s="31"/>
    </row>
    <row r="1293" ht="15.75" customHeight="1">
      <c r="A1293" s="13" t="s">
        <v>1422</v>
      </c>
      <c r="B1293" s="13" t="s">
        <v>411</v>
      </c>
      <c r="C1293" s="13" t="s">
        <v>1797</v>
      </c>
      <c r="D1293" s="13" t="s">
        <v>1474</v>
      </c>
      <c r="E1293" s="13">
        <v>0.0107389908838367</v>
      </c>
      <c r="F1293" s="13">
        <v>0.00729310371949598</v>
      </c>
      <c r="G1293" s="13">
        <v>1.4724856929059</v>
      </c>
      <c r="H1293" s="13">
        <v>0.14088976770207</v>
      </c>
      <c r="I1293" s="13">
        <v>2820320.0</v>
      </c>
      <c r="J1293" s="31" t="s">
        <v>1796</v>
      </c>
      <c r="K1293" s="31" t="s">
        <v>1793</v>
      </c>
      <c r="L1293" s="31"/>
      <c r="M1293" s="31"/>
      <c r="N1293" s="31"/>
      <c r="O1293" s="31"/>
      <c r="P1293" s="31"/>
      <c r="Q1293" s="31"/>
      <c r="R1293" s="31"/>
      <c r="S1293" s="31"/>
      <c r="T1293" s="31"/>
      <c r="U1293" s="31"/>
      <c r="V1293" s="31"/>
      <c r="W1293" s="31"/>
      <c r="X1293" s="31"/>
      <c r="Y1293" s="31"/>
      <c r="Z1293" s="31"/>
    </row>
    <row r="1294" ht="15.75" customHeight="1">
      <c r="A1294" s="13" t="s">
        <v>1425</v>
      </c>
      <c r="B1294" s="13" t="s">
        <v>411</v>
      </c>
      <c r="C1294" s="13" t="s">
        <v>570</v>
      </c>
      <c r="D1294" s="13" t="s">
        <v>1474</v>
      </c>
      <c r="E1294" s="13">
        <v>-0.438672041841959</v>
      </c>
      <c r="F1294" s="13">
        <v>0.0114515807185007</v>
      </c>
      <c r="G1294" s="13">
        <v>-38.3066803287041</v>
      </c>
      <c r="H1294" s="13">
        <v>0.0</v>
      </c>
      <c r="I1294" s="13">
        <v>168148.0</v>
      </c>
      <c r="J1294" s="31" t="s">
        <v>1796</v>
      </c>
      <c r="K1294" s="31" t="s">
        <v>1793</v>
      </c>
      <c r="L1294" s="31"/>
      <c r="M1294" s="31"/>
      <c r="N1294" s="31"/>
      <c r="O1294" s="31"/>
      <c r="P1294" s="31"/>
      <c r="Q1294" s="31"/>
      <c r="R1294" s="31"/>
      <c r="S1294" s="31"/>
      <c r="T1294" s="31"/>
      <c r="U1294" s="31"/>
      <c r="V1294" s="31"/>
      <c r="W1294" s="31"/>
      <c r="X1294" s="31"/>
      <c r="Y1294" s="31"/>
      <c r="Z1294" s="31"/>
    </row>
    <row r="1295" ht="15.75" customHeight="1">
      <c r="A1295" s="13" t="s">
        <v>1425</v>
      </c>
      <c r="B1295" s="13" t="s">
        <v>411</v>
      </c>
      <c r="C1295" s="13" t="s">
        <v>42</v>
      </c>
      <c r="D1295" s="13" t="s">
        <v>1474</v>
      </c>
      <c r="E1295" s="13">
        <v>-0.467604734363631</v>
      </c>
      <c r="F1295" s="13">
        <v>0.00740097912429578</v>
      </c>
      <c r="G1295" s="13">
        <v>-63.1814691692059</v>
      </c>
      <c r="H1295" s="13">
        <v>0.0</v>
      </c>
      <c r="I1295" s="13">
        <v>2807003.0</v>
      </c>
      <c r="J1295" s="31" t="s">
        <v>1796</v>
      </c>
      <c r="K1295" s="31" t="s">
        <v>1793</v>
      </c>
      <c r="L1295" s="31"/>
      <c r="M1295" s="31"/>
      <c r="N1295" s="31"/>
      <c r="O1295" s="31"/>
      <c r="P1295" s="31"/>
      <c r="Q1295" s="31"/>
      <c r="R1295" s="31"/>
      <c r="S1295" s="31"/>
      <c r="T1295" s="31"/>
      <c r="U1295" s="31"/>
      <c r="V1295" s="31"/>
      <c r="W1295" s="31"/>
      <c r="X1295" s="31"/>
      <c r="Y1295" s="31"/>
      <c r="Z1295" s="31"/>
    </row>
    <row r="1296" ht="15.75" customHeight="1">
      <c r="A1296" s="13" t="s">
        <v>1425</v>
      </c>
      <c r="B1296" s="13" t="s">
        <v>411</v>
      </c>
      <c r="C1296" s="13" t="s">
        <v>55</v>
      </c>
      <c r="D1296" s="13" t="s">
        <v>1474</v>
      </c>
      <c r="E1296" s="13">
        <v>-0.410292365623167</v>
      </c>
      <c r="F1296" s="13">
        <v>0.00731143605998471</v>
      </c>
      <c r="G1296" s="13">
        <v>-56.1165224255582</v>
      </c>
      <c r="H1296" s="13">
        <v>0.0</v>
      </c>
      <c r="I1296" s="13">
        <v>2801024.0</v>
      </c>
      <c r="J1296" s="31" t="s">
        <v>1796</v>
      </c>
      <c r="K1296" s="31" t="s">
        <v>1793</v>
      </c>
      <c r="L1296" s="31"/>
      <c r="M1296" s="31"/>
      <c r="N1296" s="31"/>
      <c r="O1296" s="31"/>
      <c r="P1296" s="31"/>
      <c r="Q1296" s="31"/>
      <c r="R1296" s="31"/>
      <c r="S1296" s="31"/>
      <c r="T1296" s="31"/>
      <c r="U1296" s="31"/>
      <c r="V1296" s="31"/>
      <c r="W1296" s="31"/>
      <c r="X1296" s="31"/>
      <c r="Y1296" s="31"/>
      <c r="Z1296" s="31"/>
    </row>
    <row r="1297" ht="15.75" customHeight="1">
      <c r="A1297" s="13" t="s">
        <v>1425</v>
      </c>
      <c r="B1297" s="13" t="s">
        <v>411</v>
      </c>
      <c r="C1297" s="13" t="s">
        <v>1797</v>
      </c>
      <c r="D1297" s="13" t="s">
        <v>1474</v>
      </c>
      <c r="E1297" s="13">
        <v>0.195856000190518</v>
      </c>
      <c r="F1297" s="13">
        <v>0.00717206575089328</v>
      </c>
      <c r="G1297" s="13">
        <v>27.3081713125851</v>
      </c>
      <c r="H1297" s="63">
        <v>3.39237822246021E-164</v>
      </c>
      <c r="I1297" s="13">
        <v>2807830.0</v>
      </c>
      <c r="J1297" s="31" t="s">
        <v>1796</v>
      </c>
      <c r="K1297" s="31" t="s">
        <v>1793</v>
      </c>
      <c r="L1297" s="31"/>
      <c r="M1297" s="31"/>
      <c r="N1297" s="31"/>
      <c r="O1297" s="31"/>
      <c r="P1297" s="31"/>
      <c r="Q1297" s="31"/>
      <c r="R1297" s="31"/>
      <c r="S1297" s="31"/>
      <c r="T1297" s="31"/>
      <c r="U1297" s="31"/>
      <c r="V1297" s="31"/>
      <c r="W1297" s="31"/>
      <c r="X1297" s="31"/>
      <c r="Y1297" s="31"/>
      <c r="Z1297" s="31"/>
    </row>
    <row r="1298" ht="15.75" customHeight="1">
      <c r="A1298" s="13" t="s">
        <v>567</v>
      </c>
      <c r="B1298" s="13" t="s">
        <v>411</v>
      </c>
      <c r="C1298" s="13" t="s">
        <v>570</v>
      </c>
      <c r="D1298" s="13" t="s">
        <v>1474</v>
      </c>
      <c r="E1298" s="13">
        <v>0.0878876554400107</v>
      </c>
      <c r="F1298" s="13">
        <v>0.0478324294734181</v>
      </c>
      <c r="G1298" s="13">
        <v>1.83740730729248</v>
      </c>
      <c r="H1298" s="13">
        <v>0.0661497888893741</v>
      </c>
      <c r="I1298" s="13">
        <v>12488.0</v>
      </c>
      <c r="J1298" s="31" t="s">
        <v>1796</v>
      </c>
      <c r="K1298" s="31" t="s">
        <v>1793</v>
      </c>
      <c r="L1298" s="31"/>
      <c r="M1298" s="31"/>
      <c r="N1298" s="31"/>
      <c r="O1298" s="31"/>
      <c r="P1298" s="31"/>
      <c r="Q1298" s="31"/>
      <c r="R1298" s="31"/>
      <c r="S1298" s="31"/>
      <c r="T1298" s="31"/>
      <c r="U1298" s="31"/>
      <c r="V1298" s="31"/>
      <c r="W1298" s="31"/>
      <c r="X1298" s="31"/>
      <c r="Y1298" s="31"/>
      <c r="Z1298" s="31"/>
    </row>
    <row r="1299" ht="15.75" customHeight="1">
      <c r="A1299" s="13" t="s">
        <v>567</v>
      </c>
      <c r="B1299" s="13" t="s">
        <v>411</v>
      </c>
      <c r="C1299" s="13" t="s">
        <v>42</v>
      </c>
      <c r="D1299" s="13" t="s">
        <v>1474</v>
      </c>
      <c r="E1299" s="13">
        <v>-0.0437994370040995</v>
      </c>
      <c r="F1299" s="13">
        <v>0.00964934769786246</v>
      </c>
      <c r="G1299" s="13">
        <v>-4.53910858801388</v>
      </c>
      <c r="H1299" s="63">
        <v>5.6492540006105E-6</v>
      </c>
      <c r="I1299" s="13">
        <v>197849.0</v>
      </c>
      <c r="J1299" s="31" t="s">
        <v>1796</v>
      </c>
      <c r="K1299" s="31" t="s">
        <v>1793</v>
      </c>
      <c r="L1299" s="31"/>
      <c r="M1299" s="31"/>
      <c r="N1299" s="31"/>
      <c r="O1299" s="31"/>
      <c r="P1299" s="31"/>
      <c r="Q1299" s="31"/>
      <c r="R1299" s="31"/>
      <c r="S1299" s="31"/>
      <c r="T1299" s="31"/>
      <c r="U1299" s="31"/>
      <c r="V1299" s="31"/>
      <c r="W1299" s="31"/>
      <c r="X1299" s="31"/>
      <c r="Y1299" s="31"/>
      <c r="Z1299" s="31"/>
    </row>
    <row r="1300" ht="15.75" customHeight="1">
      <c r="A1300" s="13" t="s">
        <v>567</v>
      </c>
      <c r="B1300" s="13" t="s">
        <v>411</v>
      </c>
      <c r="C1300" s="13" t="s">
        <v>55</v>
      </c>
      <c r="D1300" s="13" t="s">
        <v>1474</v>
      </c>
      <c r="E1300" s="13">
        <v>-0.00454345809359486</v>
      </c>
      <c r="F1300" s="13">
        <v>0.0121979155673229</v>
      </c>
      <c r="G1300" s="13">
        <v>-0.372478237656142</v>
      </c>
      <c r="H1300" s="13">
        <v>0.709536812065899</v>
      </c>
      <c r="I1300" s="13">
        <v>197639.0</v>
      </c>
      <c r="J1300" s="31" t="s">
        <v>1796</v>
      </c>
      <c r="K1300" s="31" t="s">
        <v>1793</v>
      </c>
      <c r="L1300" s="31"/>
      <c r="M1300" s="31"/>
      <c r="N1300" s="31"/>
      <c r="O1300" s="31"/>
      <c r="P1300" s="31"/>
      <c r="Q1300" s="31"/>
      <c r="R1300" s="31"/>
      <c r="S1300" s="31"/>
      <c r="T1300" s="31"/>
      <c r="U1300" s="31"/>
      <c r="V1300" s="31"/>
      <c r="W1300" s="31"/>
      <c r="X1300" s="31"/>
      <c r="Y1300" s="31"/>
      <c r="Z1300" s="31"/>
    </row>
    <row r="1301" ht="15.75" customHeight="1">
      <c r="A1301" s="13" t="s">
        <v>567</v>
      </c>
      <c r="B1301" s="13" t="s">
        <v>411</v>
      </c>
      <c r="C1301" s="13" t="s">
        <v>1797</v>
      </c>
      <c r="D1301" s="13" t="s">
        <v>1474</v>
      </c>
      <c r="E1301" s="13">
        <v>-0.00799626056478746</v>
      </c>
      <c r="F1301" s="13">
        <v>0.0118149267858236</v>
      </c>
      <c r="G1301" s="13">
        <v>-0.676793069457011</v>
      </c>
      <c r="H1301" s="13">
        <v>0.498537256021106</v>
      </c>
      <c r="I1301" s="13">
        <v>197858.0</v>
      </c>
      <c r="J1301" s="31" t="s">
        <v>1796</v>
      </c>
      <c r="K1301" s="31" t="s">
        <v>1793</v>
      </c>
      <c r="L1301" s="31"/>
      <c r="M1301" s="31"/>
      <c r="N1301" s="31"/>
      <c r="O1301" s="31"/>
      <c r="P1301" s="31"/>
      <c r="Q1301" s="31"/>
      <c r="R1301" s="31"/>
      <c r="S1301" s="31"/>
      <c r="T1301" s="31"/>
      <c r="U1301" s="31"/>
      <c r="V1301" s="31"/>
      <c r="W1301" s="31"/>
      <c r="X1301" s="31"/>
      <c r="Y1301" s="31"/>
      <c r="Z1301" s="31"/>
    </row>
    <row r="1302" ht="15.75" customHeight="1">
      <c r="A1302" s="13" t="s">
        <v>557</v>
      </c>
      <c r="B1302" s="13" t="s">
        <v>411</v>
      </c>
      <c r="C1302" s="13" t="s">
        <v>570</v>
      </c>
      <c r="D1302" s="13" t="s">
        <v>1474</v>
      </c>
      <c r="E1302" s="13">
        <v>0.175154465464795</v>
      </c>
      <c r="F1302" s="13">
        <v>0.0438842002897793</v>
      </c>
      <c r="G1302" s="13">
        <v>3.99128762306713</v>
      </c>
      <c r="H1302" s="63">
        <v>6.57155220981077E-5</v>
      </c>
      <c r="I1302" s="13">
        <v>12833.0</v>
      </c>
      <c r="J1302" s="31" t="s">
        <v>1796</v>
      </c>
      <c r="K1302" s="31" t="s">
        <v>1793</v>
      </c>
      <c r="L1302" s="31"/>
      <c r="M1302" s="31"/>
      <c r="N1302" s="31"/>
      <c r="O1302" s="31"/>
      <c r="P1302" s="31"/>
      <c r="Q1302" s="31"/>
      <c r="R1302" s="31"/>
      <c r="S1302" s="31"/>
      <c r="T1302" s="31"/>
      <c r="U1302" s="31"/>
      <c r="V1302" s="31"/>
      <c r="W1302" s="31"/>
      <c r="X1302" s="31"/>
      <c r="Y1302" s="31"/>
      <c r="Z1302" s="31"/>
    </row>
    <row r="1303" ht="15.75" customHeight="1">
      <c r="A1303" s="13" t="s">
        <v>557</v>
      </c>
      <c r="B1303" s="13" t="s">
        <v>411</v>
      </c>
      <c r="C1303" s="13" t="s">
        <v>42</v>
      </c>
      <c r="D1303" s="13" t="s">
        <v>1474</v>
      </c>
      <c r="E1303" s="13">
        <v>-0.0337171932645095</v>
      </c>
      <c r="F1303" s="13">
        <v>0.010072951488663</v>
      </c>
      <c r="G1303" s="13">
        <v>-3.34730027266166</v>
      </c>
      <c r="H1303" s="63">
        <v>8.1602766977816E-4</v>
      </c>
      <c r="I1303" s="13">
        <v>193395.0</v>
      </c>
      <c r="J1303" s="31" t="s">
        <v>1796</v>
      </c>
      <c r="K1303" s="31" t="s">
        <v>1793</v>
      </c>
      <c r="L1303" s="31"/>
      <c r="M1303" s="31"/>
      <c r="N1303" s="31"/>
      <c r="O1303" s="31"/>
      <c r="P1303" s="31"/>
      <c r="Q1303" s="31"/>
      <c r="R1303" s="31"/>
      <c r="S1303" s="31"/>
      <c r="T1303" s="31"/>
      <c r="U1303" s="31"/>
      <c r="V1303" s="31"/>
      <c r="W1303" s="31"/>
      <c r="X1303" s="31"/>
      <c r="Y1303" s="31"/>
      <c r="Z1303" s="31"/>
    </row>
    <row r="1304" ht="15.75" customHeight="1">
      <c r="A1304" s="13" t="s">
        <v>557</v>
      </c>
      <c r="B1304" s="13" t="s">
        <v>411</v>
      </c>
      <c r="C1304" s="13" t="s">
        <v>55</v>
      </c>
      <c r="D1304" s="13" t="s">
        <v>1474</v>
      </c>
      <c r="E1304" s="13">
        <v>-0.0274503942192687</v>
      </c>
      <c r="F1304" s="13">
        <v>0.0117327691350688</v>
      </c>
      <c r="G1304" s="13">
        <v>-2.33963473611872</v>
      </c>
      <c r="H1304" s="13">
        <v>0.0193026076775779</v>
      </c>
      <c r="I1304" s="13">
        <v>193245.0</v>
      </c>
      <c r="J1304" s="31" t="s">
        <v>1796</v>
      </c>
      <c r="K1304" s="31" t="s">
        <v>1793</v>
      </c>
      <c r="L1304" s="31"/>
      <c r="M1304" s="31"/>
      <c r="N1304" s="31"/>
      <c r="O1304" s="31"/>
      <c r="P1304" s="31"/>
      <c r="Q1304" s="31"/>
      <c r="R1304" s="31"/>
      <c r="S1304" s="31"/>
      <c r="T1304" s="31"/>
      <c r="U1304" s="31"/>
      <c r="V1304" s="31"/>
      <c r="W1304" s="31"/>
      <c r="X1304" s="31"/>
      <c r="Y1304" s="31"/>
      <c r="Z1304" s="31"/>
    </row>
    <row r="1305" ht="15.75" customHeight="1">
      <c r="A1305" s="13" t="s">
        <v>557</v>
      </c>
      <c r="B1305" s="13" t="s">
        <v>411</v>
      </c>
      <c r="C1305" s="13" t="s">
        <v>1797</v>
      </c>
      <c r="D1305" s="13" t="s">
        <v>1474</v>
      </c>
      <c r="E1305" s="13">
        <v>-0.0143882681082991</v>
      </c>
      <c r="F1305" s="13">
        <v>0.012129165996019</v>
      </c>
      <c r="G1305" s="13">
        <v>-1.18625370557395</v>
      </c>
      <c r="H1305" s="13">
        <v>0.235522122923816</v>
      </c>
      <c r="I1305" s="13">
        <v>193386.0</v>
      </c>
      <c r="J1305" s="31" t="s">
        <v>1796</v>
      </c>
      <c r="K1305" s="31" t="s">
        <v>1793</v>
      </c>
      <c r="L1305" s="31"/>
      <c r="M1305" s="31"/>
      <c r="N1305" s="31"/>
      <c r="O1305" s="31"/>
      <c r="P1305" s="31"/>
      <c r="Q1305" s="31"/>
      <c r="R1305" s="31"/>
      <c r="S1305" s="31"/>
      <c r="T1305" s="31"/>
      <c r="U1305" s="31"/>
      <c r="V1305" s="31"/>
      <c r="W1305" s="31"/>
      <c r="X1305" s="31"/>
      <c r="Y1305" s="31"/>
      <c r="Z1305" s="31"/>
    </row>
    <row r="1306" ht="15.75" customHeight="1">
      <c r="A1306" s="13" t="s">
        <v>534</v>
      </c>
      <c r="B1306" s="13" t="s">
        <v>411</v>
      </c>
      <c r="C1306" s="13" t="s">
        <v>570</v>
      </c>
      <c r="D1306" s="13" t="s">
        <v>1474</v>
      </c>
      <c r="E1306" s="13">
        <v>-0.0512034341257712</v>
      </c>
      <c r="F1306" s="13">
        <v>0.0315680652422008</v>
      </c>
      <c r="G1306" s="13">
        <v>-1.62200102327847</v>
      </c>
      <c r="H1306" s="13">
        <v>0.104803129033087</v>
      </c>
      <c r="I1306" s="13">
        <v>25371.0</v>
      </c>
      <c r="J1306" s="31" t="s">
        <v>1796</v>
      </c>
      <c r="K1306" s="31" t="s">
        <v>1793</v>
      </c>
      <c r="L1306" s="31"/>
      <c r="M1306" s="31"/>
      <c r="N1306" s="31"/>
      <c r="O1306" s="31"/>
      <c r="P1306" s="31"/>
      <c r="Q1306" s="31"/>
      <c r="R1306" s="31"/>
      <c r="S1306" s="31"/>
      <c r="T1306" s="31"/>
      <c r="U1306" s="31"/>
      <c r="V1306" s="31"/>
      <c r="W1306" s="31"/>
      <c r="X1306" s="31"/>
      <c r="Y1306" s="31"/>
      <c r="Z1306" s="31"/>
    </row>
    <row r="1307" ht="15.75" customHeight="1">
      <c r="A1307" s="13" t="s">
        <v>534</v>
      </c>
      <c r="B1307" s="13" t="s">
        <v>411</v>
      </c>
      <c r="C1307" s="13" t="s">
        <v>42</v>
      </c>
      <c r="D1307" s="13" t="s">
        <v>1474</v>
      </c>
      <c r="E1307" s="13">
        <v>0.0314501502407439</v>
      </c>
      <c r="F1307" s="13">
        <v>0.00751482446947837</v>
      </c>
      <c r="G1307" s="13">
        <v>4.18508115106073</v>
      </c>
      <c r="H1307" s="63">
        <v>2.85064243305205E-5</v>
      </c>
      <c r="I1307" s="13">
        <v>362057.0</v>
      </c>
      <c r="J1307" s="31" t="s">
        <v>1796</v>
      </c>
      <c r="K1307" s="31" t="s">
        <v>1793</v>
      </c>
      <c r="L1307" s="31"/>
      <c r="M1307" s="31"/>
      <c r="N1307" s="31"/>
      <c r="O1307" s="31"/>
      <c r="P1307" s="31"/>
      <c r="Q1307" s="31"/>
      <c r="R1307" s="31"/>
      <c r="S1307" s="31"/>
      <c r="T1307" s="31"/>
      <c r="U1307" s="31"/>
      <c r="V1307" s="31"/>
      <c r="W1307" s="31"/>
      <c r="X1307" s="31"/>
      <c r="Y1307" s="31"/>
      <c r="Z1307" s="31"/>
    </row>
    <row r="1308" ht="15.75" customHeight="1">
      <c r="A1308" s="13" t="s">
        <v>534</v>
      </c>
      <c r="B1308" s="13" t="s">
        <v>411</v>
      </c>
      <c r="C1308" s="13" t="s">
        <v>55</v>
      </c>
      <c r="D1308" s="13" t="s">
        <v>1474</v>
      </c>
      <c r="E1308" s="13">
        <v>-0.0105286156800359</v>
      </c>
      <c r="F1308" s="13">
        <v>0.00916909162456974</v>
      </c>
      <c r="G1308" s="13">
        <v>-1.14827249100916</v>
      </c>
      <c r="H1308" s="13">
        <v>0.250856091658584</v>
      </c>
      <c r="I1308" s="13">
        <v>361954.0</v>
      </c>
      <c r="J1308" s="31" t="s">
        <v>1796</v>
      </c>
      <c r="K1308" s="31" t="s">
        <v>1793</v>
      </c>
      <c r="L1308" s="31"/>
      <c r="M1308" s="31"/>
      <c r="N1308" s="31"/>
      <c r="O1308" s="31"/>
      <c r="P1308" s="31"/>
      <c r="Q1308" s="31"/>
      <c r="R1308" s="31"/>
      <c r="S1308" s="31"/>
      <c r="T1308" s="31"/>
      <c r="U1308" s="31"/>
      <c r="V1308" s="31"/>
      <c r="W1308" s="31"/>
      <c r="X1308" s="31"/>
      <c r="Y1308" s="31"/>
      <c r="Z1308" s="31"/>
    </row>
    <row r="1309" ht="15.75" customHeight="1">
      <c r="A1309" s="13" t="s">
        <v>534</v>
      </c>
      <c r="B1309" s="13" t="s">
        <v>411</v>
      </c>
      <c r="C1309" s="13" t="s">
        <v>1797</v>
      </c>
      <c r="D1309" s="13" t="s">
        <v>1474</v>
      </c>
      <c r="E1309" s="13">
        <v>-0.0334608246938762</v>
      </c>
      <c r="F1309" s="13">
        <v>0.00874184996446811</v>
      </c>
      <c r="G1309" s="13">
        <v>-3.82765945765258</v>
      </c>
      <c r="H1309" s="63">
        <v>1.29367573572643E-4</v>
      </c>
      <c r="I1309" s="13">
        <v>362038.0</v>
      </c>
      <c r="J1309" s="31" t="s">
        <v>1796</v>
      </c>
      <c r="K1309" s="31" t="s">
        <v>1793</v>
      </c>
      <c r="L1309" s="31"/>
      <c r="M1309" s="31"/>
      <c r="N1309" s="31"/>
      <c r="O1309" s="31"/>
      <c r="P1309" s="31"/>
      <c r="Q1309" s="31"/>
      <c r="R1309" s="31"/>
      <c r="S1309" s="31"/>
      <c r="T1309" s="31"/>
      <c r="U1309" s="31"/>
      <c r="V1309" s="31"/>
      <c r="W1309" s="31"/>
      <c r="X1309" s="31"/>
      <c r="Y1309" s="31"/>
      <c r="Z1309" s="31"/>
    </row>
    <row r="1310" ht="15.75" customHeight="1">
      <c r="A1310" s="13" t="s">
        <v>1428</v>
      </c>
      <c r="B1310" s="13" t="s">
        <v>411</v>
      </c>
      <c r="C1310" s="13" t="s">
        <v>570</v>
      </c>
      <c r="D1310" s="13" t="s">
        <v>1474</v>
      </c>
      <c r="E1310" s="13">
        <v>-0.0570673095094382</v>
      </c>
      <c r="F1310" s="13">
        <v>0.0128132363826356</v>
      </c>
      <c r="G1310" s="13">
        <v>-4.45377793753771</v>
      </c>
      <c r="H1310" s="63">
        <v>8.43723644972115E-6</v>
      </c>
      <c r="I1310" s="13">
        <v>168568.0</v>
      </c>
      <c r="J1310" s="31" t="s">
        <v>1796</v>
      </c>
      <c r="K1310" s="31" t="s">
        <v>1793</v>
      </c>
      <c r="L1310" s="31"/>
      <c r="M1310" s="31"/>
      <c r="N1310" s="31"/>
      <c r="O1310" s="31"/>
      <c r="P1310" s="31"/>
      <c r="Q1310" s="31"/>
      <c r="R1310" s="31"/>
      <c r="S1310" s="31"/>
      <c r="T1310" s="31"/>
      <c r="U1310" s="31"/>
      <c r="V1310" s="31"/>
      <c r="W1310" s="31"/>
      <c r="X1310" s="31"/>
      <c r="Y1310" s="31"/>
      <c r="Z1310" s="31"/>
    </row>
    <row r="1311" ht="15.75" customHeight="1">
      <c r="A1311" s="13" t="s">
        <v>1428</v>
      </c>
      <c r="B1311" s="13" t="s">
        <v>411</v>
      </c>
      <c r="C1311" s="13" t="s">
        <v>42</v>
      </c>
      <c r="D1311" s="13" t="s">
        <v>1474</v>
      </c>
      <c r="E1311" s="13">
        <v>0.0310269055028642</v>
      </c>
      <c r="F1311" s="13">
        <v>0.00498519076852793</v>
      </c>
      <c r="G1311" s="13">
        <v>6.22381508421714</v>
      </c>
      <c r="H1311" s="63">
        <v>4.85208919033623E-10</v>
      </c>
      <c r="I1311" s="13">
        <v>2813274.0</v>
      </c>
      <c r="J1311" s="31" t="s">
        <v>1796</v>
      </c>
      <c r="K1311" s="31" t="s">
        <v>1793</v>
      </c>
      <c r="L1311" s="31"/>
      <c r="M1311" s="31"/>
      <c r="N1311" s="31"/>
      <c r="O1311" s="31"/>
      <c r="P1311" s="31"/>
      <c r="Q1311" s="31"/>
      <c r="R1311" s="31"/>
      <c r="S1311" s="31"/>
      <c r="T1311" s="31"/>
      <c r="U1311" s="31"/>
      <c r="V1311" s="31"/>
      <c r="W1311" s="31"/>
      <c r="X1311" s="31"/>
      <c r="Y1311" s="31"/>
      <c r="Z1311" s="31"/>
    </row>
    <row r="1312" ht="15.75" customHeight="1">
      <c r="A1312" s="13" t="s">
        <v>1428</v>
      </c>
      <c r="B1312" s="13" t="s">
        <v>411</v>
      </c>
      <c r="C1312" s="13" t="s">
        <v>55</v>
      </c>
      <c r="D1312" s="13" t="s">
        <v>1474</v>
      </c>
      <c r="E1312" s="13">
        <v>-0.0385224788485326</v>
      </c>
      <c r="F1312" s="13">
        <v>0.00530378589976397</v>
      </c>
      <c r="G1312" s="13">
        <v>-7.26320397854803</v>
      </c>
      <c r="H1312" s="63">
        <v>3.78027202996568E-13</v>
      </c>
      <c r="I1312" s="13">
        <v>2807252.0</v>
      </c>
      <c r="J1312" s="31" t="s">
        <v>1796</v>
      </c>
      <c r="K1312" s="31" t="s">
        <v>1793</v>
      </c>
      <c r="L1312" s="31"/>
      <c r="M1312" s="31"/>
      <c r="N1312" s="31"/>
      <c r="O1312" s="31"/>
      <c r="P1312" s="31"/>
      <c r="Q1312" s="31"/>
      <c r="R1312" s="31"/>
      <c r="S1312" s="31"/>
      <c r="T1312" s="31"/>
      <c r="U1312" s="31"/>
      <c r="V1312" s="31"/>
      <c r="W1312" s="31"/>
      <c r="X1312" s="31"/>
      <c r="Y1312" s="31"/>
      <c r="Z1312" s="31"/>
    </row>
    <row r="1313" ht="15.75" customHeight="1">
      <c r="A1313" s="13" t="s">
        <v>1428</v>
      </c>
      <c r="B1313" s="13" t="s">
        <v>411</v>
      </c>
      <c r="C1313" s="13" t="s">
        <v>1797</v>
      </c>
      <c r="D1313" s="13" t="s">
        <v>1474</v>
      </c>
      <c r="E1313" s="13">
        <v>-0.0277641181287045</v>
      </c>
      <c r="F1313" s="13">
        <v>0.00449735162585491</v>
      </c>
      <c r="G1313" s="13">
        <v>-6.17343726674401</v>
      </c>
      <c r="H1313" s="63">
        <v>6.68210707743637E-10</v>
      </c>
      <c r="I1313" s="13">
        <v>2814077.0</v>
      </c>
      <c r="J1313" s="31" t="s">
        <v>1796</v>
      </c>
      <c r="K1313" s="31" t="s">
        <v>1793</v>
      </c>
      <c r="L1313" s="31"/>
      <c r="M1313" s="31"/>
      <c r="N1313" s="31"/>
      <c r="O1313" s="31"/>
      <c r="P1313" s="31"/>
      <c r="Q1313" s="31"/>
      <c r="R1313" s="31"/>
      <c r="S1313" s="31"/>
      <c r="T1313" s="31"/>
      <c r="U1313" s="31"/>
      <c r="V1313" s="31"/>
      <c r="W1313" s="31"/>
      <c r="X1313" s="31"/>
      <c r="Y1313" s="31"/>
      <c r="Z1313" s="31"/>
    </row>
    <row r="1314" ht="15.75" customHeight="1">
      <c r="A1314" s="13" t="s">
        <v>1434</v>
      </c>
      <c r="B1314" s="13" t="s">
        <v>411</v>
      </c>
      <c r="C1314" s="13" t="s">
        <v>570</v>
      </c>
      <c r="D1314" s="13" t="s">
        <v>1474</v>
      </c>
      <c r="E1314" s="13">
        <v>-0.212843045699916</v>
      </c>
      <c r="F1314" s="13">
        <v>0.0148980253496002</v>
      </c>
      <c r="G1314" s="13">
        <v>-14.2866615343508</v>
      </c>
      <c r="H1314" s="63">
        <v>2.65012535183508E-46</v>
      </c>
      <c r="I1314" s="13">
        <v>168309.0</v>
      </c>
      <c r="J1314" s="31" t="s">
        <v>1796</v>
      </c>
      <c r="K1314" s="31" t="s">
        <v>1793</v>
      </c>
      <c r="L1314" s="31"/>
      <c r="M1314" s="31"/>
      <c r="N1314" s="31"/>
      <c r="O1314" s="31"/>
      <c r="P1314" s="31"/>
      <c r="Q1314" s="31"/>
      <c r="R1314" s="31"/>
      <c r="S1314" s="31"/>
      <c r="T1314" s="31"/>
      <c r="U1314" s="31"/>
      <c r="V1314" s="31"/>
      <c r="W1314" s="31"/>
      <c r="X1314" s="31"/>
      <c r="Y1314" s="31"/>
      <c r="Z1314" s="31"/>
    </row>
    <row r="1315" ht="15.75" customHeight="1">
      <c r="A1315" s="13" t="s">
        <v>1434</v>
      </c>
      <c r="B1315" s="13" t="s">
        <v>411</v>
      </c>
      <c r="C1315" s="13" t="s">
        <v>42</v>
      </c>
      <c r="D1315" s="13" t="s">
        <v>1474</v>
      </c>
      <c r="E1315" s="13">
        <v>-0.214658085383267</v>
      </c>
      <c r="F1315" s="13">
        <v>0.010052156339274</v>
      </c>
      <c r="G1315" s="13">
        <v>-21.3544316401639</v>
      </c>
      <c r="H1315" s="63">
        <v>3.54659284885527E-101</v>
      </c>
      <c r="I1315" s="13">
        <v>2810227.0</v>
      </c>
      <c r="J1315" s="31" t="s">
        <v>1796</v>
      </c>
      <c r="K1315" s="31" t="s">
        <v>1793</v>
      </c>
      <c r="L1315" s="31"/>
      <c r="M1315" s="31"/>
      <c r="N1315" s="31"/>
      <c r="O1315" s="31"/>
      <c r="P1315" s="31"/>
      <c r="Q1315" s="31"/>
      <c r="R1315" s="31"/>
      <c r="S1315" s="31"/>
      <c r="T1315" s="31"/>
      <c r="U1315" s="31"/>
      <c r="V1315" s="31"/>
      <c r="W1315" s="31"/>
      <c r="X1315" s="31"/>
      <c r="Y1315" s="31"/>
      <c r="Z1315" s="31"/>
    </row>
    <row r="1316" ht="15.75" customHeight="1">
      <c r="A1316" s="13" t="s">
        <v>1434</v>
      </c>
      <c r="B1316" s="13" t="s">
        <v>411</v>
      </c>
      <c r="C1316" s="13" t="s">
        <v>55</v>
      </c>
      <c r="D1316" s="13" t="s">
        <v>1474</v>
      </c>
      <c r="E1316" s="13">
        <v>-0.0694467484865836</v>
      </c>
      <c r="F1316" s="13">
        <v>0.0122131750844584</v>
      </c>
      <c r="G1316" s="13">
        <v>-5.68621574703831</v>
      </c>
      <c r="H1316" s="63">
        <v>1.29885290517777E-8</v>
      </c>
      <c r="I1316" s="13">
        <v>2804218.0</v>
      </c>
      <c r="J1316" s="31" t="s">
        <v>1796</v>
      </c>
      <c r="K1316" s="31" t="s">
        <v>1793</v>
      </c>
      <c r="L1316" s="31"/>
      <c r="M1316" s="31"/>
      <c r="N1316" s="31"/>
      <c r="O1316" s="31"/>
      <c r="P1316" s="31"/>
      <c r="Q1316" s="31"/>
      <c r="R1316" s="31"/>
      <c r="S1316" s="31"/>
      <c r="T1316" s="31"/>
      <c r="U1316" s="31"/>
      <c r="V1316" s="31"/>
      <c r="W1316" s="31"/>
      <c r="X1316" s="31"/>
      <c r="Y1316" s="31"/>
      <c r="Z1316" s="31"/>
    </row>
    <row r="1317" ht="15.75" customHeight="1">
      <c r="A1317" s="13" t="s">
        <v>1434</v>
      </c>
      <c r="B1317" s="13" t="s">
        <v>411</v>
      </c>
      <c r="C1317" s="13" t="s">
        <v>1797</v>
      </c>
      <c r="D1317" s="13" t="s">
        <v>1474</v>
      </c>
      <c r="E1317" s="13">
        <v>-0.0621126423606189</v>
      </c>
      <c r="F1317" s="13">
        <v>0.0105233314214475</v>
      </c>
      <c r="G1317" s="13">
        <v>-5.90237443572549</v>
      </c>
      <c r="H1317" s="63">
        <v>3.5830680513068E-9</v>
      </c>
      <c r="I1317" s="13">
        <v>2811031.0</v>
      </c>
      <c r="J1317" s="31" t="s">
        <v>1796</v>
      </c>
      <c r="K1317" s="31" t="s">
        <v>1793</v>
      </c>
      <c r="L1317" s="31"/>
      <c r="M1317" s="31"/>
      <c r="N1317" s="31"/>
      <c r="O1317" s="31"/>
      <c r="P1317" s="31"/>
      <c r="Q1317" s="31"/>
      <c r="R1317" s="31"/>
      <c r="S1317" s="31"/>
      <c r="T1317" s="31"/>
      <c r="U1317" s="31"/>
      <c r="V1317" s="31"/>
      <c r="W1317" s="31"/>
      <c r="X1317" s="31"/>
      <c r="Y1317" s="31"/>
      <c r="Z1317" s="31"/>
    </row>
    <row r="1318" ht="15.75" customHeight="1">
      <c r="A1318" s="13" t="s">
        <v>1438</v>
      </c>
      <c r="B1318" s="13" t="s">
        <v>411</v>
      </c>
      <c r="C1318" s="13" t="s">
        <v>570</v>
      </c>
      <c r="D1318" s="13" t="s">
        <v>1474</v>
      </c>
      <c r="E1318" s="13">
        <v>-0.238968688635918</v>
      </c>
      <c r="F1318" s="13">
        <v>0.0141389662252515</v>
      </c>
      <c r="G1318" s="13">
        <v>-16.9014258064447</v>
      </c>
      <c r="H1318" s="63">
        <v>4.39157925462326E-64</v>
      </c>
      <c r="I1318" s="13">
        <v>166383.0</v>
      </c>
      <c r="J1318" s="31" t="s">
        <v>1796</v>
      </c>
      <c r="K1318" s="31" t="s">
        <v>1793</v>
      </c>
      <c r="L1318" s="31"/>
      <c r="M1318" s="31"/>
      <c r="N1318" s="31"/>
      <c r="O1318" s="31"/>
      <c r="P1318" s="31"/>
      <c r="Q1318" s="31"/>
      <c r="R1318" s="31"/>
      <c r="S1318" s="31"/>
      <c r="T1318" s="31"/>
      <c r="U1318" s="31"/>
      <c r="V1318" s="31"/>
      <c r="W1318" s="31"/>
      <c r="X1318" s="31"/>
      <c r="Y1318" s="31"/>
      <c r="Z1318" s="31"/>
    </row>
    <row r="1319" ht="15.75" customHeight="1">
      <c r="A1319" s="13" t="s">
        <v>1438</v>
      </c>
      <c r="B1319" s="13" t="s">
        <v>411</v>
      </c>
      <c r="C1319" s="13" t="s">
        <v>42</v>
      </c>
      <c r="D1319" s="13" t="s">
        <v>1474</v>
      </c>
      <c r="E1319" s="13">
        <v>-0.214026582570984</v>
      </c>
      <c r="F1319" s="13">
        <v>0.00925397604878965</v>
      </c>
      <c r="G1319" s="13">
        <v>-23.128067486081</v>
      </c>
      <c r="H1319" s="63">
        <v>2.41714974194965E-118</v>
      </c>
      <c r="I1319" s="13">
        <v>2781640.0</v>
      </c>
      <c r="J1319" s="31" t="s">
        <v>1796</v>
      </c>
      <c r="K1319" s="31" t="s">
        <v>1793</v>
      </c>
      <c r="L1319" s="31"/>
      <c r="M1319" s="31"/>
      <c r="N1319" s="31"/>
      <c r="O1319" s="31"/>
      <c r="P1319" s="31"/>
      <c r="Q1319" s="31"/>
      <c r="R1319" s="31"/>
      <c r="S1319" s="31"/>
      <c r="T1319" s="31"/>
      <c r="U1319" s="31"/>
      <c r="V1319" s="31"/>
      <c r="W1319" s="31"/>
      <c r="X1319" s="31"/>
      <c r="Y1319" s="31"/>
      <c r="Z1319" s="31"/>
    </row>
    <row r="1320" ht="15.75" customHeight="1">
      <c r="A1320" s="13" t="s">
        <v>1438</v>
      </c>
      <c r="B1320" s="13" t="s">
        <v>411</v>
      </c>
      <c r="C1320" s="13" t="s">
        <v>55</v>
      </c>
      <c r="D1320" s="13" t="s">
        <v>1474</v>
      </c>
      <c r="E1320" s="13">
        <v>-0.0523971825680572</v>
      </c>
      <c r="F1320" s="13">
        <v>0.011265209243446</v>
      </c>
      <c r="G1320" s="13">
        <v>-4.65123917680811</v>
      </c>
      <c r="H1320" s="63">
        <v>3.29946387957813E-6</v>
      </c>
      <c r="I1320" s="13">
        <v>2775654.0</v>
      </c>
      <c r="J1320" s="31" t="s">
        <v>1796</v>
      </c>
      <c r="K1320" s="31" t="s">
        <v>1793</v>
      </c>
      <c r="L1320" s="31"/>
      <c r="M1320" s="31"/>
      <c r="N1320" s="31"/>
      <c r="O1320" s="31"/>
      <c r="P1320" s="31"/>
      <c r="Q1320" s="31"/>
      <c r="R1320" s="31"/>
      <c r="S1320" s="31"/>
      <c r="T1320" s="31"/>
      <c r="U1320" s="31"/>
      <c r="V1320" s="31"/>
      <c r="W1320" s="31"/>
      <c r="X1320" s="31"/>
      <c r="Y1320" s="31"/>
      <c r="Z1320" s="31"/>
    </row>
    <row r="1321" ht="15.75" customHeight="1">
      <c r="A1321" s="13" t="s">
        <v>1438</v>
      </c>
      <c r="B1321" s="13" t="s">
        <v>411</v>
      </c>
      <c r="C1321" s="13" t="s">
        <v>1797</v>
      </c>
      <c r="D1321" s="13" t="s">
        <v>1474</v>
      </c>
      <c r="E1321" s="13">
        <v>-0.0496157988800479</v>
      </c>
      <c r="F1321" s="13">
        <v>0.0102265834452942</v>
      </c>
      <c r="G1321" s="13">
        <v>-4.85164954116504</v>
      </c>
      <c r="H1321" s="63">
        <v>1.22438838658234E-6</v>
      </c>
      <c r="I1321" s="13">
        <v>2782447.0</v>
      </c>
      <c r="J1321" s="31" t="s">
        <v>1796</v>
      </c>
      <c r="K1321" s="31" t="s">
        <v>1793</v>
      </c>
      <c r="L1321" s="31"/>
      <c r="M1321" s="31"/>
      <c r="N1321" s="31"/>
      <c r="O1321" s="31"/>
      <c r="P1321" s="31"/>
      <c r="Q1321" s="31"/>
      <c r="R1321" s="31"/>
      <c r="S1321" s="31"/>
      <c r="T1321" s="31"/>
      <c r="U1321" s="31"/>
      <c r="V1321" s="31"/>
      <c r="W1321" s="31"/>
      <c r="X1321" s="31"/>
      <c r="Y1321" s="31"/>
      <c r="Z1321" s="31"/>
    </row>
    <row r="1322" ht="15.75" customHeight="1">
      <c r="A1322" s="13" t="s">
        <v>1440</v>
      </c>
      <c r="B1322" s="13" t="s">
        <v>411</v>
      </c>
      <c r="C1322" s="13" t="s">
        <v>570</v>
      </c>
      <c r="D1322" s="13" t="s">
        <v>1474</v>
      </c>
      <c r="E1322" s="13">
        <v>-0.267109869193851</v>
      </c>
      <c r="F1322" s="13">
        <v>0.0155192879563781</v>
      </c>
      <c r="G1322" s="13">
        <v>-17.2114770951249</v>
      </c>
      <c r="H1322" s="63">
        <v>2.17804738124646E-66</v>
      </c>
      <c r="I1322" s="13">
        <v>168811.0</v>
      </c>
      <c r="J1322" s="31" t="s">
        <v>1796</v>
      </c>
      <c r="K1322" s="31" t="s">
        <v>1793</v>
      </c>
      <c r="L1322" s="31"/>
      <c r="M1322" s="31"/>
      <c r="N1322" s="31"/>
      <c r="O1322" s="31"/>
      <c r="P1322" s="31"/>
      <c r="Q1322" s="31"/>
      <c r="R1322" s="31"/>
      <c r="S1322" s="31"/>
      <c r="T1322" s="31"/>
      <c r="U1322" s="31"/>
      <c r="V1322" s="31"/>
      <c r="W1322" s="31"/>
      <c r="X1322" s="31"/>
      <c r="Y1322" s="31"/>
      <c r="Z1322" s="31"/>
    </row>
    <row r="1323" ht="15.75" customHeight="1">
      <c r="A1323" s="13" t="s">
        <v>1440</v>
      </c>
      <c r="B1323" s="13" t="s">
        <v>411</v>
      </c>
      <c r="C1323" s="13" t="s">
        <v>42</v>
      </c>
      <c r="D1323" s="13" t="s">
        <v>1474</v>
      </c>
      <c r="E1323" s="13">
        <v>-0.247056853773117</v>
      </c>
      <c r="F1323" s="13">
        <v>0.0126528637982633</v>
      </c>
      <c r="G1323" s="13">
        <v>-19.5257656853167</v>
      </c>
      <c r="H1323" s="63">
        <v>6.63154567300308E-85</v>
      </c>
      <c r="I1323" s="13">
        <v>2818197.0</v>
      </c>
      <c r="J1323" s="31" t="s">
        <v>1796</v>
      </c>
      <c r="K1323" s="31" t="s">
        <v>1793</v>
      </c>
      <c r="L1323" s="31"/>
      <c r="M1323" s="31"/>
      <c r="N1323" s="31"/>
      <c r="O1323" s="31"/>
      <c r="P1323" s="31"/>
      <c r="Q1323" s="31"/>
      <c r="R1323" s="31"/>
      <c r="S1323" s="31"/>
      <c r="T1323" s="31"/>
      <c r="U1323" s="31"/>
      <c r="V1323" s="31"/>
      <c r="W1323" s="31"/>
      <c r="X1323" s="31"/>
      <c r="Y1323" s="31"/>
      <c r="Z1323" s="31"/>
    </row>
    <row r="1324" ht="15.75" customHeight="1">
      <c r="A1324" s="13" t="s">
        <v>1440</v>
      </c>
      <c r="B1324" s="13" t="s">
        <v>411</v>
      </c>
      <c r="C1324" s="13" t="s">
        <v>55</v>
      </c>
      <c r="D1324" s="13" t="s">
        <v>1474</v>
      </c>
      <c r="E1324" s="13">
        <v>-0.101594998519999</v>
      </c>
      <c r="F1324" s="13">
        <v>0.0155266341218955</v>
      </c>
      <c r="G1324" s="13">
        <v>-6.54327252915243</v>
      </c>
      <c r="H1324" s="63">
        <v>6.01870035993811E-11</v>
      </c>
      <c r="I1324" s="13">
        <v>2812232.0</v>
      </c>
      <c r="J1324" s="31" t="s">
        <v>1796</v>
      </c>
      <c r="K1324" s="31" t="s">
        <v>1793</v>
      </c>
      <c r="L1324" s="31"/>
      <c r="M1324" s="31"/>
      <c r="N1324" s="31"/>
      <c r="O1324" s="31"/>
      <c r="P1324" s="31"/>
      <c r="Q1324" s="31"/>
      <c r="R1324" s="31"/>
      <c r="S1324" s="31"/>
      <c r="T1324" s="31"/>
      <c r="U1324" s="31"/>
      <c r="V1324" s="31"/>
      <c r="W1324" s="31"/>
      <c r="X1324" s="31"/>
      <c r="Y1324" s="31"/>
      <c r="Z1324" s="31"/>
    </row>
    <row r="1325" ht="15.75" customHeight="1">
      <c r="A1325" s="13" t="s">
        <v>1440</v>
      </c>
      <c r="B1325" s="13" t="s">
        <v>411</v>
      </c>
      <c r="C1325" s="13" t="s">
        <v>1797</v>
      </c>
      <c r="D1325" s="13" t="s">
        <v>1474</v>
      </c>
      <c r="E1325" s="13">
        <v>-0.0754993951292238</v>
      </c>
      <c r="F1325" s="13">
        <v>0.0139461955901338</v>
      </c>
      <c r="G1325" s="13">
        <v>-5.41361940905483</v>
      </c>
      <c r="H1325" s="63">
        <v>6.17633729254815E-8</v>
      </c>
      <c r="I1325" s="13">
        <v>2818999.0</v>
      </c>
      <c r="J1325" s="31" t="s">
        <v>1796</v>
      </c>
      <c r="K1325" s="31" t="s">
        <v>1793</v>
      </c>
      <c r="L1325" s="31"/>
      <c r="M1325" s="31"/>
      <c r="N1325" s="31"/>
      <c r="O1325" s="31"/>
      <c r="P1325" s="31"/>
      <c r="Q1325" s="31"/>
      <c r="R1325" s="31"/>
      <c r="S1325" s="31"/>
      <c r="T1325" s="31"/>
      <c r="U1325" s="31"/>
      <c r="V1325" s="31"/>
      <c r="W1325" s="31"/>
      <c r="X1325" s="31"/>
      <c r="Y1325" s="31"/>
      <c r="Z1325" s="31"/>
    </row>
    <row r="1326" ht="15.75" customHeight="1">
      <c r="A1326" s="13" t="s">
        <v>1442</v>
      </c>
      <c r="B1326" s="13" t="s">
        <v>411</v>
      </c>
      <c r="C1326" s="13" t="s">
        <v>570</v>
      </c>
      <c r="D1326" s="13" t="s">
        <v>1474</v>
      </c>
      <c r="E1326" s="13">
        <v>-0.23542410578889</v>
      </c>
      <c r="F1326" s="13">
        <v>0.0135591516454888</v>
      </c>
      <c r="G1326" s="13">
        <v>-17.3627459847177</v>
      </c>
      <c r="H1326" s="63">
        <v>1.57983256659602E-67</v>
      </c>
      <c r="I1326" s="13">
        <v>168865.0</v>
      </c>
      <c r="J1326" s="31" t="s">
        <v>1796</v>
      </c>
      <c r="K1326" s="31" t="s">
        <v>1793</v>
      </c>
      <c r="L1326" s="31"/>
      <c r="M1326" s="31"/>
      <c r="N1326" s="31"/>
      <c r="O1326" s="31"/>
      <c r="P1326" s="31"/>
      <c r="Q1326" s="31"/>
      <c r="R1326" s="31"/>
      <c r="S1326" s="31"/>
      <c r="T1326" s="31"/>
      <c r="U1326" s="31"/>
      <c r="V1326" s="31"/>
      <c r="W1326" s="31"/>
      <c r="X1326" s="31"/>
      <c r="Y1326" s="31"/>
      <c r="Z1326" s="31"/>
    </row>
    <row r="1327" ht="15.75" customHeight="1">
      <c r="A1327" s="13" t="s">
        <v>1442</v>
      </c>
      <c r="B1327" s="13" t="s">
        <v>411</v>
      </c>
      <c r="C1327" s="13" t="s">
        <v>42</v>
      </c>
      <c r="D1327" s="13" t="s">
        <v>1474</v>
      </c>
      <c r="E1327" s="13">
        <v>-0.238293459293198</v>
      </c>
      <c r="F1327" s="13">
        <v>0.00990937100026169</v>
      </c>
      <c r="G1327" s="13">
        <v>-24.0472840593924</v>
      </c>
      <c r="H1327" s="63">
        <v>8.91220152312231E-128</v>
      </c>
      <c r="I1327" s="13">
        <v>2819352.0</v>
      </c>
      <c r="J1327" s="31" t="s">
        <v>1796</v>
      </c>
      <c r="K1327" s="31" t="s">
        <v>1793</v>
      </c>
      <c r="L1327" s="31"/>
      <c r="M1327" s="31"/>
      <c r="N1327" s="31"/>
      <c r="O1327" s="31"/>
      <c r="P1327" s="31"/>
      <c r="Q1327" s="31"/>
      <c r="R1327" s="31"/>
      <c r="S1327" s="31"/>
      <c r="T1327" s="31"/>
      <c r="U1327" s="31"/>
      <c r="V1327" s="31"/>
      <c r="W1327" s="31"/>
      <c r="X1327" s="31"/>
      <c r="Y1327" s="31"/>
      <c r="Z1327" s="31"/>
    </row>
    <row r="1328" ht="15.75" customHeight="1">
      <c r="A1328" s="13" t="s">
        <v>1442</v>
      </c>
      <c r="B1328" s="13" t="s">
        <v>411</v>
      </c>
      <c r="C1328" s="13" t="s">
        <v>55</v>
      </c>
      <c r="D1328" s="13" t="s">
        <v>1474</v>
      </c>
      <c r="E1328" s="13">
        <v>-0.0833886492217581</v>
      </c>
      <c r="F1328" s="13">
        <v>0.012363821176577</v>
      </c>
      <c r="G1328" s="13">
        <v>-6.74456933910818</v>
      </c>
      <c r="H1328" s="63">
        <v>1.5348158013235E-11</v>
      </c>
      <c r="I1328" s="13">
        <v>2813357.0</v>
      </c>
      <c r="J1328" s="31" t="s">
        <v>1796</v>
      </c>
      <c r="K1328" s="31" t="s">
        <v>1793</v>
      </c>
      <c r="L1328" s="31"/>
      <c r="M1328" s="31"/>
      <c r="N1328" s="31"/>
      <c r="O1328" s="31"/>
      <c r="P1328" s="31"/>
      <c r="Q1328" s="31"/>
      <c r="R1328" s="31"/>
      <c r="S1328" s="31"/>
      <c r="T1328" s="31"/>
      <c r="U1328" s="31"/>
      <c r="V1328" s="31"/>
      <c r="W1328" s="31"/>
      <c r="X1328" s="31"/>
      <c r="Y1328" s="31"/>
      <c r="Z1328" s="31"/>
    </row>
    <row r="1329" ht="15.75" customHeight="1">
      <c r="A1329" s="13" t="s">
        <v>1442</v>
      </c>
      <c r="B1329" s="13" t="s">
        <v>411</v>
      </c>
      <c r="C1329" s="13" t="s">
        <v>1797</v>
      </c>
      <c r="D1329" s="13" t="s">
        <v>1474</v>
      </c>
      <c r="E1329" s="13">
        <v>-0.0554551820174701</v>
      </c>
      <c r="F1329" s="13">
        <v>0.0108141339733697</v>
      </c>
      <c r="G1329" s="13">
        <v>-5.12802801907492</v>
      </c>
      <c r="H1329" s="63">
        <v>2.92792873911558E-7</v>
      </c>
      <c r="I1329" s="13">
        <v>2820158.0</v>
      </c>
      <c r="J1329" s="31" t="s">
        <v>1796</v>
      </c>
      <c r="K1329" s="31" t="s">
        <v>1793</v>
      </c>
      <c r="L1329" s="31"/>
      <c r="M1329" s="31"/>
      <c r="N1329" s="31"/>
      <c r="O1329" s="31"/>
      <c r="P1329" s="31"/>
      <c r="Q1329" s="31"/>
      <c r="R1329" s="31"/>
      <c r="S1329" s="31"/>
      <c r="T1329" s="31"/>
      <c r="U1329" s="31"/>
      <c r="V1329" s="31"/>
      <c r="W1329" s="31"/>
      <c r="X1329" s="31"/>
      <c r="Y1329" s="31"/>
      <c r="Z1329" s="31"/>
    </row>
    <row r="1330" ht="15.75" customHeight="1">
      <c r="A1330" s="13" t="s">
        <v>1444</v>
      </c>
      <c r="B1330" s="13" t="s">
        <v>411</v>
      </c>
      <c r="C1330" s="13" t="s">
        <v>570</v>
      </c>
      <c r="D1330" s="13" t="s">
        <v>1474</v>
      </c>
      <c r="E1330" s="13">
        <v>-0.238308779325115</v>
      </c>
      <c r="F1330" s="13">
        <v>0.0144281326069544</v>
      </c>
      <c r="G1330" s="13">
        <v>-16.5169523885752</v>
      </c>
      <c r="H1330" s="63">
        <v>2.77048220417751E-61</v>
      </c>
      <c r="I1330" s="13">
        <v>168726.0</v>
      </c>
      <c r="J1330" s="31" t="s">
        <v>1796</v>
      </c>
      <c r="K1330" s="31" t="s">
        <v>1793</v>
      </c>
      <c r="L1330" s="31"/>
      <c r="M1330" s="31"/>
      <c r="N1330" s="31"/>
      <c r="O1330" s="31"/>
      <c r="P1330" s="31"/>
      <c r="Q1330" s="31"/>
      <c r="R1330" s="31"/>
      <c r="S1330" s="31"/>
      <c r="T1330" s="31"/>
      <c r="U1330" s="31"/>
      <c r="V1330" s="31"/>
      <c r="W1330" s="31"/>
      <c r="X1330" s="31"/>
      <c r="Y1330" s="31"/>
      <c r="Z1330" s="31"/>
    </row>
    <row r="1331" ht="15.75" customHeight="1">
      <c r="A1331" s="13" t="s">
        <v>1444</v>
      </c>
      <c r="B1331" s="13" t="s">
        <v>411</v>
      </c>
      <c r="C1331" s="13" t="s">
        <v>42</v>
      </c>
      <c r="D1331" s="13" t="s">
        <v>1474</v>
      </c>
      <c r="E1331" s="13">
        <v>-0.233480432878332</v>
      </c>
      <c r="F1331" s="13">
        <v>0.0100122434453259</v>
      </c>
      <c r="G1331" s="13">
        <v>-23.3194921950613</v>
      </c>
      <c r="H1331" s="63">
        <v>2.81212820710738E-120</v>
      </c>
      <c r="I1331" s="13">
        <v>2817163.0</v>
      </c>
      <c r="J1331" s="31" t="s">
        <v>1796</v>
      </c>
      <c r="K1331" s="31" t="s">
        <v>1793</v>
      </c>
      <c r="L1331" s="31"/>
      <c r="M1331" s="31"/>
      <c r="N1331" s="31"/>
      <c r="O1331" s="31"/>
      <c r="P1331" s="31"/>
      <c r="Q1331" s="31"/>
      <c r="R1331" s="31"/>
      <c r="S1331" s="31"/>
      <c r="T1331" s="31"/>
      <c r="U1331" s="31"/>
      <c r="V1331" s="31"/>
      <c r="W1331" s="31"/>
      <c r="X1331" s="31"/>
      <c r="Y1331" s="31"/>
      <c r="Z1331" s="31"/>
    </row>
    <row r="1332" ht="15.75" customHeight="1">
      <c r="A1332" s="13" t="s">
        <v>1444</v>
      </c>
      <c r="B1332" s="13" t="s">
        <v>411</v>
      </c>
      <c r="C1332" s="13" t="s">
        <v>55</v>
      </c>
      <c r="D1332" s="13" t="s">
        <v>1474</v>
      </c>
      <c r="E1332" s="13">
        <v>-0.0805356137760129</v>
      </c>
      <c r="F1332" s="13">
        <v>0.0120363364187855</v>
      </c>
      <c r="G1332" s="13">
        <v>-6.6910404440273</v>
      </c>
      <c r="H1332" s="63">
        <v>2.21589405476049E-11</v>
      </c>
      <c r="I1332" s="13">
        <v>2811159.0</v>
      </c>
      <c r="J1332" s="31" t="s">
        <v>1796</v>
      </c>
      <c r="K1332" s="31" t="s">
        <v>1793</v>
      </c>
      <c r="L1332" s="31"/>
      <c r="M1332" s="31"/>
      <c r="N1332" s="31"/>
      <c r="O1332" s="31"/>
      <c r="P1332" s="31"/>
      <c r="Q1332" s="31"/>
      <c r="R1332" s="31"/>
      <c r="S1332" s="31"/>
      <c r="T1332" s="31"/>
      <c r="U1332" s="31"/>
      <c r="V1332" s="31"/>
      <c r="W1332" s="31"/>
      <c r="X1332" s="31"/>
      <c r="Y1332" s="31"/>
      <c r="Z1332" s="31"/>
    </row>
    <row r="1333" ht="15.75" customHeight="1">
      <c r="A1333" s="13" t="s">
        <v>1444</v>
      </c>
      <c r="B1333" s="13" t="s">
        <v>411</v>
      </c>
      <c r="C1333" s="13" t="s">
        <v>1797</v>
      </c>
      <c r="D1333" s="13" t="s">
        <v>1474</v>
      </c>
      <c r="E1333" s="13">
        <v>-0.0667448274380675</v>
      </c>
      <c r="F1333" s="13">
        <v>0.0107090985414504</v>
      </c>
      <c r="G1333" s="13">
        <v>-6.23253462275336</v>
      </c>
      <c r="H1333" s="63">
        <v>4.58948061832641E-10</v>
      </c>
      <c r="I1333" s="13">
        <v>2817966.0</v>
      </c>
      <c r="J1333" s="31" t="s">
        <v>1796</v>
      </c>
      <c r="K1333" s="31" t="s">
        <v>1793</v>
      </c>
      <c r="L1333" s="31"/>
      <c r="M1333" s="31"/>
      <c r="N1333" s="31"/>
      <c r="O1333" s="31"/>
      <c r="P1333" s="31"/>
      <c r="Q1333" s="31"/>
      <c r="R1333" s="31"/>
      <c r="S1333" s="31"/>
      <c r="T1333" s="31"/>
      <c r="U1333" s="31"/>
      <c r="V1333" s="31"/>
      <c r="W1333" s="31"/>
      <c r="X1333" s="31"/>
      <c r="Y1333" s="31"/>
      <c r="Z1333" s="31"/>
    </row>
    <row r="1334" ht="15.75" customHeight="1">
      <c r="A1334" s="13" t="s">
        <v>1445</v>
      </c>
      <c r="B1334" s="13" t="s">
        <v>411</v>
      </c>
      <c r="C1334" s="13" t="s">
        <v>570</v>
      </c>
      <c r="D1334" s="13" t="s">
        <v>1474</v>
      </c>
      <c r="E1334" s="13">
        <v>-0.505631994917818</v>
      </c>
      <c r="F1334" s="13">
        <v>0.0142859652805001</v>
      </c>
      <c r="G1334" s="13">
        <v>-35.3936177913008</v>
      </c>
      <c r="H1334" s="63">
        <v>2.14064192758484E-274</v>
      </c>
      <c r="I1334" s="13">
        <v>167844.0</v>
      </c>
      <c r="J1334" s="31" t="s">
        <v>1796</v>
      </c>
      <c r="K1334" s="31" t="s">
        <v>1793</v>
      </c>
      <c r="L1334" s="31"/>
      <c r="M1334" s="31"/>
      <c r="N1334" s="31"/>
      <c r="O1334" s="31"/>
      <c r="P1334" s="31"/>
      <c r="Q1334" s="31"/>
      <c r="R1334" s="31"/>
      <c r="S1334" s="31"/>
      <c r="T1334" s="31"/>
      <c r="U1334" s="31"/>
      <c r="V1334" s="31"/>
      <c r="W1334" s="31"/>
      <c r="X1334" s="31"/>
      <c r="Y1334" s="31"/>
      <c r="Z1334" s="31"/>
    </row>
    <row r="1335" ht="15.75" customHeight="1">
      <c r="A1335" s="13" t="s">
        <v>1445</v>
      </c>
      <c r="B1335" s="13" t="s">
        <v>411</v>
      </c>
      <c r="C1335" s="13" t="s">
        <v>42</v>
      </c>
      <c r="D1335" s="13" t="s">
        <v>1474</v>
      </c>
      <c r="E1335" s="13">
        <v>-0.499924864413662</v>
      </c>
      <c r="F1335" s="13">
        <v>0.011910216447508</v>
      </c>
      <c r="G1335" s="13">
        <v>-41.9744566874147</v>
      </c>
      <c r="H1335" s="13">
        <v>0.0</v>
      </c>
      <c r="I1335" s="13">
        <v>2803492.0</v>
      </c>
      <c r="J1335" s="31" t="s">
        <v>1796</v>
      </c>
      <c r="K1335" s="31" t="s">
        <v>1793</v>
      </c>
      <c r="L1335" s="31"/>
      <c r="M1335" s="31"/>
      <c r="N1335" s="31"/>
      <c r="O1335" s="31"/>
      <c r="P1335" s="31"/>
      <c r="Q1335" s="31"/>
      <c r="R1335" s="31"/>
      <c r="S1335" s="31"/>
      <c r="T1335" s="31"/>
      <c r="U1335" s="31"/>
      <c r="V1335" s="31"/>
      <c r="W1335" s="31"/>
      <c r="X1335" s="31"/>
      <c r="Y1335" s="31"/>
      <c r="Z1335" s="31"/>
    </row>
    <row r="1336" ht="15.75" customHeight="1">
      <c r="A1336" s="13" t="s">
        <v>1445</v>
      </c>
      <c r="B1336" s="13" t="s">
        <v>411</v>
      </c>
      <c r="C1336" s="13" t="s">
        <v>55</v>
      </c>
      <c r="D1336" s="13" t="s">
        <v>1474</v>
      </c>
      <c r="E1336" s="13">
        <v>-0.398524229077277</v>
      </c>
      <c r="F1336" s="13">
        <v>0.0143269014549574</v>
      </c>
      <c r="G1336" s="13">
        <v>-27.8164982379619</v>
      </c>
      <c r="H1336" s="63">
        <v>2.74003253242916E-170</v>
      </c>
      <c r="I1336" s="13">
        <v>2797516.0</v>
      </c>
      <c r="J1336" s="31" t="s">
        <v>1796</v>
      </c>
      <c r="K1336" s="31" t="s">
        <v>1793</v>
      </c>
      <c r="L1336" s="31"/>
      <c r="M1336" s="31"/>
      <c r="N1336" s="31"/>
      <c r="O1336" s="31"/>
      <c r="P1336" s="31"/>
      <c r="Q1336" s="31"/>
      <c r="R1336" s="31"/>
      <c r="S1336" s="31"/>
      <c r="T1336" s="31"/>
      <c r="U1336" s="31"/>
      <c r="V1336" s="31"/>
      <c r="W1336" s="31"/>
      <c r="X1336" s="31"/>
      <c r="Y1336" s="31"/>
      <c r="Z1336" s="31"/>
    </row>
    <row r="1337" ht="15.75" customHeight="1">
      <c r="A1337" s="13" t="s">
        <v>1445</v>
      </c>
      <c r="B1337" s="13" t="s">
        <v>411</v>
      </c>
      <c r="C1337" s="13" t="s">
        <v>1797</v>
      </c>
      <c r="D1337" s="13" t="s">
        <v>1474</v>
      </c>
      <c r="E1337" s="13">
        <v>-0.353771910489843</v>
      </c>
      <c r="F1337" s="13">
        <v>0.0128868674846245</v>
      </c>
      <c r="G1337" s="13">
        <v>-27.4521260431933</v>
      </c>
      <c r="H1337" s="63">
        <v>6.55321497757073E-166</v>
      </c>
      <c r="I1337" s="13">
        <v>2804292.0</v>
      </c>
      <c r="J1337" s="31" t="s">
        <v>1796</v>
      </c>
      <c r="K1337" s="31" t="s">
        <v>1793</v>
      </c>
      <c r="L1337" s="31"/>
      <c r="M1337" s="31"/>
      <c r="N1337" s="31"/>
      <c r="O1337" s="31"/>
      <c r="P1337" s="31"/>
      <c r="Q1337" s="31"/>
      <c r="R1337" s="31"/>
      <c r="S1337" s="31"/>
      <c r="T1337" s="31"/>
      <c r="U1337" s="31"/>
      <c r="V1337" s="31"/>
      <c r="W1337" s="31"/>
      <c r="X1337" s="31"/>
      <c r="Y1337" s="31"/>
      <c r="Z1337" s="31"/>
    </row>
    <row r="1338" ht="15.75" customHeight="1">
      <c r="A1338" s="13" t="s">
        <v>1447</v>
      </c>
      <c r="B1338" s="13" t="s">
        <v>411</v>
      </c>
      <c r="C1338" s="13" t="s">
        <v>570</v>
      </c>
      <c r="D1338" s="13" t="s">
        <v>1474</v>
      </c>
      <c r="E1338" s="13">
        <v>-0.231717430705344</v>
      </c>
      <c r="F1338" s="13">
        <v>0.0131845275742796</v>
      </c>
      <c r="G1338" s="13">
        <v>-17.5749513511108</v>
      </c>
      <c r="H1338" s="63">
        <v>3.83218898854749E-69</v>
      </c>
      <c r="I1338" s="13">
        <v>168193.0</v>
      </c>
      <c r="J1338" s="31" t="s">
        <v>1796</v>
      </c>
      <c r="K1338" s="31" t="s">
        <v>1793</v>
      </c>
      <c r="L1338" s="31"/>
      <c r="M1338" s="31"/>
      <c r="N1338" s="31"/>
      <c r="O1338" s="31"/>
      <c r="P1338" s="31"/>
      <c r="Q1338" s="31"/>
      <c r="R1338" s="31"/>
      <c r="S1338" s="31"/>
      <c r="T1338" s="31"/>
      <c r="U1338" s="31"/>
      <c r="V1338" s="31"/>
      <c r="W1338" s="31"/>
      <c r="X1338" s="31"/>
      <c r="Y1338" s="31"/>
      <c r="Z1338" s="31"/>
    </row>
    <row r="1339" ht="15.75" customHeight="1">
      <c r="A1339" s="13" t="s">
        <v>1447</v>
      </c>
      <c r="B1339" s="13" t="s">
        <v>411</v>
      </c>
      <c r="C1339" s="13" t="s">
        <v>42</v>
      </c>
      <c r="D1339" s="13" t="s">
        <v>1474</v>
      </c>
      <c r="E1339" s="13">
        <v>-0.217002470686958</v>
      </c>
      <c r="F1339" s="13">
        <v>0.00828549558261981</v>
      </c>
      <c r="G1339" s="13">
        <v>-26.1906446661026</v>
      </c>
      <c r="H1339" s="63">
        <v>3.39657933120746E-151</v>
      </c>
      <c r="I1339" s="13">
        <v>2808903.0</v>
      </c>
      <c r="J1339" s="31" t="s">
        <v>1796</v>
      </c>
      <c r="K1339" s="31" t="s">
        <v>1793</v>
      </c>
      <c r="L1339" s="31"/>
      <c r="M1339" s="31"/>
      <c r="N1339" s="31"/>
      <c r="O1339" s="31"/>
      <c r="P1339" s="31"/>
      <c r="Q1339" s="31"/>
      <c r="R1339" s="31"/>
      <c r="S1339" s="31"/>
      <c r="T1339" s="31"/>
      <c r="U1339" s="31"/>
      <c r="V1339" s="31"/>
      <c r="W1339" s="31"/>
      <c r="X1339" s="31"/>
      <c r="Y1339" s="31"/>
      <c r="Z1339" s="31"/>
    </row>
    <row r="1340" ht="15.75" customHeight="1">
      <c r="A1340" s="13" t="s">
        <v>1447</v>
      </c>
      <c r="B1340" s="13" t="s">
        <v>411</v>
      </c>
      <c r="C1340" s="13" t="s">
        <v>55</v>
      </c>
      <c r="D1340" s="13" t="s">
        <v>1474</v>
      </c>
      <c r="E1340" s="13">
        <v>-0.0552941655625846</v>
      </c>
      <c r="F1340" s="13">
        <v>0.0104660809937563</v>
      </c>
      <c r="G1340" s="13">
        <v>-5.28317768566583</v>
      </c>
      <c r="H1340" s="63">
        <v>1.26962140632389E-7</v>
      </c>
      <c r="I1340" s="13">
        <v>2802908.0</v>
      </c>
      <c r="J1340" s="31" t="s">
        <v>1796</v>
      </c>
      <c r="K1340" s="31" t="s">
        <v>1793</v>
      </c>
      <c r="L1340" s="31"/>
      <c r="M1340" s="31"/>
      <c r="N1340" s="31"/>
      <c r="O1340" s="31"/>
      <c r="P1340" s="31"/>
      <c r="Q1340" s="31"/>
      <c r="R1340" s="31"/>
      <c r="S1340" s="31"/>
      <c r="T1340" s="31"/>
      <c r="U1340" s="31"/>
      <c r="V1340" s="31"/>
      <c r="W1340" s="31"/>
      <c r="X1340" s="31"/>
      <c r="Y1340" s="31"/>
      <c r="Z1340" s="31"/>
    </row>
    <row r="1341" ht="15.75" customHeight="1">
      <c r="A1341" s="13" t="s">
        <v>1447</v>
      </c>
      <c r="B1341" s="13" t="s">
        <v>411</v>
      </c>
      <c r="C1341" s="13" t="s">
        <v>1797</v>
      </c>
      <c r="D1341" s="13" t="s">
        <v>1474</v>
      </c>
      <c r="E1341" s="13">
        <v>-0.0362371041749194</v>
      </c>
      <c r="F1341" s="13">
        <v>0.00889426176098423</v>
      </c>
      <c r="G1341" s="13">
        <v>-4.07421157019213</v>
      </c>
      <c r="H1341" s="63">
        <v>4.61704946331946E-5</v>
      </c>
      <c r="I1341" s="13">
        <v>2809706.0</v>
      </c>
      <c r="J1341" s="31" t="s">
        <v>1796</v>
      </c>
      <c r="K1341" s="31" t="s">
        <v>1793</v>
      </c>
      <c r="L1341" s="31"/>
      <c r="M1341" s="31"/>
      <c r="N1341" s="31"/>
      <c r="O1341" s="31"/>
      <c r="P1341" s="31"/>
      <c r="Q1341" s="31"/>
      <c r="R1341" s="31"/>
      <c r="S1341" s="31"/>
      <c r="T1341" s="31"/>
      <c r="U1341" s="31"/>
      <c r="V1341" s="31"/>
      <c r="W1341" s="31"/>
      <c r="X1341" s="31"/>
      <c r="Y1341" s="31"/>
      <c r="Z1341" s="31"/>
    </row>
    <row r="1342" ht="15.75" customHeight="1">
      <c r="A1342" s="13" t="s">
        <v>1449</v>
      </c>
      <c r="B1342" s="13" t="s">
        <v>411</v>
      </c>
      <c r="C1342" s="13" t="s">
        <v>570</v>
      </c>
      <c r="D1342" s="13" t="s">
        <v>1474</v>
      </c>
      <c r="E1342" s="13">
        <v>-0.234197666722762</v>
      </c>
      <c r="F1342" s="13">
        <v>0.0144600417229112</v>
      </c>
      <c r="G1342" s="13">
        <v>-16.1961957794137</v>
      </c>
      <c r="H1342" s="63">
        <v>5.36446884184699E-59</v>
      </c>
      <c r="I1342" s="13">
        <v>168420.0</v>
      </c>
      <c r="J1342" s="31" t="s">
        <v>1796</v>
      </c>
      <c r="K1342" s="31" t="s">
        <v>1793</v>
      </c>
      <c r="L1342" s="31"/>
      <c r="M1342" s="31"/>
      <c r="N1342" s="31"/>
      <c r="O1342" s="31"/>
      <c r="P1342" s="31"/>
      <c r="Q1342" s="31"/>
      <c r="R1342" s="31"/>
      <c r="S1342" s="31"/>
      <c r="T1342" s="31"/>
      <c r="U1342" s="31"/>
      <c r="V1342" s="31"/>
      <c r="W1342" s="31"/>
      <c r="X1342" s="31"/>
      <c r="Y1342" s="31"/>
      <c r="Z1342" s="31"/>
    </row>
    <row r="1343" ht="15.75" customHeight="1">
      <c r="A1343" s="13" t="s">
        <v>1449</v>
      </c>
      <c r="B1343" s="13" t="s">
        <v>411</v>
      </c>
      <c r="C1343" s="13" t="s">
        <v>42</v>
      </c>
      <c r="D1343" s="13" t="s">
        <v>1474</v>
      </c>
      <c r="E1343" s="13">
        <v>-0.2209721222005</v>
      </c>
      <c r="F1343" s="13">
        <v>0.010077564933889</v>
      </c>
      <c r="G1343" s="13">
        <v>-21.9271345459071</v>
      </c>
      <c r="H1343" s="63">
        <v>1.43163872889565E-106</v>
      </c>
      <c r="I1343" s="13">
        <v>2812398.0</v>
      </c>
      <c r="J1343" s="31" t="s">
        <v>1796</v>
      </c>
      <c r="K1343" s="31" t="s">
        <v>1793</v>
      </c>
      <c r="L1343" s="31"/>
      <c r="M1343" s="31"/>
      <c r="N1343" s="31"/>
      <c r="O1343" s="31"/>
      <c r="P1343" s="31"/>
      <c r="Q1343" s="31"/>
      <c r="R1343" s="31"/>
      <c r="S1343" s="31"/>
      <c r="T1343" s="31"/>
      <c r="U1343" s="31"/>
      <c r="V1343" s="31"/>
      <c r="W1343" s="31"/>
      <c r="X1343" s="31"/>
      <c r="Y1343" s="31"/>
      <c r="Z1343" s="31"/>
    </row>
    <row r="1344" ht="15.75" customHeight="1">
      <c r="A1344" s="13" t="s">
        <v>1449</v>
      </c>
      <c r="B1344" s="13" t="s">
        <v>411</v>
      </c>
      <c r="C1344" s="13" t="s">
        <v>55</v>
      </c>
      <c r="D1344" s="13" t="s">
        <v>1474</v>
      </c>
      <c r="E1344" s="13">
        <v>-0.0603010681303609</v>
      </c>
      <c r="F1344" s="13">
        <v>0.012317592293582</v>
      </c>
      <c r="G1344" s="13">
        <v>-4.89552395412374</v>
      </c>
      <c r="H1344" s="63">
        <v>9.80441475847248E-7</v>
      </c>
      <c r="I1344" s="13">
        <v>2806397.0</v>
      </c>
      <c r="J1344" s="31" t="s">
        <v>1796</v>
      </c>
      <c r="K1344" s="31" t="s">
        <v>1793</v>
      </c>
      <c r="L1344" s="31"/>
      <c r="M1344" s="31"/>
      <c r="N1344" s="31"/>
      <c r="O1344" s="31"/>
      <c r="P1344" s="31"/>
      <c r="Q1344" s="31"/>
      <c r="R1344" s="31"/>
      <c r="S1344" s="31"/>
      <c r="T1344" s="31"/>
      <c r="U1344" s="31"/>
      <c r="V1344" s="31"/>
      <c r="W1344" s="31"/>
      <c r="X1344" s="31"/>
      <c r="Y1344" s="31"/>
      <c r="Z1344" s="31"/>
    </row>
    <row r="1345" ht="15.75" customHeight="1">
      <c r="A1345" s="13" t="s">
        <v>1449</v>
      </c>
      <c r="B1345" s="13" t="s">
        <v>411</v>
      </c>
      <c r="C1345" s="13" t="s">
        <v>1797</v>
      </c>
      <c r="D1345" s="13" t="s">
        <v>1474</v>
      </c>
      <c r="E1345" s="13">
        <v>-0.0438767856149954</v>
      </c>
      <c r="F1345" s="13">
        <v>0.0117331735452223</v>
      </c>
      <c r="G1345" s="13">
        <v>-3.73954970033335</v>
      </c>
      <c r="H1345" s="63">
        <v>1.84350197765363E-4</v>
      </c>
      <c r="I1345" s="13">
        <v>2813200.0</v>
      </c>
      <c r="J1345" s="31" t="s">
        <v>1796</v>
      </c>
      <c r="K1345" s="31" t="s">
        <v>1793</v>
      </c>
      <c r="L1345" s="31"/>
      <c r="M1345" s="31"/>
      <c r="N1345" s="31"/>
      <c r="O1345" s="31"/>
      <c r="P1345" s="31"/>
      <c r="Q1345" s="31"/>
      <c r="R1345" s="31"/>
      <c r="S1345" s="31"/>
      <c r="T1345" s="31"/>
      <c r="U1345" s="31"/>
      <c r="V1345" s="31"/>
      <c r="W1345" s="31"/>
      <c r="X1345" s="31"/>
      <c r="Y1345" s="31"/>
      <c r="Z1345" s="31"/>
    </row>
    <row r="1346" ht="15.75" customHeight="1">
      <c r="A1346" s="13" t="s">
        <v>1451</v>
      </c>
      <c r="B1346" s="13" t="s">
        <v>411</v>
      </c>
      <c r="C1346" s="13" t="s">
        <v>570</v>
      </c>
      <c r="D1346" s="13" t="s">
        <v>1474</v>
      </c>
      <c r="E1346" s="13">
        <v>-0.201666491861222</v>
      </c>
      <c r="F1346" s="13">
        <v>0.0136934261625294</v>
      </c>
      <c r="G1346" s="13">
        <v>-14.7272486423493</v>
      </c>
      <c r="H1346" s="63">
        <v>4.30894834510281E-49</v>
      </c>
      <c r="I1346" s="13">
        <v>168599.0</v>
      </c>
      <c r="J1346" s="31" t="s">
        <v>1796</v>
      </c>
      <c r="K1346" s="31" t="s">
        <v>1793</v>
      </c>
      <c r="L1346" s="31"/>
      <c r="M1346" s="31"/>
      <c r="N1346" s="31"/>
      <c r="O1346" s="31"/>
      <c r="P1346" s="31"/>
      <c r="Q1346" s="31"/>
      <c r="R1346" s="31"/>
      <c r="S1346" s="31"/>
      <c r="T1346" s="31"/>
      <c r="U1346" s="31"/>
      <c r="V1346" s="31"/>
      <c r="W1346" s="31"/>
      <c r="X1346" s="31"/>
      <c r="Y1346" s="31"/>
      <c r="Z1346" s="31"/>
    </row>
    <row r="1347" ht="15.75" customHeight="1">
      <c r="A1347" s="13" t="s">
        <v>1451</v>
      </c>
      <c r="B1347" s="13" t="s">
        <v>411</v>
      </c>
      <c r="C1347" s="13" t="s">
        <v>42</v>
      </c>
      <c r="D1347" s="13" t="s">
        <v>1474</v>
      </c>
      <c r="E1347" s="13">
        <v>-0.196572260651712</v>
      </c>
      <c r="F1347" s="13">
        <v>0.008269315772959</v>
      </c>
      <c r="G1347" s="13">
        <v>-23.771284837678</v>
      </c>
      <c r="H1347" s="63">
        <v>6.62012070995673E-125</v>
      </c>
      <c r="I1347" s="13">
        <v>2815527.0</v>
      </c>
      <c r="J1347" s="31" t="s">
        <v>1796</v>
      </c>
      <c r="K1347" s="31" t="s">
        <v>1793</v>
      </c>
      <c r="L1347" s="31"/>
      <c r="M1347" s="31"/>
      <c r="N1347" s="31"/>
      <c r="O1347" s="31"/>
      <c r="P1347" s="31"/>
      <c r="Q1347" s="31"/>
      <c r="R1347" s="31"/>
      <c r="S1347" s="31"/>
      <c r="T1347" s="31"/>
      <c r="U1347" s="31"/>
      <c r="V1347" s="31"/>
      <c r="W1347" s="31"/>
      <c r="X1347" s="31"/>
      <c r="Y1347" s="31"/>
      <c r="Z1347" s="31"/>
    </row>
    <row r="1348" ht="15.75" customHeight="1">
      <c r="A1348" s="13" t="s">
        <v>1451</v>
      </c>
      <c r="B1348" s="13" t="s">
        <v>411</v>
      </c>
      <c r="C1348" s="13" t="s">
        <v>55</v>
      </c>
      <c r="D1348" s="13" t="s">
        <v>1474</v>
      </c>
      <c r="E1348" s="13">
        <v>-0.0475553725295595</v>
      </c>
      <c r="F1348" s="13">
        <v>0.00981119609299786</v>
      </c>
      <c r="G1348" s="13">
        <v>-4.84705147861627</v>
      </c>
      <c r="H1348" s="63">
        <v>1.25309920172773E-6</v>
      </c>
      <c r="I1348" s="13">
        <v>2809513.0</v>
      </c>
      <c r="J1348" s="31" t="s">
        <v>1796</v>
      </c>
      <c r="K1348" s="31" t="s">
        <v>1793</v>
      </c>
      <c r="L1348" s="31"/>
      <c r="M1348" s="31"/>
      <c r="N1348" s="31"/>
      <c r="O1348" s="31"/>
      <c r="P1348" s="31"/>
      <c r="Q1348" s="31"/>
      <c r="R1348" s="31"/>
      <c r="S1348" s="31"/>
      <c r="T1348" s="31"/>
      <c r="U1348" s="31"/>
      <c r="V1348" s="31"/>
      <c r="W1348" s="31"/>
      <c r="X1348" s="31"/>
      <c r="Y1348" s="31"/>
      <c r="Z1348" s="31"/>
    </row>
    <row r="1349" ht="15.75" customHeight="1">
      <c r="A1349" s="13" t="s">
        <v>1451</v>
      </c>
      <c r="B1349" s="13" t="s">
        <v>411</v>
      </c>
      <c r="C1349" s="13" t="s">
        <v>1797</v>
      </c>
      <c r="D1349" s="13" t="s">
        <v>1474</v>
      </c>
      <c r="E1349" s="13">
        <v>-0.0356949885850618</v>
      </c>
      <c r="F1349" s="13">
        <v>0.00865511877905066</v>
      </c>
      <c r="G1349" s="13">
        <v>-4.12414774381375</v>
      </c>
      <c r="H1349" s="63">
        <v>3.72109994614891E-5</v>
      </c>
      <c r="I1349" s="13">
        <v>2816331.0</v>
      </c>
      <c r="J1349" s="31" t="s">
        <v>1796</v>
      </c>
      <c r="K1349" s="31" t="s">
        <v>1793</v>
      </c>
      <c r="L1349" s="31"/>
      <c r="M1349" s="31"/>
      <c r="N1349" s="31"/>
      <c r="O1349" s="31"/>
      <c r="P1349" s="31"/>
      <c r="Q1349" s="31"/>
      <c r="R1349" s="31"/>
      <c r="S1349" s="31"/>
      <c r="T1349" s="31"/>
      <c r="U1349" s="31"/>
      <c r="V1349" s="31"/>
      <c r="W1349" s="31"/>
      <c r="X1349" s="31"/>
      <c r="Y1349" s="31"/>
      <c r="Z1349" s="31"/>
    </row>
    <row r="1350" ht="15.75" customHeight="1">
      <c r="A1350" s="13" t="s">
        <v>1453</v>
      </c>
      <c r="B1350" s="13" t="s">
        <v>411</v>
      </c>
      <c r="C1350" s="13" t="s">
        <v>570</v>
      </c>
      <c r="D1350" s="13" t="s">
        <v>1474</v>
      </c>
      <c r="E1350" s="13">
        <v>-0.0580642446618775</v>
      </c>
      <c r="F1350" s="13">
        <v>0.0128352573545824</v>
      </c>
      <c r="G1350" s="13">
        <v>-4.52380837078793</v>
      </c>
      <c r="H1350" s="63">
        <v>6.07367198542165E-6</v>
      </c>
      <c r="I1350" s="13">
        <v>168897.0</v>
      </c>
      <c r="J1350" s="31" t="s">
        <v>1796</v>
      </c>
      <c r="K1350" s="31" t="s">
        <v>1793</v>
      </c>
      <c r="L1350" s="31"/>
      <c r="M1350" s="31"/>
      <c r="N1350" s="31"/>
      <c r="O1350" s="31"/>
      <c r="P1350" s="31"/>
      <c r="Q1350" s="31"/>
      <c r="R1350" s="31"/>
      <c r="S1350" s="31"/>
      <c r="T1350" s="31"/>
      <c r="U1350" s="31"/>
      <c r="V1350" s="31"/>
      <c r="W1350" s="31"/>
      <c r="X1350" s="31"/>
      <c r="Y1350" s="31"/>
      <c r="Z1350" s="31"/>
    </row>
    <row r="1351" ht="15.75" customHeight="1">
      <c r="A1351" s="13" t="s">
        <v>1453</v>
      </c>
      <c r="B1351" s="13" t="s">
        <v>411</v>
      </c>
      <c r="C1351" s="13" t="s">
        <v>42</v>
      </c>
      <c r="D1351" s="13" t="s">
        <v>1474</v>
      </c>
      <c r="E1351" s="13">
        <v>0.0115823908029771</v>
      </c>
      <c r="F1351" s="13">
        <v>0.00526461740541859</v>
      </c>
      <c r="G1351" s="13">
        <v>2.20004416485345</v>
      </c>
      <c r="H1351" s="13">
        <v>0.0278037617188324</v>
      </c>
      <c r="I1351" s="13">
        <v>2819780.0</v>
      </c>
      <c r="J1351" s="31" t="s">
        <v>1796</v>
      </c>
      <c r="K1351" s="31" t="s">
        <v>1793</v>
      </c>
      <c r="L1351" s="31"/>
      <c r="M1351" s="31"/>
      <c r="N1351" s="31"/>
      <c r="O1351" s="31"/>
      <c r="P1351" s="31"/>
      <c r="Q1351" s="31"/>
      <c r="R1351" s="31"/>
      <c r="S1351" s="31"/>
      <c r="T1351" s="31"/>
      <c r="U1351" s="31"/>
      <c r="V1351" s="31"/>
      <c r="W1351" s="31"/>
      <c r="X1351" s="31"/>
      <c r="Y1351" s="31"/>
      <c r="Z1351" s="31"/>
    </row>
    <row r="1352" ht="15.75" customHeight="1">
      <c r="A1352" s="13" t="s">
        <v>1453</v>
      </c>
      <c r="B1352" s="13" t="s">
        <v>411</v>
      </c>
      <c r="C1352" s="13" t="s">
        <v>55</v>
      </c>
      <c r="D1352" s="13" t="s">
        <v>1474</v>
      </c>
      <c r="E1352" s="13">
        <v>-0.0478444807594697</v>
      </c>
      <c r="F1352" s="13">
        <v>0.0056503297841112</v>
      </c>
      <c r="G1352" s="13">
        <v>-8.46755545030469</v>
      </c>
      <c r="H1352" s="63">
        <v>2.50596635788596E-17</v>
      </c>
      <c r="I1352" s="13">
        <v>2813754.0</v>
      </c>
      <c r="J1352" s="31" t="s">
        <v>1796</v>
      </c>
      <c r="K1352" s="31" t="s">
        <v>1793</v>
      </c>
      <c r="L1352" s="31"/>
      <c r="M1352" s="31"/>
      <c r="N1352" s="31"/>
      <c r="O1352" s="31"/>
      <c r="P1352" s="31"/>
      <c r="Q1352" s="31"/>
      <c r="R1352" s="31"/>
      <c r="S1352" s="31"/>
      <c r="T1352" s="31"/>
      <c r="U1352" s="31"/>
      <c r="V1352" s="31"/>
      <c r="W1352" s="31"/>
      <c r="X1352" s="31"/>
      <c r="Y1352" s="31"/>
      <c r="Z1352" s="31"/>
    </row>
    <row r="1353" ht="15.75" customHeight="1">
      <c r="A1353" s="13" t="s">
        <v>1453</v>
      </c>
      <c r="B1353" s="13" t="s">
        <v>411</v>
      </c>
      <c r="C1353" s="13" t="s">
        <v>1797</v>
      </c>
      <c r="D1353" s="13" t="s">
        <v>1474</v>
      </c>
      <c r="E1353" s="13">
        <v>-0.0120237354014163</v>
      </c>
      <c r="F1353" s="13">
        <v>0.0049428617038331</v>
      </c>
      <c r="G1353" s="13">
        <v>-2.43254537995513</v>
      </c>
      <c r="H1353" s="13">
        <v>0.0149931125954654</v>
      </c>
      <c r="I1353" s="13">
        <v>2820584.0</v>
      </c>
      <c r="J1353" s="31" t="s">
        <v>1796</v>
      </c>
      <c r="K1353" s="31" t="s">
        <v>1793</v>
      </c>
      <c r="L1353" s="31"/>
      <c r="M1353" s="31"/>
      <c r="N1353" s="31"/>
      <c r="O1353" s="31"/>
      <c r="P1353" s="31"/>
      <c r="Q1353" s="31"/>
      <c r="R1353" s="31"/>
      <c r="S1353" s="31"/>
      <c r="T1353" s="31"/>
      <c r="U1353" s="31"/>
      <c r="V1353" s="31"/>
      <c r="W1353" s="31"/>
      <c r="X1353" s="31"/>
      <c r="Y1353" s="31"/>
      <c r="Z1353" s="31"/>
    </row>
    <row r="1354" ht="15.75" customHeight="1">
      <c r="A1354" s="13" t="s">
        <v>625</v>
      </c>
      <c r="B1354" s="13" t="s">
        <v>411</v>
      </c>
      <c r="C1354" s="13" t="s">
        <v>570</v>
      </c>
      <c r="D1354" s="13" t="s">
        <v>1474</v>
      </c>
      <c r="E1354" s="13">
        <v>-0.569491948542179</v>
      </c>
      <c r="F1354" s="13">
        <v>0.0488631483447136</v>
      </c>
      <c r="G1354" s="13">
        <v>-11.6548353479926</v>
      </c>
      <c r="H1354" s="63">
        <v>2.16799080509258E-31</v>
      </c>
      <c r="I1354" s="13">
        <v>3716.0</v>
      </c>
      <c r="J1354" s="31" t="s">
        <v>1796</v>
      </c>
      <c r="K1354" s="31" t="s">
        <v>1793</v>
      </c>
      <c r="L1354" s="31"/>
      <c r="M1354" s="31"/>
      <c r="N1354" s="31"/>
      <c r="O1354" s="31"/>
      <c r="P1354" s="31"/>
      <c r="Q1354" s="31"/>
      <c r="R1354" s="31"/>
      <c r="S1354" s="31"/>
      <c r="T1354" s="31"/>
      <c r="U1354" s="31"/>
      <c r="V1354" s="31"/>
      <c r="W1354" s="31"/>
      <c r="X1354" s="31"/>
      <c r="Y1354" s="31"/>
      <c r="Z1354" s="31"/>
    </row>
    <row r="1355" ht="15.75" customHeight="1">
      <c r="A1355" s="13" t="s">
        <v>625</v>
      </c>
      <c r="B1355" s="13" t="s">
        <v>411</v>
      </c>
      <c r="C1355" s="13" t="s">
        <v>42</v>
      </c>
      <c r="D1355" s="13" t="s">
        <v>1474</v>
      </c>
      <c r="E1355" s="13">
        <v>-0.571734690180345</v>
      </c>
      <c r="F1355" s="13">
        <v>0.0123807074083105</v>
      </c>
      <c r="G1355" s="13">
        <v>-46.179484848868</v>
      </c>
      <c r="H1355" s="13">
        <v>0.0</v>
      </c>
      <c r="I1355" s="13">
        <v>49313.0</v>
      </c>
      <c r="J1355" s="31" t="s">
        <v>1796</v>
      </c>
      <c r="K1355" s="31" t="s">
        <v>1793</v>
      </c>
      <c r="L1355" s="31"/>
      <c r="M1355" s="31"/>
      <c r="N1355" s="31"/>
      <c r="O1355" s="31"/>
      <c r="P1355" s="31"/>
      <c r="Q1355" s="31"/>
      <c r="R1355" s="31"/>
      <c r="S1355" s="31"/>
      <c r="T1355" s="31"/>
      <c r="U1355" s="31"/>
      <c r="V1355" s="31"/>
      <c r="W1355" s="31"/>
      <c r="X1355" s="31"/>
      <c r="Y1355" s="31"/>
      <c r="Z1355" s="31"/>
    </row>
    <row r="1356" ht="15.75" customHeight="1">
      <c r="A1356" s="13" t="s">
        <v>625</v>
      </c>
      <c r="B1356" s="13" t="s">
        <v>411</v>
      </c>
      <c r="C1356" s="13" t="s">
        <v>55</v>
      </c>
      <c r="D1356" s="13" t="s">
        <v>1474</v>
      </c>
      <c r="E1356" s="13">
        <v>-0.50286050589143</v>
      </c>
      <c r="F1356" s="13">
        <v>0.014419071845803</v>
      </c>
      <c r="G1356" s="13">
        <v>-34.8746792629235</v>
      </c>
      <c r="H1356" s="63">
        <v>1.79972697677557E-266</v>
      </c>
      <c r="I1356" s="13">
        <v>49296.0</v>
      </c>
      <c r="J1356" s="31" t="s">
        <v>1796</v>
      </c>
      <c r="K1356" s="31" t="s">
        <v>1793</v>
      </c>
      <c r="L1356" s="31"/>
      <c r="M1356" s="31"/>
      <c r="N1356" s="31"/>
      <c r="O1356" s="31"/>
      <c r="P1356" s="31"/>
      <c r="Q1356" s="31"/>
      <c r="R1356" s="31"/>
      <c r="S1356" s="31"/>
      <c r="T1356" s="31"/>
      <c r="U1356" s="31"/>
      <c r="V1356" s="31"/>
      <c r="W1356" s="31"/>
      <c r="X1356" s="31"/>
      <c r="Y1356" s="31"/>
      <c r="Z1356" s="31"/>
    </row>
    <row r="1357" ht="15.75" customHeight="1">
      <c r="A1357" s="13" t="s">
        <v>625</v>
      </c>
      <c r="B1357" s="13" t="s">
        <v>411</v>
      </c>
      <c r="C1357" s="13" t="s">
        <v>1797</v>
      </c>
      <c r="D1357" s="13" t="s">
        <v>1474</v>
      </c>
      <c r="E1357" s="13">
        <v>0.229081230333569</v>
      </c>
      <c r="F1357" s="13">
        <v>0.0158596709412981</v>
      </c>
      <c r="G1357" s="13">
        <v>14.4442612448564</v>
      </c>
      <c r="H1357" s="63">
        <v>2.72462954335124E-47</v>
      </c>
      <c r="I1357" s="13">
        <v>49312.0</v>
      </c>
      <c r="J1357" s="31" t="s">
        <v>1796</v>
      </c>
      <c r="K1357" s="31" t="s">
        <v>1793</v>
      </c>
      <c r="L1357" s="31"/>
      <c r="M1357" s="31"/>
      <c r="N1357" s="31"/>
      <c r="O1357" s="31"/>
      <c r="P1357" s="31"/>
      <c r="Q1357" s="31"/>
      <c r="R1357" s="31"/>
      <c r="S1357" s="31"/>
      <c r="T1357" s="31"/>
      <c r="U1357" s="31"/>
      <c r="V1357" s="31"/>
      <c r="W1357" s="31"/>
      <c r="X1357" s="31"/>
      <c r="Y1357" s="31"/>
      <c r="Z1357" s="31"/>
    </row>
    <row r="1358" ht="15.75" customHeight="1">
      <c r="A1358" s="13" t="s">
        <v>629</v>
      </c>
      <c r="B1358" s="13" t="s">
        <v>411</v>
      </c>
      <c r="C1358" s="13" t="s">
        <v>570</v>
      </c>
      <c r="D1358" s="13" t="s">
        <v>1474</v>
      </c>
      <c r="E1358" s="13">
        <v>-0.496778043729905</v>
      </c>
      <c r="F1358" s="13">
        <v>0.0526889058525844</v>
      </c>
      <c r="G1358" s="13">
        <v>-9.42851318871215</v>
      </c>
      <c r="H1358" s="63">
        <v>4.15942895434597E-21</v>
      </c>
      <c r="I1358" s="13">
        <v>4130.0</v>
      </c>
      <c r="J1358" s="31" t="s">
        <v>1796</v>
      </c>
      <c r="K1358" s="31" t="s">
        <v>1793</v>
      </c>
      <c r="L1358" s="31"/>
      <c r="M1358" s="31"/>
      <c r="N1358" s="31"/>
      <c r="O1358" s="31"/>
      <c r="P1358" s="31"/>
      <c r="Q1358" s="31"/>
      <c r="R1358" s="31"/>
      <c r="S1358" s="31"/>
      <c r="T1358" s="31"/>
      <c r="U1358" s="31"/>
      <c r="V1358" s="31"/>
      <c r="W1358" s="31"/>
      <c r="X1358" s="31"/>
      <c r="Y1358" s="31"/>
      <c r="Z1358" s="31"/>
    </row>
    <row r="1359" ht="15.75" customHeight="1">
      <c r="A1359" s="13" t="s">
        <v>629</v>
      </c>
      <c r="B1359" s="13" t="s">
        <v>411</v>
      </c>
      <c r="C1359" s="13" t="s">
        <v>42</v>
      </c>
      <c r="D1359" s="13" t="s">
        <v>1474</v>
      </c>
      <c r="E1359" s="13">
        <v>-0.492048549780607</v>
      </c>
      <c r="F1359" s="13">
        <v>0.0140870630134634</v>
      </c>
      <c r="G1359" s="13">
        <v>-34.9291083109616</v>
      </c>
      <c r="H1359" s="63">
        <v>2.68850768569991E-267</v>
      </c>
      <c r="I1359" s="13">
        <v>59409.0</v>
      </c>
      <c r="J1359" s="31" t="s">
        <v>1796</v>
      </c>
      <c r="K1359" s="31" t="s">
        <v>1793</v>
      </c>
      <c r="L1359" s="31"/>
      <c r="M1359" s="31"/>
      <c r="N1359" s="31"/>
      <c r="O1359" s="31"/>
      <c r="P1359" s="31"/>
      <c r="Q1359" s="31"/>
      <c r="R1359" s="31"/>
      <c r="S1359" s="31"/>
      <c r="T1359" s="31"/>
      <c r="U1359" s="31"/>
      <c r="V1359" s="31"/>
      <c r="W1359" s="31"/>
      <c r="X1359" s="31"/>
      <c r="Y1359" s="31"/>
      <c r="Z1359" s="31"/>
    </row>
    <row r="1360" ht="15.75" customHeight="1">
      <c r="A1360" s="13" t="s">
        <v>629</v>
      </c>
      <c r="B1360" s="13" t="s">
        <v>411</v>
      </c>
      <c r="C1360" s="13" t="s">
        <v>55</v>
      </c>
      <c r="D1360" s="13" t="s">
        <v>1474</v>
      </c>
      <c r="E1360" s="13">
        <v>-0.429309831282021</v>
      </c>
      <c r="F1360" s="13">
        <v>0.0158995890921926</v>
      </c>
      <c r="G1360" s="13">
        <v>-27.0013161216115</v>
      </c>
      <c r="H1360" s="63">
        <v>1.42623032917196E-160</v>
      </c>
      <c r="I1360" s="13">
        <v>59392.0</v>
      </c>
      <c r="J1360" s="31" t="s">
        <v>1796</v>
      </c>
      <c r="K1360" s="31" t="s">
        <v>1793</v>
      </c>
      <c r="L1360" s="31"/>
      <c r="M1360" s="31"/>
      <c r="N1360" s="31"/>
      <c r="O1360" s="31"/>
      <c r="P1360" s="31"/>
      <c r="Q1360" s="31"/>
      <c r="R1360" s="31"/>
      <c r="S1360" s="31"/>
      <c r="T1360" s="31"/>
      <c r="U1360" s="31"/>
      <c r="V1360" s="31"/>
      <c r="W1360" s="31"/>
      <c r="X1360" s="31"/>
      <c r="Y1360" s="31"/>
      <c r="Z1360" s="31"/>
    </row>
    <row r="1361" ht="15.75" customHeight="1">
      <c r="A1361" s="13" t="s">
        <v>629</v>
      </c>
      <c r="B1361" s="13" t="s">
        <v>411</v>
      </c>
      <c r="C1361" s="13" t="s">
        <v>1797</v>
      </c>
      <c r="D1361" s="13" t="s">
        <v>1474</v>
      </c>
      <c r="E1361" s="13">
        <v>0.231171658837582</v>
      </c>
      <c r="F1361" s="13">
        <v>0.0159893318777569</v>
      </c>
      <c r="G1361" s="13">
        <v>14.4578685716799</v>
      </c>
      <c r="H1361" s="63">
        <v>2.23615819836302E-47</v>
      </c>
      <c r="I1361" s="13">
        <v>59407.0</v>
      </c>
      <c r="J1361" s="31" t="s">
        <v>1796</v>
      </c>
      <c r="K1361" s="31" t="s">
        <v>1793</v>
      </c>
      <c r="L1361" s="31"/>
      <c r="M1361" s="31"/>
      <c r="N1361" s="31"/>
      <c r="O1361" s="31"/>
      <c r="P1361" s="31"/>
      <c r="Q1361" s="31"/>
      <c r="R1361" s="31"/>
      <c r="S1361" s="31"/>
      <c r="T1361" s="31"/>
      <c r="U1361" s="31"/>
      <c r="V1361" s="31"/>
      <c r="W1361" s="31"/>
      <c r="X1361" s="31"/>
      <c r="Y1361" s="31"/>
      <c r="Z1361" s="31"/>
    </row>
    <row r="1362" ht="15.75" customHeight="1">
      <c r="A1362" s="13" t="s">
        <v>638</v>
      </c>
      <c r="B1362" s="13" t="s">
        <v>411</v>
      </c>
      <c r="C1362" s="13" t="s">
        <v>570</v>
      </c>
      <c r="D1362" s="13" t="s">
        <v>1474</v>
      </c>
      <c r="E1362" s="13">
        <v>0.0137308933193525</v>
      </c>
      <c r="F1362" s="13">
        <v>0.0994442920851327</v>
      </c>
      <c r="G1362" s="13">
        <v>0.138076233753041</v>
      </c>
      <c r="H1362" s="13">
        <v>0.890180168563757</v>
      </c>
      <c r="I1362" s="13">
        <v>2923.0</v>
      </c>
      <c r="J1362" s="31" t="s">
        <v>1796</v>
      </c>
      <c r="K1362" s="31" t="s">
        <v>1793</v>
      </c>
      <c r="L1362" s="31"/>
      <c r="M1362" s="31"/>
      <c r="N1362" s="31"/>
      <c r="O1362" s="31"/>
      <c r="P1362" s="31"/>
      <c r="Q1362" s="31"/>
      <c r="R1362" s="31"/>
      <c r="S1362" s="31"/>
      <c r="T1362" s="31"/>
      <c r="U1362" s="31"/>
      <c r="V1362" s="31"/>
      <c r="W1362" s="31"/>
      <c r="X1362" s="31"/>
      <c r="Y1362" s="31"/>
      <c r="Z1362" s="31"/>
    </row>
    <row r="1363" ht="15.75" customHeight="1">
      <c r="A1363" s="13" t="s">
        <v>638</v>
      </c>
      <c r="B1363" s="13" t="s">
        <v>411</v>
      </c>
      <c r="C1363" s="13" t="s">
        <v>42</v>
      </c>
      <c r="D1363" s="13" t="s">
        <v>1474</v>
      </c>
      <c r="E1363" s="13">
        <v>-0.0434592623659901</v>
      </c>
      <c r="F1363" s="13">
        <v>0.0211103571436604</v>
      </c>
      <c r="G1363" s="13">
        <v>-2.05867016224503</v>
      </c>
      <c r="H1363" s="13">
        <v>0.0395258464350292</v>
      </c>
      <c r="I1363" s="13">
        <v>39409.0</v>
      </c>
      <c r="J1363" s="31" t="s">
        <v>1796</v>
      </c>
      <c r="K1363" s="31" t="s">
        <v>1793</v>
      </c>
      <c r="L1363" s="31"/>
      <c r="M1363" s="31"/>
      <c r="N1363" s="31"/>
      <c r="O1363" s="31"/>
      <c r="P1363" s="31"/>
      <c r="Q1363" s="31"/>
      <c r="R1363" s="31"/>
      <c r="S1363" s="31"/>
      <c r="T1363" s="31"/>
      <c r="U1363" s="31"/>
      <c r="V1363" s="31"/>
      <c r="W1363" s="31"/>
      <c r="X1363" s="31"/>
      <c r="Y1363" s="31"/>
      <c r="Z1363" s="31"/>
    </row>
    <row r="1364" ht="15.75" customHeight="1">
      <c r="A1364" s="13" t="s">
        <v>638</v>
      </c>
      <c r="B1364" s="13" t="s">
        <v>411</v>
      </c>
      <c r="C1364" s="13" t="s">
        <v>55</v>
      </c>
      <c r="D1364" s="13" t="s">
        <v>1474</v>
      </c>
      <c r="E1364" s="13">
        <v>0.00112758939513452</v>
      </c>
      <c r="F1364" s="13">
        <v>0.0252224054437215</v>
      </c>
      <c r="G1364" s="13">
        <v>0.0447058627160086</v>
      </c>
      <c r="H1364" s="13">
        <v>0.964341760600675</v>
      </c>
      <c r="I1364" s="13">
        <v>39398.0</v>
      </c>
      <c r="J1364" s="31" t="s">
        <v>1796</v>
      </c>
      <c r="K1364" s="31" t="s">
        <v>1793</v>
      </c>
      <c r="L1364" s="31"/>
      <c r="M1364" s="31"/>
      <c r="N1364" s="31"/>
      <c r="O1364" s="31"/>
      <c r="P1364" s="31"/>
      <c r="Q1364" s="31"/>
      <c r="R1364" s="31"/>
      <c r="S1364" s="31"/>
      <c r="T1364" s="31"/>
      <c r="U1364" s="31"/>
      <c r="V1364" s="31"/>
      <c r="W1364" s="31"/>
      <c r="X1364" s="31"/>
      <c r="Y1364" s="31"/>
      <c r="Z1364" s="31"/>
    </row>
    <row r="1365" ht="15.75" customHeight="1">
      <c r="A1365" s="13" t="s">
        <v>638</v>
      </c>
      <c r="B1365" s="13" t="s">
        <v>411</v>
      </c>
      <c r="C1365" s="13" t="s">
        <v>1797</v>
      </c>
      <c r="D1365" s="13" t="s">
        <v>1474</v>
      </c>
      <c r="E1365" s="13">
        <v>-0.0170698018069101</v>
      </c>
      <c r="F1365" s="13">
        <v>0.0253485266010596</v>
      </c>
      <c r="G1365" s="13">
        <v>-0.673404102556262</v>
      </c>
      <c r="H1365" s="13">
        <v>0.500690239322545</v>
      </c>
      <c r="I1365" s="13">
        <v>39406.0</v>
      </c>
      <c r="J1365" s="31" t="s">
        <v>1796</v>
      </c>
      <c r="K1365" s="31" t="s">
        <v>1793</v>
      </c>
      <c r="L1365" s="31"/>
      <c r="M1365" s="31"/>
      <c r="N1365" s="31"/>
      <c r="O1365" s="31"/>
      <c r="P1365" s="31"/>
      <c r="Q1365" s="31"/>
      <c r="R1365" s="31"/>
      <c r="S1365" s="31"/>
      <c r="T1365" s="31"/>
      <c r="U1365" s="31"/>
      <c r="V1365" s="31"/>
      <c r="W1365" s="31"/>
      <c r="X1365" s="31"/>
      <c r="Y1365" s="31"/>
      <c r="Z1365" s="31"/>
    </row>
    <row r="1366" ht="15.75" customHeight="1">
      <c r="A1366" s="13" t="s">
        <v>486</v>
      </c>
      <c r="B1366" s="13" t="s">
        <v>411</v>
      </c>
      <c r="C1366" s="13" t="s">
        <v>570</v>
      </c>
      <c r="D1366" s="13" t="s">
        <v>1474</v>
      </c>
      <c r="E1366" s="13">
        <v>-0.47237204488547</v>
      </c>
      <c r="F1366" s="13">
        <v>0.0134611994274025</v>
      </c>
      <c r="G1366" s="13">
        <v>-35.0913785530787</v>
      </c>
      <c r="H1366" s="63">
        <v>9.12477703352082E-270</v>
      </c>
      <c r="I1366" s="13">
        <v>97646.0</v>
      </c>
      <c r="J1366" s="31" t="s">
        <v>1796</v>
      </c>
      <c r="K1366" s="31" t="s">
        <v>1793</v>
      </c>
      <c r="L1366" s="31"/>
      <c r="M1366" s="31"/>
      <c r="N1366" s="31"/>
      <c r="O1366" s="31"/>
      <c r="P1366" s="31"/>
      <c r="Q1366" s="31"/>
      <c r="R1366" s="31"/>
      <c r="S1366" s="31"/>
      <c r="T1366" s="31"/>
      <c r="U1366" s="31"/>
      <c r="V1366" s="31"/>
      <c r="W1366" s="31"/>
      <c r="X1366" s="31"/>
      <c r="Y1366" s="31"/>
      <c r="Z1366" s="31"/>
    </row>
    <row r="1367" ht="15.75" customHeight="1">
      <c r="A1367" s="13" t="s">
        <v>486</v>
      </c>
      <c r="B1367" s="13" t="s">
        <v>411</v>
      </c>
      <c r="C1367" s="13" t="s">
        <v>42</v>
      </c>
      <c r="D1367" s="13" t="s">
        <v>1474</v>
      </c>
      <c r="E1367" s="13">
        <v>-0.48353251105555</v>
      </c>
      <c r="F1367" s="13">
        <v>0.00790892500584777</v>
      </c>
      <c r="G1367" s="13">
        <v>-61.1375769397272</v>
      </c>
      <c r="H1367" s="13">
        <v>0.0</v>
      </c>
      <c r="I1367" s="13">
        <v>1486149.0</v>
      </c>
      <c r="J1367" s="31" t="s">
        <v>1796</v>
      </c>
      <c r="K1367" s="31" t="s">
        <v>1793</v>
      </c>
      <c r="L1367" s="31"/>
      <c r="M1367" s="31"/>
      <c r="N1367" s="31"/>
      <c r="O1367" s="31"/>
      <c r="P1367" s="31"/>
      <c r="Q1367" s="31"/>
      <c r="R1367" s="31"/>
      <c r="S1367" s="31"/>
      <c r="T1367" s="31"/>
      <c r="U1367" s="31"/>
      <c r="V1367" s="31"/>
      <c r="W1367" s="31"/>
      <c r="X1367" s="31"/>
      <c r="Y1367" s="31"/>
      <c r="Z1367" s="31"/>
    </row>
    <row r="1368" ht="15.75" customHeight="1">
      <c r="A1368" s="13" t="s">
        <v>486</v>
      </c>
      <c r="B1368" s="13" t="s">
        <v>411</v>
      </c>
      <c r="C1368" s="13" t="s">
        <v>55</v>
      </c>
      <c r="D1368" s="13" t="s">
        <v>1474</v>
      </c>
      <c r="E1368" s="13">
        <v>-0.429162600878039</v>
      </c>
      <c r="F1368" s="13">
        <v>0.00785729308540424</v>
      </c>
      <c r="G1368" s="13">
        <v>-54.6196503316459</v>
      </c>
      <c r="H1368" s="13">
        <v>0.0</v>
      </c>
      <c r="I1368" s="13">
        <v>1485658.0</v>
      </c>
      <c r="J1368" s="31" t="s">
        <v>1796</v>
      </c>
      <c r="K1368" s="31" t="s">
        <v>1793</v>
      </c>
      <c r="L1368" s="31"/>
      <c r="M1368" s="31"/>
      <c r="N1368" s="31"/>
      <c r="O1368" s="31"/>
      <c r="P1368" s="31"/>
      <c r="Q1368" s="31"/>
      <c r="R1368" s="31"/>
      <c r="S1368" s="31"/>
      <c r="T1368" s="31"/>
      <c r="U1368" s="31"/>
      <c r="V1368" s="31"/>
      <c r="W1368" s="31"/>
      <c r="X1368" s="31"/>
      <c r="Y1368" s="31"/>
      <c r="Z1368" s="31"/>
    </row>
    <row r="1369" ht="15.75" customHeight="1">
      <c r="A1369" s="13" t="s">
        <v>486</v>
      </c>
      <c r="B1369" s="13" t="s">
        <v>411</v>
      </c>
      <c r="C1369" s="13" t="s">
        <v>1797</v>
      </c>
      <c r="D1369" s="13" t="s">
        <v>1474</v>
      </c>
      <c r="E1369" s="13">
        <v>0.229455289269586</v>
      </c>
      <c r="F1369" s="13">
        <v>0.00743005242065371</v>
      </c>
      <c r="G1369" s="13">
        <v>30.8820552371551</v>
      </c>
      <c r="H1369" s="63">
        <v>2.08049148658743E-209</v>
      </c>
      <c r="I1369" s="13">
        <v>1486099.0</v>
      </c>
      <c r="J1369" s="31" t="s">
        <v>1796</v>
      </c>
      <c r="K1369" s="31" t="s">
        <v>1793</v>
      </c>
      <c r="L1369" s="31"/>
      <c r="M1369" s="31"/>
      <c r="N1369" s="31"/>
      <c r="O1369" s="31"/>
      <c r="P1369" s="31"/>
      <c r="Q1369" s="31"/>
      <c r="R1369" s="31"/>
      <c r="S1369" s="31"/>
      <c r="T1369" s="31"/>
      <c r="U1369" s="31"/>
      <c r="V1369" s="31"/>
      <c r="W1369" s="31"/>
      <c r="X1369" s="31"/>
      <c r="Y1369" s="31"/>
      <c r="Z1369" s="31"/>
    </row>
    <row r="1370" ht="15.75" customHeight="1">
      <c r="A1370" s="13" t="s">
        <v>632</v>
      </c>
      <c r="B1370" s="13" t="s">
        <v>411</v>
      </c>
      <c r="C1370" s="13" t="s">
        <v>570</v>
      </c>
      <c r="D1370" s="13" t="s">
        <v>1474</v>
      </c>
      <c r="E1370" s="13">
        <v>0.00104115349589063</v>
      </c>
      <c r="F1370" s="13">
        <v>0.0817144653603588</v>
      </c>
      <c r="G1370" s="13">
        <v>0.0127413609242766</v>
      </c>
      <c r="H1370" s="13">
        <v>0.989834139893795</v>
      </c>
      <c r="I1370" s="13">
        <v>3425.0</v>
      </c>
      <c r="J1370" s="31" t="s">
        <v>1796</v>
      </c>
      <c r="K1370" s="31" t="s">
        <v>1793</v>
      </c>
      <c r="L1370" s="31"/>
      <c r="M1370" s="31"/>
      <c r="N1370" s="31"/>
      <c r="O1370" s="31"/>
      <c r="P1370" s="31"/>
      <c r="Q1370" s="31"/>
      <c r="R1370" s="31"/>
      <c r="S1370" s="31"/>
      <c r="T1370" s="31"/>
      <c r="U1370" s="31"/>
      <c r="V1370" s="31"/>
      <c r="W1370" s="31"/>
      <c r="X1370" s="31"/>
      <c r="Y1370" s="31"/>
      <c r="Z1370" s="31"/>
    </row>
    <row r="1371" ht="15.75" customHeight="1">
      <c r="A1371" s="13" t="s">
        <v>632</v>
      </c>
      <c r="B1371" s="13" t="s">
        <v>411</v>
      </c>
      <c r="C1371" s="13" t="s">
        <v>42</v>
      </c>
      <c r="D1371" s="13" t="s">
        <v>1474</v>
      </c>
      <c r="E1371" s="13">
        <v>-0.159390008710029</v>
      </c>
      <c r="F1371" s="13">
        <v>0.019107225560027</v>
      </c>
      <c r="G1371" s="13">
        <v>-8.34187089116059</v>
      </c>
      <c r="H1371" s="63">
        <v>7.31242677514926E-17</v>
      </c>
      <c r="I1371" s="13">
        <v>45109.0</v>
      </c>
      <c r="J1371" s="31" t="s">
        <v>1796</v>
      </c>
      <c r="K1371" s="31" t="s">
        <v>1793</v>
      </c>
      <c r="L1371" s="31"/>
      <c r="M1371" s="31"/>
      <c r="N1371" s="31"/>
      <c r="O1371" s="31"/>
      <c r="P1371" s="31"/>
      <c r="Q1371" s="31"/>
      <c r="R1371" s="31"/>
      <c r="S1371" s="31"/>
      <c r="T1371" s="31"/>
      <c r="U1371" s="31"/>
      <c r="V1371" s="31"/>
      <c r="W1371" s="31"/>
      <c r="X1371" s="31"/>
      <c r="Y1371" s="31"/>
      <c r="Z1371" s="31"/>
    </row>
    <row r="1372" ht="15.75" customHeight="1">
      <c r="A1372" s="13" t="s">
        <v>632</v>
      </c>
      <c r="B1372" s="13" t="s">
        <v>411</v>
      </c>
      <c r="C1372" s="13" t="s">
        <v>55</v>
      </c>
      <c r="D1372" s="13" t="s">
        <v>1474</v>
      </c>
      <c r="E1372" s="13">
        <v>-0.132228936357806</v>
      </c>
      <c r="F1372" s="13">
        <v>0.0232242171583846</v>
      </c>
      <c r="G1372" s="13">
        <v>-5.69357991513904</v>
      </c>
      <c r="H1372" s="63">
        <v>1.24402947217874E-8</v>
      </c>
      <c r="I1372" s="13">
        <v>45100.0</v>
      </c>
      <c r="J1372" s="31" t="s">
        <v>1796</v>
      </c>
      <c r="K1372" s="31" t="s">
        <v>1793</v>
      </c>
      <c r="L1372" s="31"/>
      <c r="M1372" s="31"/>
      <c r="N1372" s="31"/>
      <c r="O1372" s="31"/>
      <c r="P1372" s="31"/>
      <c r="Q1372" s="31"/>
      <c r="R1372" s="31"/>
      <c r="S1372" s="31"/>
      <c r="T1372" s="31"/>
      <c r="U1372" s="31"/>
      <c r="V1372" s="31"/>
      <c r="W1372" s="31"/>
      <c r="X1372" s="31"/>
      <c r="Y1372" s="31"/>
      <c r="Z1372" s="31"/>
    </row>
    <row r="1373" ht="15.75" customHeight="1">
      <c r="A1373" s="13" t="s">
        <v>632</v>
      </c>
      <c r="B1373" s="13" t="s">
        <v>411</v>
      </c>
      <c r="C1373" s="13" t="s">
        <v>1797</v>
      </c>
      <c r="D1373" s="13" t="s">
        <v>1474</v>
      </c>
      <c r="E1373" s="13">
        <v>0.033077407082676</v>
      </c>
      <c r="F1373" s="13">
        <v>0.023119327294097</v>
      </c>
      <c r="G1373" s="13">
        <v>1.43072532612666</v>
      </c>
      <c r="H1373" s="13">
        <v>0.152508951816159</v>
      </c>
      <c r="I1373" s="13">
        <v>45106.0</v>
      </c>
      <c r="J1373" s="31" t="s">
        <v>1796</v>
      </c>
      <c r="K1373" s="31" t="s">
        <v>1793</v>
      </c>
      <c r="L1373" s="31"/>
      <c r="M1373" s="31"/>
      <c r="N1373" s="31"/>
      <c r="O1373" s="31"/>
      <c r="P1373" s="31"/>
      <c r="Q1373" s="31"/>
      <c r="R1373" s="31"/>
      <c r="S1373" s="31"/>
      <c r="T1373" s="31"/>
      <c r="U1373" s="31"/>
      <c r="V1373" s="31"/>
      <c r="W1373" s="31"/>
      <c r="X1373" s="31"/>
      <c r="Y1373" s="31"/>
      <c r="Z1373" s="31"/>
    </row>
    <row r="1374" ht="15.75" customHeight="1">
      <c r="A1374" s="13" t="s">
        <v>593</v>
      </c>
      <c r="B1374" s="13" t="s">
        <v>411</v>
      </c>
      <c r="C1374" s="13" t="s">
        <v>570</v>
      </c>
      <c r="D1374" s="13" t="s">
        <v>1474</v>
      </c>
      <c r="E1374" s="13">
        <v>-0.541570041546356</v>
      </c>
      <c r="F1374" s="13">
        <v>0.0321785931247891</v>
      </c>
      <c r="G1374" s="13">
        <v>-16.8301342276257</v>
      </c>
      <c r="H1374" s="63">
        <v>1.46768992460528E-63</v>
      </c>
      <c r="I1374" s="13">
        <v>9548.0</v>
      </c>
      <c r="J1374" s="31" t="s">
        <v>1796</v>
      </c>
      <c r="K1374" s="31" t="s">
        <v>1793</v>
      </c>
      <c r="L1374" s="31"/>
      <c r="M1374" s="31"/>
      <c r="N1374" s="31"/>
      <c r="O1374" s="31"/>
      <c r="P1374" s="31"/>
      <c r="Q1374" s="31"/>
      <c r="R1374" s="31"/>
      <c r="S1374" s="31"/>
      <c r="T1374" s="31"/>
      <c r="U1374" s="31"/>
      <c r="V1374" s="31"/>
      <c r="W1374" s="31"/>
      <c r="X1374" s="31"/>
      <c r="Y1374" s="31"/>
      <c r="Z1374" s="31"/>
    </row>
    <row r="1375" ht="15.75" customHeight="1">
      <c r="A1375" s="13" t="s">
        <v>593</v>
      </c>
      <c r="B1375" s="13" t="s">
        <v>411</v>
      </c>
      <c r="C1375" s="13" t="s">
        <v>42</v>
      </c>
      <c r="D1375" s="13" t="s">
        <v>1474</v>
      </c>
      <c r="E1375" s="13">
        <v>-0.571550155016905</v>
      </c>
      <c r="F1375" s="13">
        <v>0.00837418710910457</v>
      </c>
      <c r="G1375" s="13">
        <v>-68.2514192207988</v>
      </c>
      <c r="H1375" s="13">
        <v>0.0</v>
      </c>
      <c r="I1375" s="13">
        <v>139899.0</v>
      </c>
      <c r="J1375" s="31" t="s">
        <v>1796</v>
      </c>
      <c r="K1375" s="31" t="s">
        <v>1793</v>
      </c>
      <c r="L1375" s="31"/>
      <c r="M1375" s="31"/>
      <c r="N1375" s="31"/>
      <c r="O1375" s="31"/>
      <c r="P1375" s="31"/>
      <c r="Q1375" s="31"/>
      <c r="R1375" s="31"/>
      <c r="S1375" s="31"/>
      <c r="T1375" s="31"/>
      <c r="U1375" s="31"/>
      <c r="V1375" s="31"/>
      <c r="W1375" s="31"/>
      <c r="X1375" s="31"/>
      <c r="Y1375" s="31"/>
      <c r="Z1375" s="31"/>
    </row>
    <row r="1376" ht="15.75" customHeight="1">
      <c r="A1376" s="13" t="s">
        <v>593</v>
      </c>
      <c r="B1376" s="13" t="s">
        <v>411</v>
      </c>
      <c r="C1376" s="13" t="s">
        <v>55</v>
      </c>
      <c r="D1376" s="13" t="s">
        <v>1474</v>
      </c>
      <c r="E1376" s="13">
        <v>-0.506511122301054</v>
      </c>
      <c r="F1376" s="13">
        <v>0.00968062570345489</v>
      </c>
      <c r="G1376" s="13">
        <v>-52.3221471232263</v>
      </c>
      <c r="H1376" s="13">
        <v>0.0</v>
      </c>
      <c r="I1376" s="13">
        <v>139840.0</v>
      </c>
      <c r="J1376" s="31" t="s">
        <v>1796</v>
      </c>
      <c r="K1376" s="31" t="s">
        <v>1793</v>
      </c>
      <c r="L1376" s="31"/>
      <c r="M1376" s="31"/>
      <c r="N1376" s="31"/>
      <c r="O1376" s="31"/>
      <c r="P1376" s="31"/>
      <c r="Q1376" s="31"/>
      <c r="R1376" s="31"/>
      <c r="S1376" s="31"/>
      <c r="T1376" s="31"/>
      <c r="U1376" s="31"/>
      <c r="V1376" s="31"/>
      <c r="W1376" s="31"/>
      <c r="X1376" s="31"/>
      <c r="Y1376" s="31"/>
      <c r="Z1376" s="31"/>
    </row>
    <row r="1377" ht="15.75" customHeight="1">
      <c r="A1377" s="13" t="s">
        <v>593</v>
      </c>
      <c r="B1377" s="13" t="s">
        <v>411</v>
      </c>
      <c r="C1377" s="13" t="s">
        <v>1797</v>
      </c>
      <c r="D1377" s="13" t="s">
        <v>1474</v>
      </c>
      <c r="E1377" s="13">
        <v>0.246446667428464</v>
      </c>
      <c r="F1377" s="13">
        <v>0.0104698375121978</v>
      </c>
      <c r="G1377" s="13">
        <v>23.5387289574782</v>
      </c>
      <c r="H1377" s="63">
        <v>1.63765554271946E-122</v>
      </c>
      <c r="I1377" s="13">
        <v>139892.0</v>
      </c>
      <c r="J1377" s="31" t="s">
        <v>1796</v>
      </c>
      <c r="K1377" s="31" t="s">
        <v>1793</v>
      </c>
      <c r="L1377" s="31"/>
      <c r="M1377" s="31"/>
      <c r="N1377" s="31"/>
      <c r="O1377" s="31"/>
      <c r="P1377" s="31"/>
      <c r="Q1377" s="31"/>
      <c r="R1377" s="31"/>
      <c r="S1377" s="31"/>
      <c r="T1377" s="31"/>
      <c r="U1377" s="31"/>
      <c r="V1377" s="31"/>
      <c r="W1377" s="31"/>
      <c r="X1377" s="31"/>
      <c r="Y1377" s="31"/>
      <c r="Z1377" s="31"/>
    </row>
    <row r="1378" ht="15.75" customHeight="1">
      <c r="A1378" s="13" t="s">
        <v>1457</v>
      </c>
      <c r="B1378" s="13" t="s">
        <v>411</v>
      </c>
      <c r="C1378" s="13" t="s">
        <v>570</v>
      </c>
      <c r="D1378" s="13" t="s">
        <v>1474</v>
      </c>
      <c r="E1378" s="13">
        <v>-0.0580590677617539</v>
      </c>
      <c r="F1378" s="13">
        <v>0.0126372833793186</v>
      </c>
      <c r="G1378" s="13">
        <v>-4.59426808903957</v>
      </c>
      <c r="H1378" s="63">
        <v>4.34270784537795E-6</v>
      </c>
      <c r="I1378" s="13">
        <v>168886.0</v>
      </c>
      <c r="J1378" s="31" t="s">
        <v>1796</v>
      </c>
      <c r="K1378" s="31" t="s">
        <v>1793</v>
      </c>
      <c r="L1378" s="31"/>
      <c r="M1378" s="31"/>
      <c r="N1378" s="31"/>
      <c r="O1378" s="31"/>
      <c r="P1378" s="31"/>
      <c r="Q1378" s="31"/>
      <c r="R1378" s="31"/>
      <c r="S1378" s="31"/>
      <c r="T1378" s="31"/>
      <c r="U1378" s="31"/>
      <c r="V1378" s="31"/>
      <c r="W1378" s="31"/>
      <c r="X1378" s="31"/>
      <c r="Y1378" s="31"/>
      <c r="Z1378" s="31"/>
    </row>
    <row r="1379" ht="15.75" customHeight="1">
      <c r="A1379" s="13" t="s">
        <v>1457</v>
      </c>
      <c r="B1379" s="13" t="s">
        <v>411</v>
      </c>
      <c r="C1379" s="13" t="s">
        <v>42</v>
      </c>
      <c r="D1379" s="13" t="s">
        <v>1474</v>
      </c>
      <c r="E1379" s="13">
        <v>-0.0368209085704827</v>
      </c>
      <c r="F1379" s="13">
        <v>0.00521375720657849</v>
      </c>
      <c r="G1379" s="13">
        <v>-7.06225992342407</v>
      </c>
      <c r="H1379" s="63">
        <v>1.63816188614297E-12</v>
      </c>
      <c r="I1379" s="13">
        <v>2819658.0</v>
      </c>
      <c r="J1379" s="31" t="s">
        <v>1796</v>
      </c>
      <c r="K1379" s="31" t="s">
        <v>1793</v>
      </c>
      <c r="L1379" s="31"/>
      <c r="M1379" s="31"/>
      <c r="N1379" s="31"/>
      <c r="O1379" s="31"/>
      <c r="P1379" s="31"/>
      <c r="Q1379" s="31"/>
      <c r="R1379" s="31"/>
      <c r="S1379" s="31"/>
      <c r="T1379" s="31"/>
      <c r="U1379" s="31"/>
      <c r="V1379" s="31"/>
      <c r="W1379" s="31"/>
      <c r="X1379" s="31"/>
      <c r="Y1379" s="31"/>
      <c r="Z1379" s="31"/>
    </row>
    <row r="1380" ht="15.75" customHeight="1">
      <c r="A1380" s="13" t="s">
        <v>1457</v>
      </c>
      <c r="B1380" s="13" t="s">
        <v>411</v>
      </c>
      <c r="C1380" s="13" t="s">
        <v>55</v>
      </c>
      <c r="D1380" s="13" t="s">
        <v>1474</v>
      </c>
      <c r="E1380" s="13">
        <v>0.00593474481999892</v>
      </c>
      <c r="F1380" s="13">
        <v>0.00552136790364401</v>
      </c>
      <c r="G1380" s="13">
        <v>1.07486856945035</v>
      </c>
      <c r="H1380" s="13">
        <v>0.282433575595448</v>
      </c>
      <c r="I1380" s="13">
        <v>2813628.0</v>
      </c>
      <c r="J1380" s="31" t="s">
        <v>1796</v>
      </c>
      <c r="K1380" s="31" t="s">
        <v>1793</v>
      </c>
      <c r="L1380" s="31"/>
      <c r="M1380" s="31"/>
      <c r="N1380" s="31"/>
      <c r="O1380" s="31"/>
      <c r="P1380" s="31"/>
      <c r="Q1380" s="31"/>
      <c r="R1380" s="31"/>
      <c r="S1380" s="31"/>
      <c r="T1380" s="31"/>
      <c r="U1380" s="31"/>
      <c r="V1380" s="31"/>
      <c r="W1380" s="31"/>
      <c r="X1380" s="31"/>
      <c r="Y1380" s="31"/>
      <c r="Z1380" s="31"/>
    </row>
    <row r="1381" ht="15.75" customHeight="1">
      <c r="A1381" s="13" t="s">
        <v>1457</v>
      </c>
      <c r="B1381" s="13" t="s">
        <v>411</v>
      </c>
      <c r="C1381" s="13" t="s">
        <v>1797</v>
      </c>
      <c r="D1381" s="13" t="s">
        <v>1474</v>
      </c>
      <c r="E1381" s="13">
        <v>-0.0170869778913107</v>
      </c>
      <c r="F1381" s="13">
        <v>0.00501232986941949</v>
      </c>
      <c r="G1381" s="13">
        <v>-3.40898910017063</v>
      </c>
      <c r="H1381" s="63">
        <v>6.52040848893026E-4</v>
      </c>
      <c r="I1381" s="13">
        <v>2820460.0</v>
      </c>
      <c r="J1381" s="31" t="s">
        <v>1796</v>
      </c>
      <c r="K1381" s="31" t="s">
        <v>1793</v>
      </c>
      <c r="L1381" s="31"/>
      <c r="M1381" s="31"/>
      <c r="N1381" s="31"/>
      <c r="O1381" s="31"/>
      <c r="P1381" s="31"/>
      <c r="Q1381" s="31"/>
      <c r="R1381" s="31"/>
      <c r="S1381" s="31"/>
      <c r="T1381" s="31"/>
      <c r="U1381" s="31"/>
      <c r="V1381" s="31"/>
      <c r="W1381" s="31"/>
      <c r="X1381" s="31"/>
      <c r="Y1381" s="31"/>
      <c r="Z1381" s="31"/>
    </row>
    <row r="1382" ht="15.75" customHeight="1">
      <c r="A1382" s="13" t="s">
        <v>1460</v>
      </c>
      <c r="B1382" s="13" t="s">
        <v>411</v>
      </c>
      <c r="C1382" s="13" t="s">
        <v>570</v>
      </c>
      <c r="D1382" s="13" t="s">
        <v>1474</v>
      </c>
      <c r="E1382" s="13">
        <v>-0.820378376412612</v>
      </c>
      <c r="F1382" s="13">
        <v>0.00426410677430303</v>
      </c>
      <c r="G1382" s="13">
        <v>-192.391612085441</v>
      </c>
      <c r="H1382" s="13">
        <v>0.0</v>
      </c>
      <c r="I1382" s="13">
        <v>167930.0</v>
      </c>
      <c r="J1382" s="31" t="s">
        <v>1796</v>
      </c>
      <c r="K1382" s="31" t="s">
        <v>1793</v>
      </c>
      <c r="L1382" s="31"/>
      <c r="M1382" s="31"/>
      <c r="N1382" s="31"/>
      <c r="O1382" s="31"/>
      <c r="P1382" s="31"/>
      <c r="Q1382" s="31"/>
      <c r="R1382" s="31"/>
      <c r="S1382" s="31"/>
      <c r="T1382" s="31"/>
      <c r="U1382" s="31"/>
      <c r="V1382" s="31"/>
      <c r="W1382" s="31"/>
      <c r="X1382" s="31"/>
      <c r="Y1382" s="31"/>
      <c r="Z1382" s="31"/>
    </row>
    <row r="1383" ht="15.75" customHeight="1">
      <c r="A1383" s="13" t="s">
        <v>1460</v>
      </c>
      <c r="B1383" s="13" t="s">
        <v>411</v>
      </c>
      <c r="C1383" s="13" t="s">
        <v>42</v>
      </c>
      <c r="D1383" s="13" t="s">
        <v>1474</v>
      </c>
      <c r="E1383" s="13">
        <v>-0.825855886330111</v>
      </c>
      <c r="F1383" s="13">
        <v>0.00272529318718628</v>
      </c>
      <c r="G1383" s="13">
        <v>-303.033776407286</v>
      </c>
      <c r="H1383" s="13">
        <v>0.0</v>
      </c>
      <c r="I1383" s="13">
        <v>2803671.0</v>
      </c>
      <c r="J1383" s="31" t="s">
        <v>1796</v>
      </c>
      <c r="K1383" s="31" t="s">
        <v>1793</v>
      </c>
      <c r="L1383" s="31"/>
      <c r="M1383" s="31"/>
      <c r="N1383" s="31"/>
      <c r="O1383" s="31"/>
      <c r="P1383" s="31"/>
      <c r="Q1383" s="31"/>
      <c r="R1383" s="31"/>
      <c r="S1383" s="31"/>
      <c r="T1383" s="31"/>
      <c r="U1383" s="31"/>
      <c r="V1383" s="31"/>
      <c r="W1383" s="31"/>
      <c r="X1383" s="31"/>
      <c r="Y1383" s="31"/>
      <c r="Z1383" s="31"/>
    </row>
    <row r="1384" ht="15.75" customHeight="1">
      <c r="A1384" s="13" t="s">
        <v>1460</v>
      </c>
      <c r="B1384" s="13" t="s">
        <v>411</v>
      </c>
      <c r="C1384" s="13" t="s">
        <v>55</v>
      </c>
      <c r="D1384" s="13" t="s">
        <v>1474</v>
      </c>
      <c r="E1384" s="13">
        <v>-0.759260470900593</v>
      </c>
      <c r="F1384" s="13">
        <v>0.00343884871982322</v>
      </c>
      <c r="G1384" s="13">
        <v>-220.78914565908</v>
      </c>
      <c r="H1384" s="13">
        <v>0.0</v>
      </c>
      <c r="I1384" s="13">
        <v>2797745.0</v>
      </c>
      <c r="J1384" s="31" t="s">
        <v>1796</v>
      </c>
      <c r="K1384" s="31" t="s">
        <v>1793</v>
      </c>
      <c r="L1384" s="31"/>
      <c r="M1384" s="31"/>
      <c r="N1384" s="31"/>
      <c r="O1384" s="31"/>
      <c r="P1384" s="31"/>
      <c r="Q1384" s="31"/>
      <c r="R1384" s="31"/>
      <c r="S1384" s="31"/>
      <c r="T1384" s="31"/>
      <c r="U1384" s="31"/>
      <c r="V1384" s="31"/>
      <c r="W1384" s="31"/>
      <c r="X1384" s="31"/>
      <c r="Y1384" s="31"/>
      <c r="Z1384" s="31"/>
    </row>
    <row r="1385" ht="15.75" customHeight="1">
      <c r="A1385" s="13" t="s">
        <v>1460</v>
      </c>
      <c r="B1385" s="13" t="s">
        <v>411</v>
      </c>
      <c r="C1385" s="13" t="s">
        <v>1797</v>
      </c>
      <c r="D1385" s="13" t="s">
        <v>1474</v>
      </c>
      <c r="E1385" s="13">
        <v>-0.0364681788566045</v>
      </c>
      <c r="F1385" s="13">
        <v>0.0108060138548404</v>
      </c>
      <c r="G1385" s="13">
        <v>-3.3748040069622</v>
      </c>
      <c r="H1385" s="63">
        <v>7.38682782378305E-4</v>
      </c>
      <c r="I1385" s="13">
        <v>2804533.0</v>
      </c>
      <c r="J1385" s="31" t="s">
        <v>1796</v>
      </c>
      <c r="K1385" s="31" t="s">
        <v>1793</v>
      </c>
      <c r="L1385" s="31"/>
      <c r="M1385" s="31"/>
      <c r="N1385" s="31"/>
      <c r="O1385" s="31"/>
      <c r="P1385" s="31"/>
      <c r="Q1385" s="31"/>
      <c r="R1385" s="31"/>
      <c r="S1385" s="31"/>
      <c r="T1385" s="31"/>
      <c r="U1385" s="31"/>
      <c r="V1385" s="31"/>
      <c r="W1385" s="31"/>
      <c r="X1385" s="31"/>
      <c r="Y1385" s="31"/>
      <c r="Z1385" s="31"/>
    </row>
    <row r="1386" ht="15.75" customHeight="1">
      <c r="A1386" s="13" t="s">
        <v>1463</v>
      </c>
      <c r="B1386" s="13" t="s">
        <v>411</v>
      </c>
      <c r="C1386" s="13" t="s">
        <v>570</v>
      </c>
      <c r="D1386" s="13" t="s">
        <v>1474</v>
      </c>
      <c r="E1386" s="13">
        <v>-0.816341725197035</v>
      </c>
      <c r="F1386" s="13">
        <v>0.00445737456301654</v>
      </c>
      <c r="G1386" s="13">
        <v>-183.144071393581</v>
      </c>
      <c r="H1386" s="13">
        <v>0.0</v>
      </c>
      <c r="I1386" s="13">
        <v>167910.0</v>
      </c>
      <c r="J1386" s="31" t="s">
        <v>1796</v>
      </c>
      <c r="K1386" s="31" t="s">
        <v>1793</v>
      </c>
      <c r="L1386" s="31"/>
      <c r="M1386" s="31"/>
      <c r="N1386" s="31"/>
      <c r="O1386" s="31"/>
      <c r="P1386" s="31"/>
      <c r="Q1386" s="31"/>
      <c r="R1386" s="31"/>
      <c r="S1386" s="31"/>
      <c r="T1386" s="31"/>
      <c r="U1386" s="31"/>
      <c r="V1386" s="31"/>
      <c r="W1386" s="31"/>
      <c r="X1386" s="31"/>
      <c r="Y1386" s="31"/>
      <c r="Z1386" s="31"/>
    </row>
    <row r="1387" ht="15.75" customHeight="1">
      <c r="A1387" s="13" t="s">
        <v>1463</v>
      </c>
      <c r="B1387" s="13" t="s">
        <v>411</v>
      </c>
      <c r="C1387" s="13" t="s">
        <v>42</v>
      </c>
      <c r="D1387" s="13" t="s">
        <v>1474</v>
      </c>
      <c r="E1387" s="13">
        <v>-0.824442229835477</v>
      </c>
      <c r="F1387" s="13">
        <v>0.00261774128782692</v>
      </c>
      <c r="G1387" s="13">
        <v>-314.944121357337</v>
      </c>
      <c r="H1387" s="13">
        <v>0.0</v>
      </c>
      <c r="I1387" s="13">
        <v>2801352.0</v>
      </c>
      <c r="J1387" s="31" t="s">
        <v>1796</v>
      </c>
      <c r="K1387" s="31" t="s">
        <v>1793</v>
      </c>
      <c r="L1387" s="31"/>
      <c r="M1387" s="31"/>
      <c r="N1387" s="31"/>
      <c r="O1387" s="31"/>
      <c r="P1387" s="31"/>
      <c r="Q1387" s="31"/>
      <c r="R1387" s="31"/>
      <c r="S1387" s="31"/>
      <c r="T1387" s="31"/>
      <c r="U1387" s="31"/>
      <c r="V1387" s="31"/>
      <c r="W1387" s="31"/>
      <c r="X1387" s="31"/>
      <c r="Y1387" s="31"/>
      <c r="Z1387" s="31"/>
    </row>
    <row r="1388" ht="15.75" customHeight="1">
      <c r="A1388" s="13" t="s">
        <v>1463</v>
      </c>
      <c r="B1388" s="13" t="s">
        <v>411</v>
      </c>
      <c r="C1388" s="13" t="s">
        <v>55</v>
      </c>
      <c r="D1388" s="13" t="s">
        <v>1474</v>
      </c>
      <c r="E1388" s="13">
        <v>-0.755672743515395</v>
      </c>
      <c r="F1388" s="13">
        <v>0.00343951405877351</v>
      </c>
      <c r="G1388" s="13">
        <v>-219.70334489194</v>
      </c>
      <c r="H1388" s="13">
        <v>0.0</v>
      </c>
      <c r="I1388" s="13">
        <v>2795425.0</v>
      </c>
      <c r="J1388" s="31" t="s">
        <v>1796</v>
      </c>
      <c r="K1388" s="31" t="s">
        <v>1793</v>
      </c>
      <c r="L1388" s="31"/>
      <c r="M1388" s="31"/>
      <c r="N1388" s="31"/>
      <c r="O1388" s="31"/>
      <c r="P1388" s="31"/>
      <c r="Q1388" s="31"/>
      <c r="R1388" s="31"/>
      <c r="S1388" s="31"/>
      <c r="T1388" s="31"/>
      <c r="U1388" s="31"/>
      <c r="V1388" s="31"/>
      <c r="W1388" s="31"/>
      <c r="X1388" s="31"/>
      <c r="Y1388" s="31"/>
      <c r="Z1388" s="31"/>
    </row>
    <row r="1389" ht="15.75" customHeight="1">
      <c r="A1389" s="13" t="s">
        <v>1463</v>
      </c>
      <c r="B1389" s="13" t="s">
        <v>411</v>
      </c>
      <c r="C1389" s="13" t="s">
        <v>1797</v>
      </c>
      <c r="D1389" s="13" t="s">
        <v>1474</v>
      </c>
      <c r="E1389" s="13">
        <v>-0.0144981022641432</v>
      </c>
      <c r="F1389" s="13">
        <v>0.0105311573195169</v>
      </c>
      <c r="G1389" s="13">
        <v>-1.37668651452718</v>
      </c>
      <c r="H1389" s="13">
        <v>0.16860918985265</v>
      </c>
      <c r="I1389" s="13">
        <v>2802215.0</v>
      </c>
      <c r="J1389" s="31" t="s">
        <v>1796</v>
      </c>
      <c r="K1389" s="31" t="s">
        <v>1793</v>
      </c>
      <c r="L1389" s="31"/>
      <c r="M1389" s="31"/>
      <c r="N1389" s="31"/>
      <c r="O1389" s="31"/>
      <c r="P1389" s="31"/>
      <c r="Q1389" s="31"/>
      <c r="R1389" s="31"/>
      <c r="S1389" s="31"/>
      <c r="T1389" s="31"/>
      <c r="U1389" s="31"/>
      <c r="V1389" s="31"/>
      <c r="W1389" s="31"/>
      <c r="X1389" s="31"/>
      <c r="Y1389" s="31"/>
      <c r="Z1389" s="31"/>
    </row>
    <row r="1390" ht="15.75" customHeight="1">
      <c r="A1390" s="13" t="s">
        <v>1465</v>
      </c>
      <c r="B1390" s="13" t="s">
        <v>411</v>
      </c>
      <c r="C1390" s="13" t="s">
        <v>570</v>
      </c>
      <c r="D1390" s="13" t="s">
        <v>1474</v>
      </c>
      <c r="E1390" s="13">
        <v>-0.82228878269166</v>
      </c>
      <c r="F1390" s="13">
        <v>0.00452768432110169</v>
      </c>
      <c r="G1390" s="13">
        <v>-181.613541133887</v>
      </c>
      <c r="H1390" s="13">
        <v>0.0</v>
      </c>
      <c r="I1390" s="13">
        <v>167768.0</v>
      </c>
      <c r="J1390" s="31" t="s">
        <v>1796</v>
      </c>
      <c r="K1390" s="31" t="s">
        <v>1793</v>
      </c>
      <c r="L1390" s="31"/>
      <c r="M1390" s="31"/>
      <c r="N1390" s="31"/>
      <c r="O1390" s="31"/>
      <c r="P1390" s="31"/>
      <c r="Q1390" s="31"/>
      <c r="R1390" s="31"/>
      <c r="S1390" s="31"/>
      <c r="T1390" s="31"/>
      <c r="U1390" s="31"/>
      <c r="V1390" s="31"/>
      <c r="W1390" s="31"/>
      <c r="X1390" s="31"/>
      <c r="Y1390" s="31"/>
      <c r="Z1390" s="31"/>
    </row>
    <row r="1391" ht="15.75" customHeight="1">
      <c r="A1391" s="13" t="s">
        <v>1465</v>
      </c>
      <c r="B1391" s="13" t="s">
        <v>411</v>
      </c>
      <c r="C1391" s="13" t="s">
        <v>42</v>
      </c>
      <c r="D1391" s="13" t="s">
        <v>1474</v>
      </c>
      <c r="E1391" s="13">
        <v>-0.827542347922347</v>
      </c>
      <c r="F1391" s="13">
        <v>0.00260490757651821</v>
      </c>
      <c r="G1391" s="13">
        <v>-317.685876989333</v>
      </c>
      <c r="H1391" s="13">
        <v>0.0</v>
      </c>
      <c r="I1391" s="13">
        <v>2800096.0</v>
      </c>
      <c r="J1391" s="31" t="s">
        <v>1796</v>
      </c>
      <c r="K1391" s="31" t="s">
        <v>1793</v>
      </c>
      <c r="L1391" s="31"/>
      <c r="M1391" s="31"/>
      <c r="N1391" s="31"/>
      <c r="O1391" s="31"/>
      <c r="P1391" s="31"/>
      <c r="Q1391" s="31"/>
      <c r="R1391" s="31"/>
      <c r="S1391" s="31"/>
      <c r="T1391" s="31"/>
      <c r="U1391" s="31"/>
      <c r="V1391" s="31"/>
      <c r="W1391" s="31"/>
      <c r="X1391" s="31"/>
      <c r="Y1391" s="31"/>
      <c r="Z1391" s="31"/>
    </row>
    <row r="1392" ht="15.75" customHeight="1">
      <c r="A1392" s="13" t="s">
        <v>1465</v>
      </c>
      <c r="B1392" s="13" t="s">
        <v>411</v>
      </c>
      <c r="C1392" s="13" t="s">
        <v>55</v>
      </c>
      <c r="D1392" s="13" t="s">
        <v>1474</v>
      </c>
      <c r="E1392" s="13">
        <v>-0.761103542229425</v>
      </c>
      <c r="F1392" s="13">
        <v>0.00327890112095884</v>
      </c>
      <c r="G1392" s="13">
        <v>-232.121529180745</v>
      </c>
      <c r="H1392" s="13">
        <v>0.0</v>
      </c>
      <c r="I1392" s="13">
        <v>2794187.0</v>
      </c>
      <c r="J1392" s="31" t="s">
        <v>1796</v>
      </c>
      <c r="K1392" s="31" t="s">
        <v>1793</v>
      </c>
      <c r="L1392" s="31"/>
      <c r="M1392" s="31"/>
      <c r="N1392" s="31"/>
      <c r="O1392" s="31"/>
      <c r="P1392" s="31"/>
      <c r="Q1392" s="31"/>
      <c r="R1392" s="31"/>
      <c r="S1392" s="31"/>
      <c r="T1392" s="31"/>
      <c r="U1392" s="31"/>
      <c r="V1392" s="31"/>
      <c r="W1392" s="31"/>
      <c r="X1392" s="31"/>
      <c r="Y1392" s="31"/>
      <c r="Z1392" s="31"/>
    </row>
    <row r="1393" ht="15.75" customHeight="1">
      <c r="A1393" s="13" t="s">
        <v>1465</v>
      </c>
      <c r="B1393" s="13" t="s">
        <v>411</v>
      </c>
      <c r="C1393" s="13" t="s">
        <v>1797</v>
      </c>
      <c r="D1393" s="13" t="s">
        <v>1474</v>
      </c>
      <c r="E1393" s="13">
        <v>-0.0268934528658061</v>
      </c>
      <c r="F1393" s="13">
        <v>0.0104258463170892</v>
      </c>
      <c r="G1393" s="13">
        <v>-2.57949830142081</v>
      </c>
      <c r="H1393" s="13">
        <v>0.00989439451425443</v>
      </c>
      <c r="I1393" s="13">
        <v>2800958.0</v>
      </c>
      <c r="J1393" s="31" t="s">
        <v>1796</v>
      </c>
      <c r="K1393" s="31" t="s">
        <v>1793</v>
      </c>
      <c r="L1393" s="31"/>
      <c r="M1393" s="31"/>
      <c r="N1393" s="31"/>
      <c r="O1393" s="31"/>
      <c r="P1393" s="31"/>
      <c r="Q1393" s="31"/>
      <c r="R1393" s="31"/>
      <c r="S1393" s="31"/>
      <c r="T1393" s="31"/>
      <c r="U1393" s="31"/>
      <c r="V1393" s="31"/>
      <c r="W1393" s="31"/>
      <c r="X1393" s="31"/>
      <c r="Y1393" s="31"/>
      <c r="Z1393" s="31"/>
    </row>
    <row r="1394" ht="15.75" customHeight="1">
      <c r="A1394" s="13" t="s">
        <v>1467</v>
      </c>
      <c r="B1394" s="13" t="s">
        <v>411</v>
      </c>
      <c r="C1394" s="13" t="s">
        <v>570</v>
      </c>
      <c r="D1394" s="13" t="s">
        <v>1474</v>
      </c>
      <c r="E1394" s="13">
        <v>-0.817990081117903</v>
      </c>
      <c r="F1394" s="13">
        <v>0.00454146338401051</v>
      </c>
      <c r="G1394" s="13">
        <v>-180.115969666928</v>
      </c>
      <c r="H1394" s="13">
        <v>0.0</v>
      </c>
      <c r="I1394" s="13">
        <v>168058.0</v>
      </c>
      <c r="J1394" s="31" t="s">
        <v>1796</v>
      </c>
      <c r="K1394" s="31" t="s">
        <v>1793</v>
      </c>
      <c r="L1394" s="31"/>
      <c r="M1394" s="31"/>
      <c r="N1394" s="31"/>
      <c r="O1394" s="31"/>
      <c r="P1394" s="31"/>
      <c r="Q1394" s="31"/>
      <c r="R1394" s="31"/>
      <c r="S1394" s="31"/>
      <c r="T1394" s="31"/>
      <c r="U1394" s="31"/>
      <c r="V1394" s="31"/>
      <c r="W1394" s="31"/>
      <c r="X1394" s="31"/>
      <c r="Y1394" s="31"/>
      <c r="Z1394" s="31"/>
    </row>
    <row r="1395" ht="15.75" customHeight="1">
      <c r="A1395" s="13" t="s">
        <v>1467</v>
      </c>
      <c r="B1395" s="13" t="s">
        <v>411</v>
      </c>
      <c r="C1395" s="13" t="s">
        <v>42</v>
      </c>
      <c r="D1395" s="13" t="s">
        <v>1474</v>
      </c>
      <c r="E1395" s="13">
        <v>-0.825600020451915</v>
      </c>
      <c r="F1395" s="13">
        <v>0.00266507862136606</v>
      </c>
      <c r="G1395" s="13">
        <v>-309.784489595557</v>
      </c>
      <c r="H1395" s="13">
        <v>0.0</v>
      </c>
      <c r="I1395" s="13">
        <v>2805308.0</v>
      </c>
      <c r="J1395" s="31" t="s">
        <v>1796</v>
      </c>
      <c r="K1395" s="31" t="s">
        <v>1793</v>
      </c>
      <c r="L1395" s="31"/>
      <c r="M1395" s="31"/>
      <c r="N1395" s="31"/>
      <c r="O1395" s="31"/>
      <c r="P1395" s="31"/>
      <c r="Q1395" s="31"/>
      <c r="R1395" s="31"/>
      <c r="S1395" s="31"/>
      <c r="T1395" s="31"/>
      <c r="U1395" s="31"/>
      <c r="V1395" s="31"/>
      <c r="W1395" s="31"/>
      <c r="X1395" s="31"/>
      <c r="Y1395" s="31"/>
      <c r="Z1395" s="31"/>
    </row>
    <row r="1396" ht="15.75" customHeight="1">
      <c r="A1396" s="13" t="s">
        <v>1467</v>
      </c>
      <c r="B1396" s="13" t="s">
        <v>411</v>
      </c>
      <c r="C1396" s="13" t="s">
        <v>55</v>
      </c>
      <c r="D1396" s="13" t="s">
        <v>1474</v>
      </c>
      <c r="E1396" s="13">
        <v>-0.760399648276289</v>
      </c>
      <c r="F1396" s="13">
        <v>0.00335499032638771</v>
      </c>
      <c r="G1396" s="13">
        <v>-226.647344493241</v>
      </c>
      <c r="H1396" s="13">
        <v>0.0</v>
      </c>
      <c r="I1396" s="13">
        <v>2799358.0</v>
      </c>
      <c r="J1396" s="31" t="s">
        <v>1796</v>
      </c>
      <c r="K1396" s="31" t="s">
        <v>1793</v>
      </c>
      <c r="L1396" s="31"/>
      <c r="M1396" s="31"/>
      <c r="N1396" s="31"/>
      <c r="O1396" s="31"/>
      <c r="P1396" s="31"/>
      <c r="Q1396" s="31"/>
      <c r="R1396" s="31"/>
      <c r="S1396" s="31"/>
      <c r="T1396" s="31"/>
      <c r="U1396" s="31"/>
      <c r="V1396" s="31"/>
      <c r="W1396" s="31"/>
      <c r="X1396" s="31"/>
      <c r="Y1396" s="31"/>
      <c r="Z1396" s="31"/>
    </row>
    <row r="1397" ht="15.75" customHeight="1">
      <c r="A1397" s="13" t="s">
        <v>1467</v>
      </c>
      <c r="B1397" s="13" t="s">
        <v>411</v>
      </c>
      <c r="C1397" s="13" t="s">
        <v>1797</v>
      </c>
      <c r="D1397" s="13" t="s">
        <v>1474</v>
      </c>
      <c r="E1397" s="13">
        <v>-0.0301027074521186</v>
      </c>
      <c r="F1397" s="13">
        <v>0.010738610673992</v>
      </c>
      <c r="G1397" s="13">
        <v>-2.80322179153256</v>
      </c>
      <c r="H1397" s="13">
        <v>0.00505948624187976</v>
      </c>
      <c r="I1397" s="13">
        <v>2806163.0</v>
      </c>
      <c r="J1397" s="31" t="s">
        <v>1796</v>
      </c>
      <c r="K1397" s="31" t="s">
        <v>1793</v>
      </c>
      <c r="L1397" s="31"/>
      <c r="M1397" s="31"/>
      <c r="N1397" s="31"/>
      <c r="O1397" s="31"/>
      <c r="P1397" s="31"/>
      <c r="Q1397" s="31"/>
      <c r="R1397" s="31"/>
      <c r="S1397" s="31"/>
      <c r="T1397" s="31"/>
      <c r="U1397" s="31"/>
      <c r="V1397" s="31"/>
      <c r="W1397" s="31"/>
      <c r="X1397" s="31"/>
      <c r="Y1397" s="31"/>
      <c r="Z1397" s="31"/>
    </row>
    <row r="1398" ht="15.75" customHeight="1">
      <c r="A1398" s="13" t="s">
        <v>1469</v>
      </c>
      <c r="B1398" s="13" t="s">
        <v>411</v>
      </c>
      <c r="C1398" s="13" t="s">
        <v>570</v>
      </c>
      <c r="D1398" s="13" t="s">
        <v>1474</v>
      </c>
      <c r="E1398" s="13">
        <v>-0.817639452443519</v>
      </c>
      <c r="F1398" s="13">
        <v>0.00442849762233222</v>
      </c>
      <c r="G1398" s="13">
        <v>-184.631340507058</v>
      </c>
      <c r="H1398" s="13">
        <v>0.0</v>
      </c>
      <c r="I1398" s="13">
        <v>168249.0</v>
      </c>
      <c r="J1398" s="31" t="s">
        <v>1796</v>
      </c>
      <c r="K1398" s="31" t="s">
        <v>1793</v>
      </c>
      <c r="L1398" s="31"/>
      <c r="M1398" s="31"/>
      <c r="N1398" s="31"/>
      <c r="O1398" s="31"/>
      <c r="P1398" s="31"/>
      <c r="Q1398" s="31"/>
      <c r="R1398" s="31"/>
      <c r="S1398" s="31"/>
      <c r="T1398" s="31"/>
      <c r="U1398" s="31"/>
      <c r="V1398" s="31"/>
      <c r="W1398" s="31"/>
      <c r="X1398" s="31"/>
      <c r="Y1398" s="31"/>
      <c r="Z1398" s="31"/>
    </row>
    <row r="1399" ht="15.75" customHeight="1">
      <c r="A1399" s="13" t="s">
        <v>1469</v>
      </c>
      <c r="B1399" s="13" t="s">
        <v>411</v>
      </c>
      <c r="C1399" s="13" t="s">
        <v>42</v>
      </c>
      <c r="D1399" s="13" t="s">
        <v>1474</v>
      </c>
      <c r="E1399" s="13">
        <v>-0.826496446559046</v>
      </c>
      <c r="F1399" s="13">
        <v>0.0026184601794308</v>
      </c>
      <c r="G1399" s="13">
        <v>-315.642167504227</v>
      </c>
      <c r="H1399" s="13">
        <v>0.0</v>
      </c>
      <c r="I1399" s="13">
        <v>2809233.0</v>
      </c>
      <c r="J1399" s="31" t="s">
        <v>1796</v>
      </c>
      <c r="K1399" s="31" t="s">
        <v>1793</v>
      </c>
      <c r="L1399" s="31"/>
      <c r="M1399" s="31"/>
      <c r="N1399" s="31"/>
      <c r="O1399" s="31"/>
      <c r="P1399" s="31"/>
      <c r="Q1399" s="31"/>
      <c r="R1399" s="31"/>
      <c r="S1399" s="31"/>
      <c r="T1399" s="31"/>
      <c r="U1399" s="31"/>
      <c r="V1399" s="31"/>
      <c r="W1399" s="31"/>
      <c r="X1399" s="31"/>
      <c r="Y1399" s="31"/>
      <c r="Z1399" s="31"/>
    </row>
    <row r="1400" ht="15.75" customHeight="1">
      <c r="A1400" s="13" t="s">
        <v>1469</v>
      </c>
      <c r="B1400" s="13" t="s">
        <v>411</v>
      </c>
      <c r="C1400" s="13" t="s">
        <v>55</v>
      </c>
      <c r="D1400" s="13" t="s">
        <v>1474</v>
      </c>
      <c r="E1400" s="13">
        <v>-0.761246795511799</v>
      </c>
      <c r="F1400" s="13">
        <v>0.0032511301910732</v>
      </c>
      <c r="G1400" s="13">
        <v>-234.148357885511</v>
      </c>
      <c r="H1400" s="13">
        <v>0.0</v>
      </c>
      <c r="I1400" s="13">
        <v>2803263.0</v>
      </c>
      <c r="J1400" s="31" t="s">
        <v>1796</v>
      </c>
      <c r="K1400" s="31" t="s">
        <v>1793</v>
      </c>
      <c r="L1400" s="31"/>
      <c r="M1400" s="31"/>
      <c r="N1400" s="31"/>
      <c r="O1400" s="31"/>
      <c r="P1400" s="31"/>
      <c r="Q1400" s="31"/>
      <c r="R1400" s="31"/>
      <c r="S1400" s="31"/>
      <c r="T1400" s="31"/>
      <c r="U1400" s="31"/>
      <c r="V1400" s="31"/>
      <c r="W1400" s="31"/>
      <c r="X1400" s="31"/>
      <c r="Y1400" s="31"/>
      <c r="Z1400" s="31"/>
    </row>
    <row r="1401" ht="15.75" customHeight="1">
      <c r="A1401" s="13" t="s">
        <v>1469</v>
      </c>
      <c r="B1401" s="13" t="s">
        <v>411</v>
      </c>
      <c r="C1401" s="13" t="s">
        <v>1797</v>
      </c>
      <c r="D1401" s="13" t="s">
        <v>1474</v>
      </c>
      <c r="E1401" s="13">
        <v>-0.0215231884267332</v>
      </c>
      <c r="F1401" s="13">
        <v>0.0108536105484347</v>
      </c>
      <c r="G1401" s="13">
        <v>-1.98304410598527</v>
      </c>
      <c r="H1401" s="13">
        <v>0.0473625031026654</v>
      </c>
      <c r="I1401" s="13">
        <v>2810088.0</v>
      </c>
      <c r="J1401" s="31" t="s">
        <v>1796</v>
      </c>
      <c r="K1401" s="31" t="s">
        <v>1793</v>
      </c>
      <c r="L1401" s="31"/>
      <c r="M1401" s="31"/>
      <c r="N1401" s="31"/>
      <c r="O1401" s="31"/>
      <c r="P1401" s="31"/>
      <c r="Q1401" s="31"/>
      <c r="R1401" s="31"/>
      <c r="S1401" s="31"/>
      <c r="T1401" s="31"/>
      <c r="U1401" s="31"/>
      <c r="V1401" s="31"/>
      <c r="W1401" s="31"/>
      <c r="X1401" s="31"/>
      <c r="Y1401" s="31"/>
      <c r="Z1401" s="31"/>
    </row>
    <row r="1402" ht="15.75" customHeight="1">
      <c r="A1402" s="13" t="s">
        <v>1511</v>
      </c>
      <c r="B1402" s="13" t="s">
        <v>411</v>
      </c>
      <c r="C1402" s="13" t="s">
        <v>570</v>
      </c>
      <c r="D1402" s="13" t="s">
        <v>1474</v>
      </c>
      <c r="E1402" s="13">
        <v>-0.208670864999693</v>
      </c>
      <c r="F1402" s="13">
        <v>0.0143284392298824</v>
      </c>
      <c r="G1402" s="13">
        <v>-14.5634051030836</v>
      </c>
      <c r="H1402" s="63">
        <v>4.80057900979458E-48</v>
      </c>
      <c r="I1402" s="13">
        <v>168793.0</v>
      </c>
      <c r="J1402" s="31" t="s">
        <v>1796</v>
      </c>
      <c r="K1402" s="31" t="s">
        <v>1793</v>
      </c>
      <c r="L1402" s="31"/>
      <c r="M1402" s="31"/>
      <c r="N1402" s="31"/>
      <c r="O1402" s="31"/>
      <c r="P1402" s="31"/>
      <c r="Q1402" s="31"/>
      <c r="R1402" s="31"/>
      <c r="S1402" s="31"/>
      <c r="T1402" s="31"/>
      <c r="U1402" s="31"/>
      <c r="V1402" s="31"/>
      <c r="W1402" s="31"/>
      <c r="X1402" s="31"/>
      <c r="Y1402" s="31"/>
      <c r="Z1402" s="31"/>
    </row>
    <row r="1403" ht="15.75" customHeight="1">
      <c r="A1403" s="13" t="s">
        <v>1511</v>
      </c>
      <c r="B1403" s="13" t="s">
        <v>411</v>
      </c>
      <c r="C1403" s="13" t="s">
        <v>42</v>
      </c>
      <c r="D1403" s="13" t="s">
        <v>1474</v>
      </c>
      <c r="E1403" s="13">
        <v>-0.187980917393654</v>
      </c>
      <c r="F1403" s="13">
        <v>0.00963869874565198</v>
      </c>
      <c r="G1403" s="13">
        <v>-19.5027277388924</v>
      </c>
      <c r="H1403" s="63">
        <v>1.04080602573641E-84</v>
      </c>
      <c r="I1403" s="13">
        <v>2817484.0</v>
      </c>
      <c r="J1403" s="31" t="s">
        <v>1796</v>
      </c>
      <c r="K1403" s="31" t="s">
        <v>1793</v>
      </c>
      <c r="L1403" s="31"/>
      <c r="M1403" s="31"/>
      <c r="N1403" s="31"/>
      <c r="O1403" s="31"/>
      <c r="P1403" s="31"/>
      <c r="Q1403" s="31"/>
      <c r="R1403" s="31"/>
      <c r="S1403" s="31"/>
      <c r="T1403" s="31"/>
      <c r="U1403" s="31"/>
      <c r="V1403" s="31"/>
      <c r="W1403" s="31"/>
      <c r="X1403" s="31"/>
      <c r="Y1403" s="31"/>
      <c r="Z1403" s="31"/>
    </row>
    <row r="1404" ht="15.75" customHeight="1">
      <c r="A1404" s="13" t="s">
        <v>1511</v>
      </c>
      <c r="B1404" s="13" t="s">
        <v>411</v>
      </c>
      <c r="C1404" s="13" t="s">
        <v>55</v>
      </c>
      <c r="D1404" s="13" t="s">
        <v>1474</v>
      </c>
      <c r="E1404" s="13">
        <v>-0.133664004918589</v>
      </c>
      <c r="F1404" s="13">
        <v>0.0104208708099474</v>
      </c>
      <c r="G1404" s="13">
        <v>-12.8265676982577</v>
      </c>
      <c r="H1404" s="63">
        <v>1.16407928127995E-37</v>
      </c>
      <c r="I1404" s="13">
        <v>2811470.0</v>
      </c>
      <c r="J1404" s="31" t="s">
        <v>1796</v>
      </c>
      <c r="K1404" s="31" t="s">
        <v>1793</v>
      </c>
      <c r="L1404" s="31"/>
      <c r="M1404" s="31"/>
      <c r="N1404" s="31"/>
      <c r="O1404" s="31"/>
      <c r="P1404" s="31"/>
      <c r="Q1404" s="31"/>
      <c r="R1404" s="31"/>
      <c r="S1404" s="31"/>
      <c r="T1404" s="31"/>
      <c r="U1404" s="31"/>
      <c r="V1404" s="31"/>
      <c r="W1404" s="31"/>
      <c r="X1404" s="31"/>
      <c r="Y1404" s="31"/>
      <c r="Z1404" s="31"/>
    </row>
    <row r="1405" ht="15.75" customHeight="1">
      <c r="A1405" s="13" t="s">
        <v>1511</v>
      </c>
      <c r="B1405" s="13" t="s">
        <v>411</v>
      </c>
      <c r="C1405" s="13" t="s">
        <v>1797</v>
      </c>
      <c r="D1405" s="13" t="s">
        <v>1474</v>
      </c>
      <c r="E1405" s="13">
        <v>0.0222529905964398</v>
      </c>
      <c r="F1405" s="13">
        <v>0.00914686126111205</v>
      </c>
      <c r="G1405" s="13">
        <v>2.43285537641732</v>
      </c>
      <c r="H1405" s="13">
        <v>0.0149802830084751</v>
      </c>
      <c r="I1405" s="13">
        <v>2818288.0</v>
      </c>
      <c r="J1405" s="31" t="s">
        <v>1796</v>
      </c>
      <c r="K1405" s="31" t="s">
        <v>1793</v>
      </c>
      <c r="L1405" s="31"/>
      <c r="M1405" s="31"/>
      <c r="N1405" s="31"/>
      <c r="O1405" s="31"/>
      <c r="P1405" s="31"/>
      <c r="Q1405" s="31"/>
      <c r="R1405" s="31"/>
      <c r="S1405" s="31"/>
      <c r="T1405" s="31"/>
      <c r="U1405" s="31"/>
      <c r="V1405" s="31"/>
      <c r="W1405" s="31"/>
      <c r="X1405" s="31"/>
      <c r="Y1405" s="31"/>
      <c r="Z1405" s="31"/>
    </row>
    <row r="1406" ht="15.75" customHeight="1">
      <c r="A1406" s="13" t="s">
        <v>1515</v>
      </c>
      <c r="B1406" s="13" t="s">
        <v>411</v>
      </c>
      <c r="C1406" s="13" t="s">
        <v>570</v>
      </c>
      <c r="D1406" s="13" t="s">
        <v>1474</v>
      </c>
      <c r="E1406" s="13">
        <v>-0.187596443258047</v>
      </c>
      <c r="F1406" s="13">
        <v>0.0133761891193864</v>
      </c>
      <c r="G1406" s="13">
        <v>-14.0246554219362</v>
      </c>
      <c r="H1406" s="63">
        <v>1.10145820545163E-44</v>
      </c>
      <c r="I1406" s="13">
        <v>168771.0</v>
      </c>
      <c r="J1406" s="31" t="s">
        <v>1796</v>
      </c>
      <c r="K1406" s="31" t="s">
        <v>1793</v>
      </c>
      <c r="L1406" s="31"/>
      <c r="M1406" s="31"/>
      <c r="N1406" s="31"/>
      <c r="O1406" s="31"/>
      <c r="P1406" s="31"/>
      <c r="Q1406" s="31"/>
      <c r="R1406" s="31"/>
      <c r="S1406" s="31"/>
      <c r="T1406" s="31"/>
      <c r="U1406" s="31"/>
      <c r="V1406" s="31"/>
      <c r="W1406" s="31"/>
      <c r="X1406" s="31"/>
      <c r="Y1406" s="31"/>
      <c r="Z1406" s="31"/>
    </row>
    <row r="1407" ht="15.75" customHeight="1">
      <c r="A1407" s="13" t="s">
        <v>1515</v>
      </c>
      <c r="B1407" s="13" t="s">
        <v>411</v>
      </c>
      <c r="C1407" s="13" t="s">
        <v>42</v>
      </c>
      <c r="D1407" s="13" t="s">
        <v>1474</v>
      </c>
      <c r="E1407" s="13">
        <v>-0.171407972909908</v>
      </c>
      <c r="F1407" s="13">
        <v>0.00813754175448896</v>
      </c>
      <c r="G1407" s="13">
        <v>-21.0638517234462</v>
      </c>
      <c r="H1407" s="63">
        <v>1.70714669580524E-98</v>
      </c>
      <c r="I1407" s="13">
        <v>2817430.0</v>
      </c>
      <c r="J1407" s="31" t="s">
        <v>1796</v>
      </c>
      <c r="K1407" s="31" t="s">
        <v>1793</v>
      </c>
      <c r="L1407" s="31"/>
      <c r="M1407" s="31"/>
      <c r="N1407" s="31"/>
      <c r="O1407" s="31"/>
      <c r="P1407" s="31"/>
      <c r="Q1407" s="31"/>
      <c r="R1407" s="31"/>
      <c r="S1407" s="31"/>
      <c r="T1407" s="31"/>
      <c r="U1407" s="31"/>
      <c r="V1407" s="31"/>
      <c r="W1407" s="31"/>
      <c r="X1407" s="31"/>
      <c r="Y1407" s="31"/>
      <c r="Z1407" s="31"/>
    </row>
    <row r="1408" ht="15.75" customHeight="1">
      <c r="A1408" s="13" t="s">
        <v>1515</v>
      </c>
      <c r="B1408" s="13" t="s">
        <v>411</v>
      </c>
      <c r="C1408" s="13" t="s">
        <v>55</v>
      </c>
      <c r="D1408" s="13" t="s">
        <v>1474</v>
      </c>
      <c r="E1408" s="13">
        <v>-0.114682668100514</v>
      </c>
      <c r="F1408" s="13">
        <v>0.00865881499242884</v>
      </c>
      <c r="G1408" s="13">
        <v>-13.2446146731153</v>
      </c>
      <c r="H1408" s="63">
        <v>4.8476344971402E-40</v>
      </c>
      <c r="I1408" s="13">
        <v>2811405.0</v>
      </c>
      <c r="J1408" s="31" t="s">
        <v>1796</v>
      </c>
      <c r="K1408" s="31" t="s">
        <v>1793</v>
      </c>
      <c r="L1408" s="31"/>
      <c r="M1408" s="31"/>
      <c r="N1408" s="31"/>
      <c r="O1408" s="31"/>
      <c r="P1408" s="31"/>
      <c r="Q1408" s="31"/>
      <c r="R1408" s="31"/>
      <c r="S1408" s="31"/>
      <c r="T1408" s="31"/>
      <c r="U1408" s="31"/>
      <c r="V1408" s="31"/>
      <c r="W1408" s="31"/>
      <c r="X1408" s="31"/>
      <c r="Y1408" s="31"/>
      <c r="Z1408" s="31"/>
    </row>
    <row r="1409" ht="15.75" customHeight="1">
      <c r="A1409" s="13" t="s">
        <v>1515</v>
      </c>
      <c r="B1409" s="13" t="s">
        <v>411</v>
      </c>
      <c r="C1409" s="13" t="s">
        <v>1797</v>
      </c>
      <c r="D1409" s="13" t="s">
        <v>1474</v>
      </c>
      <c r="E1409" s="13">
        <v>0.0440174316629853</v>
      </c>
      <c r="F1409" s="13">
        <v>0.00798886847017131</v>
      </c>
      <c r="G1409" s="13">
        <v>5.50984558418214</v>
      </c>
      <c r="H1409" s="63">
        <v>3.59148621923278E-8</v>
      </c>
      <c r="I1409" s="13">
        <v>2818239.0</v>
      </c>
      <c r="J1409" s="31" t="s">
        <v>1796</v>
      </c>
      <c r="K1409" s="31" t="s">
        <v>1793</v>
      </c>
      <c r="L1409" s="31"/>
      <c r="M1409" s="31"/>
      <c r="N1409" s="31"/>
      <c r="O1409" s="31"/>
      <c r="P1409" s="31"/>
      <c r="Q1409" s="31"/>
      <c r="R1409" s="31"/>
      <c r="S1409" s="31"/>
      <c r="T1409" s="31"/>
      <c r="U1409" s="31"/>
      <c r="V1409" s="31"/>
      <c r="W1409" s="31"/>
      <c r="X1409" s="31"/>
      <c r="Y1409" s="31"/>
      <c r="Z1409" s="31"/>
    </row>
    <row r="1410" ht="15.75" customHeight="1">
      <c r="A1410" s="13" t="s">
        <v>1517</v>
      </c>
      <c r="B1410" s="13" t="s">
        <v>411</v>
      </c>
      <c r="C1410" s="13" t="s">
        <v>570</v>
      </c>
      <c r="D1410" s="13" t="s">
        <v>1474</v>
      </c>
      <c r="E1410" s="13">
        <v>-0.192733422586681</v>
      </c>
      <c r="F1410" s="13">
        <v>0.0132878770783177</v>
      </c>
      <c r="G1410" s="13">
        <v>-14.5044555613154</v>
      </c>
      <c r="H1410" s="63">
        <v>1.13534713900352E-47</v>
      </c>
      <c r="I1410" s="13">
        <v>168721.0</v>
      </c>
      <c r="J1410" s="31" t="s">
        <v>1796</v>
      </c>
      <c r="K1410" s="31" t="s">
        <v>1793</v>
      </c>
      <c r="L1410" s="31"/>
      <c r="M1410" s="31"/>
      <c r="N1410" s="31"/>
      <c r="O1410" s="31"/>
      <c r="P1410" s="31"/>
      <c r="Q1410" s="31"/>
      <c r="R1410" s="31"/>
      <c r="S1410" s="31"/>
      <c r="T1410" s="31"/>
      <c r="U1410" s="31"/>
      <c r="V1410" s="31"/>
      <c r="W1410" s="31"/>
      <c r="X1410" s="31"/>
      <c r="Y1410" s="31"/>
      <c r="Z1410" s="31"/>
    </row>
    <row r="1411" ht="15.75" customHeight="1">
      <c r="A1411" s="13" t="s">
        <v>1517</v>
      </c>
      <c r="B1411" s="13" t="s">
        <v>411</v>
      </c>
      <c r="C1411" s="13" t="s">
        <v>42</v>
      </c>
      <c r="D1411" s="13" t="s">
        <v>1474</v>
      </c>
      <c r="E1411" s="13">
        <v>-0.173611211383512</v>
      </c>
      <c r="F1411" s="13">
        <v>0.00818793993959682</v>
      </c>
      <c r="G1411" s="13">
        <v>-21.2032834466615</v>
      </c>
      <c r="H1411" s="63">
        <v>8.90609052123024E-100</v>
      </c>
      <c r="I1411" s="13">
        <v>2816791.0</v>
      </c>
      <c r="J1411" s="31" t="s">
        <v>1796</v>
      </c>
      <c r="K1411" s="31" t="s">
        <v>1793</v>
      </c>
      <c r="L1411" s="31"/>
      <c r="M1411" s="31"/>
      <c r="N1411" s="31"/>
      <c r="O1411" s="31"/>
      <c r="P1411" s="31"/>
      <c r="Q1411" s="31"/>
      <c r="R1411" s="31"/>
      <c r="S1411" s="31"/>
      <c r="T1411" s="31"/>
      <c r="U1411" s="31"/>
      <c r="V1411" s="31"/>
      <c r="W1411" s="31"/>
      <c r="X1411" s="31"/>
      <c r="Y1411" s="31"/>
      <c r="Z1411" s="31"/>
    </row>
    <row r="1412" ht="15.75" customHeight="1">
      <c r="A1412" s="13" t="s">
        <v>1517</v>
      </c>
      <c r="B1412" s="13" t="s">
        <v>411</v>
      </c>
      <c r="C1412" s="13" t="s">
        <v>55</v>
      </c>
      <c r="D1412" s="13" t="s">
        <v>1474</v>
      </c>
      <c r="E1412" s="13">
        <v>-0.115140548866285</v>
      </c>
      <c r="F1412" s="13">
        <v>0.00881805738949666</v>
      </c>
      <c r="G1412" s="13">
        <v>-13.0573598901081</v>
      </c>
      <c r="H1412" s="63">
        <v>5.76941103084808E-39</v>
      </c>
      <c r="I1412" s="13">
        <v>2810778.0</v>
      </c>
      <c r="J1412" s="31" t="s">
        <v>1796</v>
      </c>
      <c r="K1412" s="31" t="s">
        <v>1793</v>
      </c>
      <c r="L1412" s="31"/>
      <c r="M1412" s="31"/>
      <c r="N1412" s="31"/>
      <c r="O1412" s="31"/>
      <c r="P1412" s="31"/>
      <c r="Q1412" s="31"/>
      <c r="R1412" s="31"/>
      <c r="S1412" s="31"/>
      <c r="T1412" s="31"/>
      <c r="U1412" s="31"/>
      <c r="V1412" s="31"/>
      <c r="W1412" s="31"/>
      <c r="X1412" s="31"/>
      <c r="Y1412" s="31"/>
      <c r="Z1412" s="31"/>
    </row>
    <row r="1413" ht="15.75" customHeight="1">
      <c r="A1413" s="13" t="s">
        <v>1517</v>
      </c>
      <c r="B1413" s="13" t="s">
        <v>411</v>
      </c>
      <c r="C1413" s="13" t="s">
        <v>1797</v>
      </c>
      <c r="D1413" s="13" t="s">
        <v>1474</v>
      </c>
      <c r="E1413" s="13">
        <v>0.0370743369014488</v>
      </c>
      <c r="F1413" s="13">
        <v>0.00805231914060201</v>
      </c>
      <c r="G1413" s="13">
        <v>4.60418126183174</v>
      </c>
      <c r="H1413" s="63">
        <v>4.14091687285038E-6</v>
      </c>
      <c r="I1413" s="13">
        <v>2817594.0</v>
      </c>
      <c r="J1413" s="31" t="s">
        <v>1796</v>
      </c>
      <c r="K1413" s="31" t="s">
        <v>1793</v>
      </c>
      <c r="L1413" s="31"/>
      <c r="M1413" s="31"/>
      <c r="N1413" s="31"/>
      <c r="O1413" s="31"/>
      <c r="P1413" s="31"/>
      <c r="Q1413" s="31"/>
      <c r="R1413" s="31"/>
      <c r="S1413" s="31"/>
      <c r="T1413" s="31"/>
      <c r="U1413" s="31"/>
      <c r="V1413" s="31"/>
      <c r="W1413" s="31"/>
      <c r="X1413" s="31"/>
      <c r="Y1413" s="31"/>
      <c r="Z1413" s="31"/>
    </row>
    <row r="1414" ht="15.75" customHeight="1">
      <c r="A1414" s="13" t="s">
        <v>1519</v>
      </c>
      <c r="B1414" s="13" t="s">
        <v>411</v>
      </c>
      <c r="C1414" s="13" t="s">
        <v>570</v>
      </c>
      <c r="D1414" s="13" t="s">
        <v>1474</v>
      </c>
      <c r="E1414" s="13">
        <v>-0.194384337079402</v>
      </c>
      <c r="F1414" s="13">
        <v>0.0132074808942205</v>
      </c>
      <c r="G1414" s="13">
        <v>-14.7177450897894</v>
      </c>
      <c r="H1414" s="63">
        <v>4.95922551631205E-49</v>
      </c>
      <c r="I1414" s="13">
        <v>168765.0</v>
      </c>
      <c r="J1414" s="31" t="s">
        <v>1796</v>
      </c>
      <c r="K1414" s="31" t="s">
        <v>1793</v>
      </c>
      <c r="L1414" s="31"/>
      <c r="M1414" s="31"/>
      <c r="N1414" s="31"/>
      <c r="O1414" s="31"/>
      <c r="P1414" s="31"/>
      <c r="Q1414" s="31"/>
      <c r="R1414" s="31"/>
      <c r="S1414" s="31"/>
      <c r="T1414" s="31"/>
      <c r="U1414" s="31"/>
      <c r="V1414" s="31"/>
      <c r="W1414" s="31"/>
      <c r="X1414" s="31"/>
      <c r="Y1414" s="31"/>
      <c r="Z1414" s="31"/>
    </row>
    <row r="1415" ht="15.75" customHeight="1">
      <c r="A1415" s="13" t="s">
        <v>1519</v>
      </c>
      <c r="B1415" s="13" t="s">
        <v>411</v>
      </c>
      <c r="C1415" s="13" t="s">
        <v>42</v>
      </c>
      <c r="D1415" s="13" t="s">
        <v>1474</v>
      </c>
      <c r="E1415" s="13">
        <v>-0.186513019635573</v>
      </c>
      <c r="F1415" s="13">
        <v>0.0081306726422263</v>
      </c>
      <c r="G1415" s="13">
        <v>-22.9394329156638</v>
      </c>
      <c r="H1415" s="63">
        <v>1.87862361257818E-116</v>
      </c>
      <c r="I1415" s="13">
        <v>2817025.0</v>
      </c>
      <c r="J1415" s="31" t="s">
        <v>1796</v>
      </c>
      <c r="K1415" s="31" t="s">
        <v>1793</v>
      </c>
      <c r="L1415" s="31"/>
      <c r="M1415" s="31"/>
      <c r="N1415" s="31"/>
      <c r="O1415" s="31"/>
      <c r="P1415" s="31"/>
      <c r="Q1415" s="31"/>
      <c r="R1415" s="31"/>
      <c r="S1415" s="31"/>
      <c r="T1415" s="31"/>
      <c r="U1415" s="31"/>
      <c r="V1415" s="31"/>
      <c r="W1415" s="31"/>
      <c r="X1415" s="31"/>
      <c r="Y1415" s="31"/>
      <c r="Z1415" s="31"/>
    </row>
    <row r="1416" ht="15.75" customHeight="1">
      <c r="A1416" s="13" t="s">
        <v>1519</v>
      </c>
      <c r="B1416" s="13" t="s">
        <v>411</v>
      </c>
      <c r="C1416" s="13" t="s">
        <v>55</v>
      </c>
      <c r="D1416" s="13" t="s">
        <v>1474</v>
      </c>
      <c r="E1416" s="13">
        <v>-0.128653973399618</v>
      </c>
      <c r="F1416" s="13">
        <v>0.00872305926878672</v>
      </c>
      <c r="G1416" s="13">
        <v>-14.7487216852892</v>
      </c>
      <c r="H1416" s="63">
        <v>3.13547479656076E-49</v>
      </c>
      <c r="I1416" s="13">
        <v>2811024.0</v>
      </c>
      <c r="J1416" s="31" t="s">
        <v>1796</v>
      </c>
      <c r="K1416" s="31" t="s">
        <v>1793</v>
      </c>
      <c r="L1416" s="31"/>
      <c r="M1416" s="31"/>
      <c r="N1416" s="31"/>
      <c r="O1416" s="31"/>
      <c r="P1416" s="31"/>
      <c r="Q1416" s="31"/>
      <c r="R1416" s="31"/>
      <c r="S1416" s="31"/>
      <c r="T1416" s="31"/>
      <c r="U1416" s="31"/>
      <c r="V1416" s="31"/>
      <c r="W1416" s="31"/>
      <c r="X1416" s="31"/>
      <c r="Y1416" s="31"/>
      <c r="Z1416" s="31"/>
    </row>
    <row r="1417" ht="15.75" customHeight="1">
      <c r="A1417" s="13" t="s">
        <v>1519</v>
      </c>
      <c r="B1417" s="13" t="s">
        <v>411</v>
      </c>
      <c r="C1417" s="13" t="s">
        <v>1797</v>
      </c>
      <c r="D1417" s="13" t="s">
        <v>1474</v>
      </c>
      <c r="E1417" s="13">
        <v>0.045082044869348</v>
      </c>
      <c r="F1417" s="13">
        <v>0.0071859269849081</v>
      </c>
      <c r="G1417" s="13">
        <v>6.27365752032122</v>
      </c>
      <c r="H1417" s="63">
        <v>3.52663785721582E-10</v>
      </c>
      <c r="I1417" s="13">
        <v>2817837.0</v>
      </c>
      <c r="J1417" s="31" t="s">
        <v>1796</v>
      </c>
      <c r="K1417" s="31" t="s">
        <v>1793</v>
      </c>
      <c r="L1417" s="31"/>
      <c r="M1417" s="31"/>
      <c r="N1417" s="31"/>
      <c r="O1417" s="31"/>
      <c r="P1417" s="31"/>
      <c r="Q1417" s="31"/>
      <c r="R1417" s="31"/>
      <c r="S1417" s="31"/>
      <c r="T1417" s="31"/>
      <c r="U1417" s="31"/>
      <c r="V1417" s="31"/>
      <c r="W1417" s="31"/>
      <c r="X1417" s="31"/>
      <c r="Y1417" s="31"/>
      <c r="Z1417" s="31"/>
    </row>
    <row r="1418" ht="15.75" customHeight="1">
      <c r="A1418" s="13" t="s">
        <v>1521</v>
      </c>
      <c r="B1418" s="13" t="s">
        <v>411</v>
      </c>
      <c r="C1418" s="13" t="s">
        <v>570</v>
      </c>
      <c r="D1418" s="13" t="s">
        <v>1474</v>
      </c>
      <c r="E1418" s="13">
        <v>-0.185457079734838</v>
      </c>
      <c r="F1418" s="13">
        <v>0.0138022295586415</v>
      </c>
      <c r="G1418" s="13">
        <v>-13.4367479505312</v>
      </c>
      <c r="H1418" s="63">
        <v>3.68268574608018E-41</v>
      </c>
      <c r="I1418" s="13">
        <v>168734.0</v>
      </c>
      <c r="J1418" s="31" t="s">
        <v>1796</v>
      </c>
      <c r="K1418" s="31" t="s">
        <v>1793</v>
      </c>
      <c r="L1418" s="31"/>
      <c r="M1418" s="31"/>
      <c r="N1418" s="31"/>
      <c r="O1418" s="31"/>
      <c r="P1418" s="31"/>
      <c r="Q1418" s="31"/>
      <c r="R1418" s="31"/>
      <c r="S1418" s="31"/>
      <c r="T1418" s="31"/>
      <c r="U1418" s="31"/>
      <c r="V1418" s="31"/>
      <c r="W1418" s="31"/>
      <c r="X1418" s="31"/>
      <c r="Y1418" s="31"/>
      <c r="Z1418" s="31"/>
    </row>
    <row r="1419" ht="15.75" customHeight="1">
      <c r="A1419" s="13" t="s">
        <v>1521</v>
      </c>
      <c r="B1419" s="13" t="s">
        <v>411</v>
      </c>
      <c r="C1419" s="13" t="s">
        <v>42</v>
      </c>
      <c r="D1419" s="13" t="s">
        <v>1474</v>
      </c>
      <c r="E1419" s="13">
        <v>-0.166076951056434</v>
      </c>
      <c r="F1419" s="13">
        <v>0.00851472186791141</v>
      </c>
      <c r="G1419" s="13">
        <v>-19.5046830222737</v>
      </c>
      <c r="H1419" s="63">
        <v>1.00176198559839E-84</v>
      </c>
      <c r="I1419" s="13">
        <v>2816265.0</v>
      </c>
      <c r="J1419" s="31" t="s">
        <v>1796</v>
      </c>
      <c r="K1419" s="31" t="s">
        <v>1793</v>
      </c>
      <c r="L1419" s="31"/>
      <c r="M1419" s="31"/>
      <c r="N1419" s="31"/>
      <c r="O1419" s="31"/>
      <c r="P1419" s="31"/>
      <c r="Q1419" s="31"/>
      <c r="R1419" s="31"/>
      <c r="S1419" s="31"/>
      <c r="T1419" s="31"/>
      <c r="U1419" s="31"/>
      <c r="V1419" s="31"/>
      <c r="W1419" s="31"/>
      <c r="X1419" s="31"/>
      <c r="Y1419" s="31"/>
      <c r="Z1419" s="31"/>
    </row>
    <row r="1420" ht="15.75" customHeight="1">
      <c r="A1420" s="13" t="s">
        <v>1521</v>
      </c>
      <c r="B1420" s="13" t="s">
        <v>411</v>
      </c>
      <c r="C1420" s="13" t="s">
        <v>55</v>
      </c>
      <c r="D1420" s="13" t="s">
        <v>1474</v>
      </c>
      <c r="E1420" s="13">
        <v>-0.110946093291088</v>
      </c>
      <c r="F1420" s="13">
        <v>0.00917605541485627</v>
      </c>
      <c r="G1420" s="13">
        <v>-12.0908264254227</v>
      </c>
      <c r="H1420" s="63">
        <v>1.18092801813913E-33</v>
      </c>
      <c r="I1420" s="13">
        <v>2810250.0</v>
      </c>
      <c r="J1420" s="31" t="s">
        <v>1796</v>
      </c>
      <c r="K1420" s="31" t="s">
        <v>1793</v>
      </c>
      <c r="L1420" s="31"/>
      <c r="M1420" s="31"/>
      <c r="N1420" s="31"/>
      <c r="O1420" s="31"/>
      <c r="P1420" s="31"/>
      <c r="Q1420" s="31"/>
      <c r="R1420" s="31"/>
      <c r="S1420" s="31"/>
      <c r="T1420" s="31"/>
      <c r="U1420" s="31"/>
      <c r="V1420" s="31"/>
      <c r="W1420" s="31"/>
      <c r="X1420" s="31"/>
      <c r="Y1420" s="31"/>
      <c r="Z1420" s="31"/>
    </row>
    <row r="1421" ht="15.75" customHeight="1">
      <c r="A1421" s="13" t="s">
        <v>1521</v>
      </c>
      <c r="B1421" s="13" t="s">
        <v>411</v>
      </c>
      <c r="C1421" s="13" t="s">
        <v>1797</v>
      </c>
      <c r="D1421" s="13" t="s">
        <v>1474</v>
      </c>
      <c r="E1421" s="13">
        <v>0.0429359635559249</v>
      </c>
      <c r="F1421" s="13">
        <v>0.00744838776236744</v>
      </c>
      <c r="G1421" s="13">
        <v>5.76446405930374</v>
      </c>
      <c r="H1421" s="63">
        <v>8.19177317610187E-9</v>
      </c>
      <c r="I1421" s="13">
        <v>2817070.0</v>
      </c>
      <c r="J1421" s="31" t="s">
        <v>1796</v>
      </c>
      <c r="K1421" s="31" t="s">
        <v>1793</v>
      </c>
      <c r="L1421" s="31"/>
      <c r="M1421" s="31"/>
      <c r="N1421" s="31"/>
      <c r="O1421" s="31"/>
      <c r="P1421" s="31"/>
      <c r="Q1421" s="31"/>
      <c r="R1421" s="31"/>
      <c r="S1421" s="31"/>
      <c r="T1421" s="31"/>
      <c r="U1421" s="31"/>
      <c r="V1421" s="31"/>
      <c r="W1421" s="31"/>
      <c r="X1421" s="31"/>
      <c r="Y1421" s="31"/>
      <c r="Z1421" s="31"/>
    </row>
    <row r="1422" ht="15.75" customHeight="1">
      <c r="A1422" s="13" t="s">
        <v>1523</v>
      </c>
      <c r="B1422" s="13" t="s">
        <v>411</v>
      </c>
      <c r="C1422" s="13" t="s">
        <v>570</v>
      </c>
      <c r="D1422" s="13" t="s">
        <v>1474</v>
      </c>
      <c r="E1422" s="13">
        <v>-0.104232505182143</v>
      </c>
      <c r="F1422" s="13">
        <v>0.0129173820846186</v>
      </c>
      <c r="G1422" s="13">
        <v>-8.06916637592208</v>
      </c>
      <c r="H1422" s="63">
        <v>7.07797605893836E-16</v>
      </c>
      <c r="I1422" s="13">
        <v>168832.0</v>
      </c>
      <c r="J1422" s="31" t="s">
        <v>1796</v>
      </c>
      <c r="K1422" s="31" t="s">
        <v>1793</v>
      </c>
      <c r="L1422" s="31"/>
      <c r="M1422" s="31"/>
      <c r="N1422" s="31"/>
      <c r="O1422" s="31"/>
      <c r="P1422" s="31"/>
      <c r="Q1422" s="31"/>
      <c r="R1422" s="31"/>
      <c r="S1422" s="31"/>
      <c r="T1422" s="31"/>
      <c r="U1422" s="31"/>
      <c r="V1422" s="31"/>
      <c r="W1422" s="31"/>
      <c r="X1422" s="31"/>
      <c r="Y1422" s="31"/>
      <c r="Z1422" s="31"/>
    </row>
    <row r="1423" ht="15.75" customHeight="1">
      <c r="A1423" s="13" t="s">
        <v>1523</v>
      </c>
      <c r="B1423" s="13" t="s">
        <v>411</v>
      </c>
      <c r="C1423" s="13" t="s">
        <v>42</v>
      </c>
      <c r="D1423" s="13" t="s">
        <v>1474</v>
      </c>
      <c r="E1423" s="13">
        <v>-0.0968070349733191</v>
      </c>
      <c r="F1423" s="13">
        <v>0.00643275780314421</v>
      </c>
      <c r="G1423" s="13">
        <v>-15.0490719432964</v>
      </c>
      <c r="H1423" s="63">
        <v>3.50111361564586E-51</v>
      </c>
      <c r="I1423" s="13">
        <v>2818685.0</v>
      </c>
      <c r="J1423" s="31" t="s">
        <v>1796</v>
      </c>
      <c r="K1423" s="31" t="s">
        <v>1793</v>
      </c>
      <c r="L1423" s="31"/>
      <c r="M1423" s="31"/>
      <c r="N1423" s="31"/>
      <c r="O1423" s="31"/>
      <c r="P1423" s="31"/>
      <c r="Q1423" s="31"/>
      <c r="R1423" s="31"/>
      <c r="S1423" s="31"/>
      <c r="T1423" s="31"/>
      <c r="U1423" s="31"/>
      <c r="V1423" s="31"/>
      <c r="W1423" s="31"/>
      <c r="X1423" s="31"/>
      <c r="Y1423" s="31"/>
      <c r="Z1423" s="31"/>
    </row>
    <row r="1424" ht="15.75" customHeight="1">
      <c r="A1424" s="13" t="s">
        <v>1523</v>
      </c>
      <c r="B1424" s="13" t="s">
        <v>411</v>
      </c>
      <c r="C1424" s="13" t="s">
        <v>55</v>
      </c>
      <c r="D1424" s="13" t="s">
        <v>1474</v>
      </c>
      <c r="E1424" s="13">
        <v>-0.0338033191067069</v>
      </c>
      <c r="F1424" s="13">
        <v>0.0071171589551312</v>
      </c>
      <c r="G1424" s="13">
        <v>-4.74955235927898</v>
      </c>
      <c r="H1424" s="63">
        <v>2.03867410008265E-6</v>
      </c>
      <c r="I1424" s="13">
        <v>2812656.0</v>
      </c>
      <c r="J1424" s="31" t="s">
        <v>1796</v>
      </c>
      <c r="K1424" s="31" t="s">
        <v>1793</v>
      </c>
      <c r="L1424" s="31"/>
      <c r="M1424" s="31"/>
      <c r="N1424" s="31"/>
      <c r="O1424" s="31"/>
      <c r="P1424" s="31"/>
      <c r="Q1424" s="31"/>
      <c r="R1424" s="31"/>
      <c r="S1424" s="31"/>
      <c r="T1424" s="31"/>
      <c r="U1424" s="31"/>
      <c r="V1424" s="31"/>
      <c r="W1424" s="31"/>
      <c r="X1424" s="31"/>
      <c r="Y1424" s="31"/>
      <c r="Z1424" s="31"/>
    </row>
    <row r="1425" ht="15.75" customHeight="1">
      <c r="A1425" s="13" t="s">
        <v>1523</v>
      </c>
      <c r="B1425" s="13" t="s">
        <v>411</v>
      </c>
      <c r="C1425" s="13" t="s">
        <v>1797</v>
      </c>
      <c r="D1425" s="13" t="s">
        <v>1474</v>
      </c>
      <c r="E1425" s="13">
        <v>0.00628830785700312</v>
      </c>
      <c r="F1425" s="13">
        <v>0.00615415166565296</v>
      </c>
      <c r="G1425" s="13">
        <v>1.02179929885363</v>
      </c>
      <c r="H1425" s="13">
        <v>0.306875901290868</v>
      </c>
      <c r="I1425" s="13">
        <v>2819488.0</v>
      </c>
      <c r="J1425" s="31" t="s">
        <v>1796</v>
      </c>
      <c r="K1425" s="31" t="s">
        <v>1793</v>
      </c>
      <c r="L1425" s="31"/>
      <c r="M1425" s="31"/>
      <c r="N1425" s="31"/>
      <c r="O1425" s="31"/>
      <c r="P1425" s="31"/>
      <c r="Q1425" s="31"/>
      <c r="R1425" s="31"/>
      <c r="S1425" s="31"/>
      <c r="T1425" s="31"/>
      <c r="U1425" s="31"/>
      <c r="V1425" s="31"/>
      <c r="W1425" s="31"/>
      <c r="X1425" s="31"/>
      <c r="Y1425" s="31"/>
      <c r="Z1425" s="31"/>
    </row>
    <row r="1426" ht="15.75" customHeight="1">
      <c r="A1426" s="13" t="s">
        <v>1526</v>
      </c>
      <c r="B1426" s="13" t="s">
        <v>411</v>
      </c>
      <c r="C1426" s="13" t="s">
        <v>570</v>
      </c>
      <c r="D1426" s="13" t="s">
        <v>1474</v>
      </c>
      <c r="E1426" s="13">
        <v>-0.0669237827131906</v>
      </c>
      <c r="F1426" s="13">
        <v>0.0126695405943795</v>
      </c>
      <c r="G1426" s="13">
        <v>-5.28225804358518</v>
      </c>
      <c r="H1426" s="63">
        <v>1.27601297994062E-7</v>
      </c>
      <c r="I1426" s="13">
        <v>168816.0</v>
      </c>
      <c r="J1426" s="31" t="s">
        <v>1796</v>
      </c>
      <c r="K1426" s="31" t="s">
        <v>1793</v>
      </c>
      <c r="L1426" s="31"/>
      <c r="M1426" s="31"/>
      <c r="N1426" s="31"/>
      <c r="O1426" s="31"/>
      <c r="P1426" s="31"/>
      <c r="Q1426" s="31"/>
      <c r="R1426" s="31"/>
      <c r="S1426" s="31"/>
      <c r="T1426" s="31"/>
      <c r="U1426" s="31"/>
      <c r="V1426" s="31"/>
      <c r="W1426" s="31"/>
      <c r="X1426" s="31"/>
      <c r="Y1426" s="31"/>
      <c r="Z1426" s="31"/>
    </row>
    <row r="1427" ht="15.75" customHeight="1">
      <c r="A1427" s="13" t="s">
        <v>1526</v>
      </c>
      <c r="B1427" s="13" t="s">
        <v>411</v>
      </c>
      <c r="C1427" s="13" t="s">
        <v>42</v>
      </c>
      <c r="D1427" s="13" t="s">
        <v>1474</v>
      </c>
      <c r="E1427" s="13">
        <v>-0.0334774105876111</v>
      </c>
      <c r="F1427" s="13">
        <v>0.0056145170230665</v>
      </c>
      <c r="G1427" s="13">
        <v>-5.96265189865372</v>
      </c>
      <c r="H1427" s="63">
        <v>2.48176760489593E-9</v>
      </c>
      <c r="I1427" s="13">
        <v>2818597.0</v>
      </c>
      <c r="J1427" s="31" t="s">
        <v>1796</v>
      </c>
      <c r="K1427" s="31" t="s">
        <v>1793</v>
      </c>
      <c r="L1427" s="31"/>
      <c r="M1427" s="31"/>
      <c r="N1427" s="31"/>
      <c r="O1427" s="31"/>
      <c r="P1427" s="31"/>
      <c r="Q1427" s="31"/>
      <c r="R1427" s="31"/>
      <c r="S1427" s="31"/>
      <c r="T1427" s="31"/>
      <c r="U1427" s="31"/>
      <c r="V1427" s="31"/>
      <c r="W1427" s="31"/>
      <c r="X1427" s="31"/>
      <c r="Y1427" s="31"/>
      <c r="Z1427" s="31"/>
    </row>
    <row r="1428" ht="15.75" customHeight="1">
      <c r="A1428" s="13" t="s">
        <v>1526</v>
      </c>
      <c r="B1428" s="13" t="s">
        <v>411</v>
      </c>
      <c r="C1428" s="13" t="s">
        <v>55</v>
      </c>
      <c r="D1428" s="13" t="s">
        <v>1474</v>
      </c>
      <c r="E1428" s="13">
        <v>-0.0375625522834309</v>
      </c>
      <c r="F1428" s="13">
        <v>0.00619449336365471</v>
      </c>
      <c r="G1428" s="13">
        <v>-6.06386189770154</v>
      </c>
      <c r="H1428" s="63">
        <v>1.3289127483923E-9</v>
      </c>
      <c r="I1428" s="13">
        <v>2812563.0</v>
      </c>
      <c r="J1428" s="31" t="s">
        <v>1796</v>
      </c>
      <c r="K1428" s="31" t="s">
        <v>1793</v>
      </c>
      <c r="L1428" s="31"/>
      <c r="M1428" s="31"/>
      <c r="N1428" s="31"/>
      <c r="O1428" s="31"/>
      <c r="P1428" s="31"/>
      <c r="Q1428" s="31"/>
      <c r="R1428" s="31"/>
      <c r="S1428" s="31"/>
      <c r="T1428" s="31"/>
      <c r="U1428" s="31"/>
      <c r="V1428" s="31"/>
      <c r="W1428" s="31"/>
      <c r="X1428" s="31"/>
      <c r="Y1428" s="31"/>
      <c r="Z1428" s="31"/>
    </row>
    <row r="1429" ht="15.75" customHeight="1">
      <c r="A1429" s="13" t="s">
        <v>1526</v>
      </c>
      <c r="B1429" s="13" t="s">
        <v>411</v>
      </c>
      <c r="C1429" s="13" t="s">
        <v>1797</v>
      </c>
      <c r="D1429" s="13" t="s">
        <v>1474</v>
      </c>
      <c r="E1429" s="13">
        <v>-0.016913140011338</v>
      </c>
      <c r="F1429" s="13">
        <v>0.00510616043163642</v>
      </c>
      <c r="G1429" s="13">
        <v>-3.31230094271003</v>
      </c>
      <c r="H1429" s="63">
        <v>9.25319492851964E-4</v>
      </c>
      <c r="I1429" s="13">
        <v>2819401.0</v>
      </c>
      <c r="J1429" s="31" t="s">
        <v>1796</v>
      </c>
      <c r="K1429" s="31" t="s">
        <v>1793</v>
      </c>
      <c r="L1429" s="31"/>
      <c r="M1429" s="31"/>
      <c r="N1429" s="31"/>
      <c r="O1429" s="31"/>
      <c r="P1429" s="31"/>
      <c r="Q1429" s="31"/>
      <c r="R1429" s="31"/>
      <c r="S1429" s="31"/>
      <c r="T1429" s="31"/>
      <c r="U1429" s="31"/>
      <c r="V1429" s="31"/>
      <c r="W1429" s="31"/>
      <c r="X1429" s="31"/>
      <c r="Y1429" s="31"/>
      <c r="Z1429" s="31"/>
    </row>
    <row r="1430" ht="15.75" customHeight="1">
      <c r="A1430" s="13" t="s">
        <v>465</v>
      </c>
      <c r="B1430" s="13" t="s">
        <v>411</v>
      </c>
      <c r="C1430" s="13" t="s">
        <v>570</v>
      </c>
      <c r="D1430" s="13" t="s">
        <v>1474</v>
      </c>
      <c r="E1430" s="13">
        <v>-0.65601142324</v>
      </c>
      <c r="F1430" s="13">
        <v>0.00813796808261805</v>
      </c>
      <c r="G1430" s="13">
        <v>-80.6112062102061</v>
      </c>
      <c r="H1430" s="13">
        <v>0.0</v>
      </c>
      <c r="I1430" s="13">
        <v>136749.0</v>
      </c>
      <c r="J1430" s="31" t="s">
        <v>1796</v>
      </c>
      <c r="K1430" s="31" t="s">
        <v>1793</v>
      </c>
      <c r="L1430" s="31"/>
      <c r="M1430" s="31"/>
      <c r="N1430" s="31"/>
      <c r="O1430" s="31"/>
      <c r="P1430" s="31"/>
      <c r="Q1430" s="31"/>
      <c r="R1430" s="31"/>
      <c r="S1430" s="31"/>
      <c r="T1430" s="31"/>
      <c r="U1430" s="31"/>
      <c r="V1430" s="31"/>
      <c r="W1430" s="31"/>
      <c r="X1430" s="31"/>
      <c r="Y1430" s="31"/>
      <c r="Z1430" s="31"/>
    </row>
    <row r="1431" ht="15.75" customHeight="1">
      <c r="A1431" s="13" t="s">
        <v>465</v>
      </c>
      <c r="B1431" s="13" t="s">
        <v>411</v>
      </c>
      <c r="C1431" s="13" t="s">
        <v>42</v>
      </c>
      <c r="D1431" s="13" t="s">
        <v>1474</v>
      </c>
      <c r="E1431" s="13">
        <v>-0.658194400844725</v>
      </c>
      <c r="F1431" s="13">
        <v>0.0048304893059113</v>
      </c>
      <c r="G1431" s="13">
        <v>-136.258328952154</v>
      </c>
      <c r="H1431" s="13">
        <v>0.0</v>
      </c>
      <c r="I1431" s="13">
        <v>2106037.0</v>
      </c>
      <c r="J1431" s="31" t="s">
        <v>1796</v>
      </c>
      <c r="K1431" s="31" t="s">
        <v>1793</v>
      </c>
      <c r="L1431" s="31"/>
      <c r="M1431" s="31"/>
      <c r="N1431" s="31"/>
      <c r="O1431" s="31"/>
      <c r="P1431" s="31"/>
      <c r="Q1431" s="31"/>
      <c r="R1431" s="31"/>
      <c r="S1431" s="31"/>
      <c r="T1431" s="31"/>
      <c r="U1431" s="31"/>
      <c r="V1431" s="31"/>
      <c r="W1431" s="31"/>
      <c r="X1431" s="31"/>
      <c r="Y1431" s="31"/>
      <c r="Z1431" s="31"/>
    </row>
    <row r="1432" ht="15.75" customHeight="1">
      <c r="A1432" s="13" t="s">
        <v>465</v>
      </c>
      <c r="B1432" s="13" t="s">
        <v>411</v>
      </c>
      <c r="C1432" s="13" t="s">
        <v>55</v>
      </c>
      <c r="D1432" s="13" t="s">
        <v>1474</v>
      </c>
      <c r="E1432" s="13">
        <v>-0.581477758079067</v>
      </c>
      <c r="F1432" s="13">
        <v>0.00496289459186448</v>
      </c>
      <c r="G1432" s="13">
        <v>-117.165042963488</v>
      </c>
      <c r="H1432" s="13">
        <v>0.0</v>
      </c>
      <c r="I1432" s="13">
        <v>2105280.0</v>
      </c>
      <c r="J1432" s="31" t="s">
        <v>1796</v>
      </c>
      <c r="K1432" s="31" t="s">
        <v>1793</v>
      </c>
      <c r="L1432" s="31"/>
      <c r="M1432" s="31"/>
      <c r="N1432" s="31"/>
      <c r="O1432" s="31"/>
      <c r="P1432" s="31"/>
      <c r="Q1432" s="31"/>
      <c r="R1432" s="31"/>
      <c r="S1432" s="31"/>
      <c r="T1432" s="31"/>
      <c r="U1432" s="31"/>
      <c r="V1432" s="31"/>
      <c r="W1432" s="31"/>
      <c r="X1432" s="31"/>
      <c r="Y1432" s="31"/>
      <c r="Z1432" s="31"/>
    </row>
    <row r="1433" ht="15.75" customHeight="1">
      <c r="A1433" s="13" t="s">
        <v>465</v>
      </c>
      <c r="B1433" s="13" t="s">
        <v>411</v>
      </c>
      <c r="C1433" s="13" t="s">
        <v>1797</v>
      </c>
      <c r="D1433" s="13" t="s">
        <v>1474</v>
      </c>
      <c r="E1433" s="13">
        <v>0.263206576770983</v>
      </c>
      <c r="F1433" s="13">
        <v>0.00663123272231171</v>
      </c>
      <c r="G1433" s="13">
        <v>39.6919528831175</v>
      </c>
      <c r="H1433" s="13">
        <v>0.0</v>
      </c>
      <c r="I1433" s="13">
        <v>2105974.0</v>
      </c>
      <c r="J1433" s="31" t="s">
        <v>1796</v>
      </c>
      <c r="K1433" s="31" t="s">
        <v>1793</v>
      </c>
      <c r="L1433" s="31"/>
      <c r="M1433" s="31"/>
      <c r="N1433" s="31"/>
      <c r="O1433" s="31"/>
      <c r="P1433" s="31"/>
      <c r="Q1433" s="31"/>
      <c r="R1433" s="31"/>
      <c r="S1433" s="31"/>
      <c r="T1433" s="31"/>
      <c r="U1433" s="31"/>
      <c r="V1433" s="31"/>
      <c r="W1433" s="31"/>
      <c r="X1433" s="31"/>
      <c r="Y1433" s="31"/>
      <c r="Z1433" s="31"/>
    </row>
    <row r="1434" ht="15.75" customHeight="1">
      <c r="A1434" s="13" t="s">
        <v>609</v>
      </c>
      <c r="B1434" s="13" t="s">
        <v>411</v>
      </c>
      <c r="C1434" s="13" t="s">
        <v>570</v>
      </c>
      <c r="D1434" s="13" t="s">
        <v>1474</v>
      </c>
      <c r="E1434" s="13">
        <v>-0.546589118686436</v>
      </c>
      <c r="F1434" s="13">
        <v>0.0428536771741932</v>
      </c>
      <c r="G1434" s="13">
        <v>-12.7547775297004</v>
      </c>
      <c r="H1434" s="63">
        <v>2.93210649384497E-37</v>
      </c>
      <c r="I1434" s="13">
        <v>5070.0</v>
      </c>
      <c r="J1434" s="31" t="s">
        <v>1796</v>
      </c>
      <c r="K1434" s="31" t="s">
        <v>1793</v>
      </c>
      <c r="L1434" s="31"/>
      <c r="M1434" s="31"/>
      <c r="N1434" s="31"/>
      <c r="O1434" s="31"/>
      <c r="P1434" s="31"/>
      <c r="Q1434" s="31"/>
      <c r="R1434" s="31"/>
      <c r="S1434" s="31"/>
      <c r="T1434" s="31"/>
      <c r="U1434" s="31"/>
      <c r="V1434" s="31"/>
      <c r="W1434" s="31"/>
      <c r="X1434" s="31"/>
      <c r="Y1434" s="31"/>
      <c r="Z1434" s="31"/>
    </row>
    <row r="1435" ht="15.75" customHeight="1">
      <c r="A1435" s="13" t="s">
        <v>609</v>
      </c>
      <c r="B1435" s="13" t="s">
        <v>411</v>
      </c>
      <c r="C1435" s="13" t="s">
        <v>42</v>
      </c>
      <c r="D1435" s="13" t="s">
        <v>1474</v>
      </c>
      <c r="E1435" s="13">
        <v>-0.568052790020303</v>
      </c>
      <c r="F1435" s="13">
        <v>0.0104836294835869</v>
      </c>
      <c r="G1435" s="13">
        <v>-54.184744978792</v>
      </c>
      <c r="H1435" s="13">
        <v>0.0</v>
      </c>
      <c r="I1435" s="13">
        <v>77250.0</v>
      </c>
      <c r="J1435" s="31" t="s">
        <v>1796</v>
      </c>
      <c r="K1435" s="31" t="s">
        <v>1793</v>
      </c>
      <c r="L1435" s="31"/>
      <c r="M1435" s="31"/>
      <c r="N1435" s="31"/>
      <c r="O1435" s="31"/>
      <c r="P1435" s="31"/>
      <c r="Q1435" s="31"/>
      <c r="R1435" s="31"/>
      <c r="S1435" s="31"/>
      <c r="T1435" s="31"/>
      <c r="U1435" s="31"/>
      <c r="V1435" s="31"/>
      <c r="W1435" s="31"/>
      <c r="X1435" s="31"/>
      <c r="Y1435" s="31"/>
      <c r="Z1435" s="31"/>
    </row>
    <row r="1436" ht="15.75" customHeight="1">
      <c r="A1436" s="13" t="s">
        <v>609</v>
      </c>
      <c r="B1436" s="13" t="s">
        <v>411</v>
      </c>
      <c r="C1436" s="13" t="s">
        <v>55</v>
      </c>
      <c r="D1436" s="13" t="s">
        <v>1474</v>
      </c>
      <c r="E1436" s="13">
        <v>-0.496885560851135</v>
      </c>
      <c r="F1436" s="13">
        <v>0.0120159400461626</v>
      </c>
      <c r="G1436" s="13">
        <v>-41.3522004056453</v>
      </c>
      <c r="H1436" s="13">
        <v>0.0</v>
      </c>
      <c r="I1436" s="13">
        <v>77230.0</v>
      </c>
      <c r="J1436" s="31" t="s">
        <v>1796</v>
      </c>
      <c r="K1436" s="31" t="s">
        <v>1793</v>
      </c>
      <c r="L1436" s="31"/>
      <c r="M1436" s="31"/>
      <c r="N1436" s="31"/>
      <c r="O1436" s="31"/>
      <c r="P1436" s="31"/>
      <c r="Q1436" s="31"/>
      <c r="R1436" s="31"/>
      <c r="S1436" s="31"/>
      <c r="T1436" s="31"/>
      <c r="U1436" s="31"/>
      <c r="V1436" s="31"/>
      <c r="W1436" s="31"/>
      <c r="X1436" s="31"/>
      <c r="Y1436" s="31"/>
      <c r="Z1436" s="31"/>
    </row>
    <row r="1437" ht="15.75" customHeight="1">
      <c r="A1437" s="13" t="s">
        <v>609</v>
      </c>
      <c r="B1437" s="13" t="s">
        <v>411</v>
      </c>
      <c r="C1437" s="13" t="s">
        <v>1797</v>
      </c>
      <c r="D1437" s="13" t="s">
        <v>1474</v>
      </c>
      <c r="E1437" s="13">
        <v>0.262447024813246</v>
      </c>
      <c r="F1437" s="13">
        <v>0.0127659244062228</v>
      </c>
      <c r="G1437" s="13">
        <v>20.55840348587</v>
      </c>
      <c r="H1437" s="63">
        <v>6.4727979064735E-94</v>
      </c>
      <c r="I1437" s="13">
        <v>77252.0</v>
      </c>
      <c r="J1437" s="31" t="s">
        <v>1796</v>
      </c>
      <c r="K1437" s="31" t="s">
        <v>1793</v>
      </c>
      <c r="L1437" s="31"/>
      <c r="M1437" s="31"/>
      <c r="N1437" s="31"/>
      <c r="O1437" s="31"/>
      <c r="P1437" s="31"/>
      <c r="Q1437" s="31"/>
      <c r="R1437" s="31"/>
      <c r="S1437" s="31"/>
      <c r="T1437" s="31"/>
      <c r="U1437" s="31"/>
      <c r="V1437" s="31"/>
      <c r="W1437" s="31"/>
      <c r="X1437" s="31"/>
      <c r="Y1437" s="31"/>
      <c r="Z1437" s="31"/>
    </row>
    <row r="1438" ht="15.75" customHeight="1">
      <c r="A1438" s="13"/>
      <c r="B1438" s="13"/>
      <c r="C1438" s="13"/>
      <c r="D1438" s="13"/>
      <c r="E1438" s="13"/>
      <c r="F1438" s="63"/>
      <c r="G1438" s="13"/>
      <c r="H1438" s="63"/>
      <c r="I1438" s="13"/>
      <c r="J1438" s="31"/>
      <c r="K1438" s="31"/>
      <c r="L1438" s="31"/>
      <c r="M1438" s="31"/>
      <c r="N1438" s="31"/>
      <c r="O1438" s="31"/>
      <c r="P1438" s="31"/>
      <c r="Q1438" s="31"/>
      <c r="R1438" s="31"/>
      <c r="S1438" s="31"/>
      <c r="T1438" s="31"/>
      <c r="U1438" s="31"/>
      <c r="V1438" s="31"/>
      <c r="W1438" s="31"/>
      <c r="X1438" s="31"/>
      <c r="Y1438" s="31"/>
      <c r="Z1438" s="31"/>
    </row>
    <row r="1439" ht="15.75" customHeight="1">
      <c r="A1439" s="13"/>
      <c r="B1439" s="13"/>
      <c r="C1439" s="13"/>
      <c r="D1439" s="13"/>
      <c r="E1439" s="13"/>
      <c r="F1439" s="63"/>
      <c r="G1439" s="13"/>
      <c r="H1439" s="63"/>
      <c r="I1439" s="13"/>
      <c r="J1439" s="31"/>
      <c r="K1439" s="31"/>
      <c r="L1439" s="31"/>
      <c r="M1439" s="31"/>
      <c r="N1439" s="31"/>
      <c r="O1439" s="31"/>
      <c r="P1439" s="31"/>
      <c r="Q1439" s="31"/>
      <c r="R1439" s="31"/>
      <c r="S1439" s="31"/>
      <c r="T1439" s="31"/>
      <c r="U1439" s="31"/>
      <c r="V1439" s="31"/>
      <c r="W1439" s="31"/>
      <c r="X1439" s="31"/>
      <c r="Y1439" s="31"/>
      <c r="Z1439" s="31"/>
    </row>
    <row r="1440" ht="15.75" customHeight="1">
      <c r="A1440" s="13"/>
      <c r="B1440" s="13"/>
      <c r="C1440" s="13"/>
      <c r="D1440" s="13"/>
      <c r="E1440" s="63"/>
      <c r="F1440" s="63"/>
      <c r="G1440" s="13"/>
      <c r="H1440" s="13"/>
      <c r="I1440" s="13"/>
      <c r="J1440" s="31"/>
      <c r="K1440" s="31"/>
      <c r="L1440" s="31"/>
      <c r="M1440" s="31"/>
      <c r="N1440" s="31"/>
      <c r="O1440" s="31"/>
      <c r="P1440" s="31"/>
      <c r="Q1440" s="31"/>
      <c r="R1440" s="31"/>
      <c r="S1440" s="31"/>
      <c r="T1440" s="31"/>
      <c r="U1440" s="31"/>
      <c r="V1440" s="31"/>
      <c r="W1440" s="31"/>
      <c r="X1440" s="31"/>
      <c r="Y1440" s="31"/>
      <c r="Z1440" s="31"/>
    </row>
    <row r="1441" ht="15.75" customHeight="1">
      <c r="A1441" s="13"/>
      <c r="B1441" s="13"/>
      <c r="C1441" s="13"/>
      <c r="D1441" s="13"/>
      <c r="E1441" s="13"/>
      <c r="F1441" s="63"/>
      <c r="G1441" s="13"/>
      <c r="H1441" s="63"/>
      <c r="I1441" s="13"/>
      <c r="J1441" s="31"/>
      <c r="K1441" s="31"/>
      <c r="L1441" s="31"/>
      <c r="M1441" s="31"/>
      <c r="N1441" s="31"/>
      <c r="O1441" s="31"/>
      <c r="P1441" s="31"/>
      <c r="Q1441" s="31"/>
      <c r="R1441" s="31"/>
      <c r="S1441" s="31"/>
      <c r="T1441" s="31"/>
      <c r="U1441" s="31"/>
      <c r="V1441" s="31"/>
      <c r="W1441" s="31"/>
      <c r="X1441" s="31"/>
      <c r="Y1441" s="31"/>
      <c r="Z1441" s="31"/>
    </row>
    <row r="1442" ht="15.75" customHeight="1">
      <c r="A1442" s="13"/>
      <c r="B1442" s="13"/>
      <c r="C1442" s="13"/>
      <c r="D1442" s="13"/>
      <c r="E1442" s="13"/>
      <c r="F1442" s="63"/>
      <c r="G1442" s="13"/>
      <c r="H1442" s="63"/>
      <c r="I1442" s="13"/>
      <c r="J1442" s="31"/>
      <c r="K1442" s="31"/>
      <c r="L1442" s="31"/>
      <c r="M1442" s="31"/>
      <c r="N1442" s="31"/>
      <c r="O1442" s="31"/>
      <c r="P1442" s="31"/>
      <c r="Q1442" s="31"/>
      <c r="R1442" s="31"/>
      <c r="S1442" s="31"/>
      <c r="T1442" s="31"/>
      <c r="U1442" s="31"/>
      <c r="V1442" s="31"/>
      <c r="W1442" s="31"/>
      <c r="X1442" s="31"/>
      <c r="Y1442" s="31"/>
      <c r="Z1442" s="31"/>
    </row>
    <row r="1443" ht="15.75" customHeight="1">
      <c r="A1443" s="13"/>
      <c r="B1443" s="13"/>
      <c r="C1443" s="13"/>
      <c r="D1443" s="13"/>
      <c r="E1443" s="13"/>
      <c r="F1443" s="63"/>
      <c r="G1443" s="13"/>
      <c r="H1443" s="63"/>
      <c r="I1443" s="13"/>
      <c r="J1443" s="31"/>
      <c r="K1443" s="31"/>
      <c r="L1443" s="31"/>
      <c r="M1443" s="31"/>
      <c r="N1443" s="31"/>
      <c r="O1443" s="31"/>
      <c r="P1443" s="31"/>
      <c r="Q1443" s="31"/>
      <c r="R1443" s="31"/>
      <c r="S1443" s="31"/>
      <c r="T1443" s="31"/>
      <c r="U1443" s="31"/>
      <c r="V1443" s="31"/>
      <c r="W1443" s="31"/>
      <c r="X1443" s="31"/>
      <c r="Y1443" s="31"/>
      <c r="Z1443" s="31"/>
    </row>
    <row r="1444" ht="15.75" customHeight="1">
      <c r="A1444" s="13"/>
      <c r="B1444" s="13"/>
      <c r="C1444" s="13"/>
      <c r="D1444" s="13"/>
      <c r="E1444" s="13"/>
      <c r="F1444" s="63"/>
      <c r="G1444" s="13"/>
      <c r="H1444" s="63"/>
      <c r="I1444" s="13"/>
      <c r="J1444" s="31"/>
      <c r="K1444" s="31"/>
      <c r="L1444" s="31"/>
      <c r="M1444" s="31"/>
      <c r="N1444" s="31"/>
      <c r="O1444" s="31"/>
      <c r="P1444" s="31"/>
      <c r="Q1444" s="31"/>
      <c r="R1444" s="31"/>
      <c r="S1444" s="31"/>
      <c r="T1444" s="31"/>
      <c r="U1444" s="31"/>
      <c r="V1444" s="31"/>
      <c r="W1444" s="31"/>
      <c r="X1444" s="31"/>
      <c r="Y1444" s="31"/>
      <c r="Z1444" s="31"/>
    </row>
    <row r="1445" ht="15.75" customHeight="1">
      <c r="A1445" s="13"/>
      <c r="B1445" s="13"/>
      <c r="C1445" s="13"/>
      <c r="D1445" s="13"/>
      <c r="E1445" s="13"/>
      <c r="F1445" s="63"/>
      <c r="G1445" s="13"/>
      <c r="H1445" s="63"/>
      <c r="I1445" s="13"/>
      <c r="J1445" s="31"/>
      <c r="K1445" s="31"/>
      <c r="L1445" s="31"/>
      <c r="M1445" s="31"/>
      <c r="N1445" s="31"/>
      <c r="O1445" s="31"/>
      <c r="P1445" s="31"/>
      <c r="Q1445" s="31"/>
      <c r="R1445" s="31"/>
      <c r="S1445" s="31"/>
      <c r="T1445" s="31"/>
      <c r="U1445" s="31"/>
      <c r="V1445" s="31"/>
      <c r="W1445" s="31"/>
      <c r="X1445" s="31"/>
      <c r="Y1445" s="31"/>
      <c r="Z1445" s="31"/>
    </row>
    <row r="1446" ht="15.75" customHeight="1">
      <c r="A1446" s="13"/>
      <c r="B1446" s="13"/>
      <c r="C1446" s="13"/>
      <c r="D1446" s="13"/>
      <c r="E1446" s="13"/>
      <c r="F1446" s="63"/>
      <c r="G1446" s="13"/>
      <c r="H1446" s="63"/>
      <c r="I1446" s="13"/>
      <c r="J1446" s="31"/>
      <c r="K1446" s="31"/>
      <c r="L1446" s="31"/>
      <c r="M1446" s="31"/>
      <c r="N1446" s="31"/>
      <c r="O1446" s="31"/>
      <c r="P1446" s="31"/>
      <c r="Q1446" s="31"/>
      <c r="R1446" s="31"/>
      <c r="S1446" s="31"/>
      <c r="T1446" s="31"/>
      <c r="U1446" s="31"/>
      <c r="V1446" s="31"/>
      <c r="W1446" s="31"/>
      <c r="X1446" s="31"/>
      <c r="Y1446" s="31"/>
      <c r="Z1446" s="31"/>
    </row>
    <row r="1447" ht="15.75" customHeight="1">
      <c r="A1447" s="13"/>
      <c r="B1447" s="13"/>
      <c r="C1447" s="13"/>
      <c r="D1447" s="13"/>
      <c r="E1447" s="13"/>
      <c r="F1447" s="63"/>
      <c r="G1447" s="13"/>
      <c r="H1447" s="63"/>
      <c r="I1447" s="13"/>
      <c r="J1447" s="31"/>
      <c r="K1447" s="31"/>
      <c r="L1447" s="31"/>
      <c r="M1447" s="31"/>
      <c r="N1447" s="31"/>
      <c r="O1447" s="31"/>
      <c r="P1447" s="31"/>
      <c r="Q1447" s="31"/>
      <c r="R1447" s="31"/>
      <c r="S1447" s="31"/>
      <c r="T1447" s="31"/>
      <c r="U1447" s="31"/>
      <c r="V1447" s="31"/>
      <c r="W1447" s="31"/>
      <c r="X1447" s="31"/>
      <c r="Y1447" s="31"/>
      <c r="Z1447" s="31"/>
    </row>
    <row r="1448" ht="15.75" customHeight="1">
      <c r="A1448" s="13"/>
      <c r="B1448" s="13"/>
      <c r="C1448" s="13"/>
      <c r="D1448" s="13"/>
      <c r="E1448" s="13"/>
      <c r="F1448" s="63"/>
      <c r="G1448" s="13"/>
      <c r="H1448" s="63"/>
      <c r="I1448" s="13"/>
      <c r="J1448" s="31"/>
      <c r="K1448" s="31"/>
      <c r="L1448" s="31"/>
      <c r="M1448" s="31"/>
      <c r="N1448" s="31"/>
      <c r="O1448" s="31"/>
      <c r="P1448" s="31"/>
      <c r="Q1448" s="31"/>
      <c r="R1448" s="31"/>
      <c r="S1448" s="31"/>
      <c r="T1448" s="31"/>
      <c r="U1448" s="31"/>
      <c r="V1448" s="31"/>
      <c r="W1448" s="31"/>
      <c r="X1448" s="31"/>
      <c r="Y1448" s="31"/>
      <c r="Z1448" s="31"/>
    </row>
    <row r="1449" ht="15.75" customHeight="1">
      <c r="A1449" s="13"/>
      <c r="B1449" s="13"/>
      <c r="C1449" s="13"/>
      <c r="D1449" s="13"/>
      <c r="E1449" s="13"/>
      <c r="F1449" s="63"/>
      <c r="G1449" s="13"/>
      <c r="H1449" s="63"/>
      <c r="I1449" s="13"/>
      <c r="J1449" s="31"/>
      <c r="K1449" s="31"/>
      <c r="L1449" s="31"/>
      <c r="M1449" s="31"/>
      <c r="N1449" s="31"/>
      <c r="O1449" s="31"/>
      <c r="P1449" s="31"/>
      <c r="Q1449" s="31"/>
      <c r="R1449" s="31"/>
      <c r="S1449" s="31"/>
      <c r="T1449" s="31"/>
      <c r="U1449" s="31"/>
      <c r="V1449" s="31"/>
      <c r="W1449" s="31"/>
      <c r="X1449" s="31"/>
      <c r="Y1449" s="31"/>
      <c r="Z1449" s="31"/>
    </row>
    <row r="1450" ht="15.75" customHeight="1">
      <c r="A1450" s="13"/>
      <c r="B1450" s="13"/>
      <c r="C1450" s="13"/>
      <c r="D1450" s="13"/>
      <c r="E1450" s="13"/>
      <c r="F1450" s="63"/>
      <c r="G1450" s="13"/>
      <c r="H1450" s="63"/>
      <c r="I1450" s="13"/>
      <c r="J1450" s="31"/>
      <c r="K1450" s="31"/>
      <c r="L1450" s="31"/>
      <c r="M1450" s="31"/>
      <c r="N1450" s="31"/>
      <c r="O1450" s="31"/>
      <c r="P1450" s="31"/>
      <c r="Q1450" s="31"/>
      <c r="R1450" s="31"/>
      <c r="S1450" s="31"/>
      <c r="T1450" s="31"/>
      <c r="U1450" s="31"/>
      <c r="V1450" s="31"/>
      <c r="W1450" s="31"/>
      <c r="X1450" s="31"/>
      <c r="Y1450" s="31"/>
      <c r="Z1450" s="31"/>
    </row>
    <row r="1451" ht="15.75" customHeight="1">
      <c r="A1451" s="13"/>
      <c r="B1451" s="13"/>
      <c r="C1451" s="13"/>
      <c r="D1451" s="13"/>
      <c r="E1451" s="13"/>
      <c r="F1451" s="63"/>
      <c r="G1451" s="13"/>
      <c r="H1451" s="63"/>
      <c r="I1451" s="13"/>
      <c r="J1451" s="31"/>
      <c r="K1451" s="31"/>
      <c r="L1451" s="31"/>
      <c r="M1451" s="31"/>
      <c r="N1451" s="31"/>
      <c r="O1451" s="31"/>
      <c r="P1451" s="31"/>
      <c r="Q1451" s="31"/>
      <c r="R1451" s="31"/>
      <c r="S1451" s="31"/>
      <c r="T1451" s="31"/>
      <c r="U1451" s="31"/>
      <c r="V1451" s="31"/>
      <c r="W1451" s="31"/>
      <c r="X1451" s="31"/>
      <c r="Y1451" s="31"/>
      <c r="Z1451" s="31"/>
    </row>
    <row r="1452" ht="15.75" customHeight="1">
      <c r="A1452" s="13"/>
      <c r="B1452" s="13"/>
      <c r="C1452" s="13"/>
      <c r="D1452" s="13"/>
      <c r="E1452" s="13"/>
      <c r="F1452" s="63"/>
      <c r="G1452" s="13"/>
      <c r="H1452" s="63"/>
      <c r="I1452" s="13"/>
      <c r="J1452" s="31"/>
      <c r="K1452" s="31"/>
      <c r="L1452" s="31"/>
      <c r="M1452" s="31"/>
      <c r="N1452" s="31"/>
      <c r="O1452" s="31"/>
      <c r="P1452" s="31"/>
      <c r="Q1452" s="31"/>
      <c r="R1452" s="31"/>
      <c r="S1452" s="31"/>
      <c r="T1452" s="31"/>
      <c r="U1452" s="31"/>
      <c r="V1452" s="31"/>
      <c r="W1452" s="31"/>
      <c r="X1452" s="31"/>
      <c r="Y1452" s="31"/>
      <c r="Z1452" s="31"/>
    </row>
    <row r="1453" ht="15.75" customHeight="1">
      <c r="A1453" s="13"/>
      <c r="B1453" s="13"/>
      <c r="C1453" s="13"/>
      <c r="D1453" s="13"/>
      <c r="E1453" s="13"/>
      <c r="F1453" s="63"/>
      <c r="G1453" s="13"/>
      <c r="H1453" s="63"/>
      <c r="I1453" s="13"/>
      <c r="J1453" s="31"/>
      <c r="K1453" s="31"/>
      <c r="L1453" s="31"/>
      <c r="M1453" s="31"/>
      <c r="N1453" s="31"/>
      <c r="O1453" s="31"/>
      <c r="P1453" s="31"/>
      <c r="Q1453" s="31"/>
      <c r="R1453" s="31"/>
      <c r="S1453" s="31"/>
      <c r="T1453" s="31"/>
      <c r="U1453" s="31"/>
      <c r="V1453" s="31"/>
      <c r="W1453" s="31"/>
      <c r="X1453" s="31"/>
      <c r="Y1453" s="31"/>
      <c r="Z1453" s="31"/>
    </row>
    <row r="1454" ht="15.75" customHeight="1">
      <c r="A1454" s="13"/>
      <c r="B1454" s="13"/>
      <c r="C1454" s="13"/>
      <c r="D1454" s="13"/>
      <c r="E1454" s="63"/>
      <c r="F1454" s="63"/>
      <c r="G1454" s="13"/>
      <c r="H1454" s="13"/>
      <c r="I1454" s="13"/>
      <c r="J1454" s="31"/>
      <c r="K1454" s="31"/>
      <c r="L1454" s="31"/>
      <c r="M1454" s="31"/>
      <c r="N1454" s="31"/>
      <c r="O1454" s="31"/>
      <c r="P1454" s="31"/>
      <c r="Q1454" s="31"/>
      <c r="R1454" s="31"/>
      <c r="S1454" s="31"/>
      <c r="T1454" s="31"/>
      <c r="U1454" s="31"/>
      <c r="V1454" s="31"/>
      <c r="W1454" s="31"/>
      <c r="X1454" s="31"/>
      <c r="Y1454" s="31"/>
      <c r="Z1454" s="31"/>
    </row>
    <row r="1455" ht="15.75" customHeight="1">
      <c r="A1455" s="13"/>
      <c r="B1455" s="13"/>
      <c r="C1455" s="13"/>
      <c r="D1455" s="13"/>
      <c r="E1455" s="13"/>
      <c r="F1455" s="63"/>
      <c r="G1455" s="13"/>
      <c r="H1455" s="63"/>
      <c r="I1455" s="13"/>
      <c r="J1455" s="31"/>
      <c r="K1455" s="31"/>
      <c r="L1455" s="31"/>
      <c r="M1455" s="31"/>
      <c r="N1455" s="31"/>
      <c r="O1455" s="31"/>
      <c r="P1455" s="31"/>
      <c r="Q1455" s="31"/>
      <c r="R1455" s="31"/>
      <c r="S1455" s="31"/>
      <c r="T1455" s="31"/>
      <c r="U1455" s="31"/>
      <c r="V1455" s="31"/>
      <c r="W1455" s="31"/>
      <c r="X1455" s="31"/>
      <c r="Y1455" s="31"/>
      <c r="Z1455" s="31"/>
    </row>
    <row r="1456" ht="15.75" customHeight="1">
      <c r="A1456" s="13"/>
      <c r="B1456" s="13"/>
      <c r="C1456" s="13"/>
      <c r="D1456" s="13"/>
      <c r="E1456" s="13"/>
      <c r="F1456" s="63"/>
      <c r="G1456" s="13"/>
      <c r="H1456" s="63"/>
      <c r="I1456" s="13"/>
      <c r="J1456" s="31"/>
      <c r="K1456" s="31"/>
      <c r="L1456" s="31"/>
      <c r="M1456" s="31"/>
      <c r="N1456" s="31"/>
      <c r="O1456" s="31"/>
      <c r="P1456" s="31"/>
      <c r="Q1456" s="31"/>
      <c r="R1456" s="31"/>
      <c r="S1456" s="31"/>
      <c r="T1456" s="31"/>
      <c r="U1456" s="31"/>
      <c r="V1456" s="31"/>
      <c r="W1456" s="31"/>
      <c r="X1456" s="31"/>
      <c r="Y1456" s="31"/>
      <c r="Z1456" s="31"/>
    </row>
    <row r="1457" ht="15.75" customHeight="1">
      <c r="A1457" s="13"/>
      <c r="B1457" s="13"/>
      <c r="C1457" s="13"/>
      <c r="D1457" s="13"/>
      <c r="E1457" s="13"/>
      <c r="F1457" s="63"/>
      <c r="G1457" s="13"/>
      <c r="H1457" s="63"/>
      <c r="I1457" s="13"/>
      <c r="J1457" s="31"/>
      <c r="K1457" s="31"/>
      <c r="L1457" s="31"/>
      <c r="M1457" s="31"/>
      <c r="N1457" s="31"/>
      <c r="O1457" s="31"/>
      <c r="P1457" s="31"/>
      <c r="Q1457" s="31"/>
      <c r="R1457" s="31"/>
      <c r="S1457" s="31"/>
      <c r="T1457" s="31"/>
      <c r="U1457" s="31"/>
      <c r="V1457" s="31"/>
      <c r="W1457" s="31"/>
      <c r="X1457" s="31"/>
      <c r="Y1457" s="31"/>
      <c r="Z1457" s="31"/>
    </row>
    <row r="1458" ht="15.75" customHeight="1">
      <c r="A1458" s="13"/>
      <c r="B1458" s="13"/>
      <c r="C1458" s="13"/>
      <c r="D1458" s="13"/>
      <c r="E1458" s="13"/>
      <c r="F1458" s="63"/>
      <c r="G1458" s="13"/>
      <c r="H1458" s="63"/>
      <c r="I1458" s="13"/>
      <c r="J1458" s="31"/>
      <c r="K1458" s="31"/>
      <c r="L1458" s="31"/>
      <c r="M1458" s="31"/>
      <c r="N1458" s="31"/>
      <c r="O1458" s="31"/>
      <c r="P1458" s="31"/>
      <c r="Q1458" s="31"/>
      <c r="R1458" s="31"/>
      <c r="S1458" s="31"/>
      <c r="T1458" s="31"/>
      <c r="U1458" s="31"/>
      <c r="V1458" s="31"/>
      <c r="W1458" s="31"/>
      <c r="X1458" s="31"/>
      <c r="Y1458" s="31"/>
      <c r="Z1458" s="31"/>
    </row>
    <row r="1459" ht="15.75" customHeight="1">
      <c r="A1459" s="13"/>
      <c r="B1459" s="13"/>
      <c r="C1459" s="13"/>
      <c r="D1459" s="13"/>
      <c r="E1459" s="13"/>
      <c r="F1459" s="63"/>
      <c r="G1459" s="13"/>
      <c r="H1459" s="63"/>
      <c r="I1459" s="13"/>
      <c r="J1459" s="31"/>
      <c r="K1459" s="31"/>
      <c r="L1459" s="31"/>
      <c r="M1459" s="31"/>
      <c r="N1459" s="31"/>
      <c r="O1459" s="31"/>
      <c r="P1459" s="31"/>
      <c r="Q1459" s="31"/>
      <c r="R1459" s="31"/>
      <c r="S1459" s="31"/>
      <c r="T1459" s="31"/>
      <c r="U1459" s="31"/>
      <c r="V1459" s="31"/>
      <c r="W1459" s="31"/>
      <c r="X1459" s="31"/>
      <c r="Y1459" s="31"/>
      <c r="Z1459" s="31"/>
    </row>
    <row r="1460" ht="15.75" customHeight="1">
      <c r="A1460" s="13"/>
      <c r="B1460" s="13"/>
      <c r="C1460" s="13"/>
      <c r="D1460" s="13"/>
      <c r="E1460" s="13"/>
      <c r="F1460" s="63"/>
      <c r="G1460" s="13"/>
      <c r="H1460" s="63"/>
      <c r="I1460" s="13"/>
      <c r="J1460" s="31"/>
      <c r="K1460" s="31"/>
      <c r="L1460" s="31"/>
      <c r="M1460" s="31"/>
      <c r="N1460" s="31"/>
      <c r="O1460" s="31"/>
      <c r="P1460" s="31"/>
      <c r="Q1460" s="31"/>
      <c r="R1460" s="31"/>
      <c r="S1460" s="31"/>
      <c r="T1460" s="31"/>
      <c r="U1460" s="31"/>
      <c r="V1460" s="31"/>
      <c r="W1460" s="31"/>
      <c r="X1460" s="31"/>
      <c r="Y1460" s="31"/>
      <c r="Z1460" s="31"/>
    </row>
    <row r="1461" ht="15.75" customHeight="1">
      <c r="A1461" s="13"/>
      <c r="B1461" s="13"/>
      <c r="C1461" s="13"/>
      <c r="D1461" s="13"/>
      <c r="E1461" s="63"/>
      <c r="F1461" s="63"/>
      <c r="G1461" s="13"/>
      <c r="H1461" s="13"/>
      <c r="I1461" s="13"/>
      <c r="J1461" s="31"/>
      <c r="K1461" s="31"/>
      <c r="L1461" s="31"/>
      <c r="M1461" s="31"/>
      <c r="N1461" s="31"/>
      <c r="O1461" s="31"/>
      <c r="P1461" s="31"/>
      <c r="Q1461" s="31"/>
      <c r="R1461" s="31"/>
      <c r="S1461" s="31"/>
      <c r="T1461" s="31"/>
      <c r="U1461" s="31"/>
      <c r="V1461" s="31"/>
      <c r="W1461" s="31"/>
      <c r="X1461" s="31"/>
      <c r="Y1461" s="31"/>
      <c r="Z1461" s="31"/>
    </row>
    <row r="1462" ht="15.75" customHeight="1">
      <c r="A1462" s="13"/>
      <c r="B1462" s="13"/>
      <c r="C1462" s="13"/>
      <c r="D1462" s="13"/>
      <c r="E1462" s="13"/>
      <c r="F1462" s="63"/>
      <c r="G1462" s="13"/>
      <c r="H1462" s="63"/>
      <c r="I1462" s="13"/>
      <c r="J1462" s="31"/>
      <c r="K1462" s="31"/>
      <c r="L1462" s="31"/>
      <c r="M1462" s="31"/>
      <c r="N1462" s="31"/>
      <c r="O1462" s="31"/>
      <c r="P1462" s="31"/>
      <c r="Q1462" s="31"/>
      <c r="R1462" s="31"/>
      <c r="S1462" s="31"/>
      <c r="T1462" s="31"/>
      <c r="U1462" s="31"/>
      <c r="V1462" s="31"/>
      <c r="W1462" s="31"/>
      <c r="X1462" s="31"/>
      <c r="Y1462" s="31"/>
      <c r="Z1462" s="31"/>
    </row>
    <row r="1463" ht="15.75" customHeight="1">
      <c r="A1463" s="13"/>
      <c r="B1463" s="13"/>
      <c r="C1463" s="13"/>
      <c r="D1463" s="13"/>
      <c r="E1463" s="13"/>
      <c r="F1463" s="63"/>
      <c r="G1463" s="13"/>
      <c r="H1463" s="63"/>
      <c r="I1463" s="13"/>
      <c r="J1463" s="31"/>
      <c r="K1463" s="31"/>
      <c r="L1463" s="31"/>
      <c r="M1463" s="31"/>
      <c r="N1463" s="31"/>
      <c r="O1463" s="31"/>
      <c r="P1463" s="31"/>
      <c r="Q1463" s="31"/>
      <c r="R1463" s="31"/>
      <c r="S1463" s="31"/>
      <c r="T1463" s="31"/>
      <c r="U1463" s="31"/>
      <c r="V1463" s="31"/>
      <c r="W1463" s="31"/>
      <c r="X1463" s="31"/>
      <c r="Y1463" s="31"/>
      <c r="Z1463" s="31"/>
    </row>
    <row r="1464" ht="15.75" customHeight="1">
      <c r="A1464" s="13"/>
      <c r="B1464" s="13"/>
      <c r="C1464" s="13"/>
      <c r="D1464" s="13"/>
      <c r="E1464" s="13"/>
      <c r="F1464" s="63"/>
      <c r="G1464" s="13"/>
      <c r="H1464" s="63"/>
      <c r="I1464" s="13"/>
      <c r="J1464" s="31"/>
      <c r="K1464" s="31"/>
      <c r="L1464" s="31"/>
      <c r="M1464" s="31"/>
      <c r="N1464" s="31"/>
      <c r="O1464" s="31"/>
      <c r="P1464" s="31"/>
      <c r="Q1464" s="31"/>
      <c r="R1464" s="31"/>
      <c r="S1464" s="31"/>
      <c r="T1464" s="31"/>
      <c r="U1464" s="31"/>
      <c r="V1464" s="31"/>
      <c r="W1464" s="31"/>
      <c r="X1464" s="31"/>
      <c r="Y1464" s="31"/>
      <c r="Z1464" s="31"/>
    </row>
    <row r="1465" ht="15.75" customHeight="1">
      <c r="A1465" s="13"/>
      <c r="B1465" s="13"/>
      <c r="C1465" s="13"/>
      <c r="D1465" s="13"/>
      <c r="E1465" s="13"/>
      <c r="F1465" s="63"/>
      <c r="G1465" s="13"/>
      <c r="H1465" s="63"/>
      <c r="I1465" s="13"/>
      <c r="J1465" s="31"/>
      <c r="K1465" s="31"/>
      <c r="L1465" s="31"/>
      <c r="M1465" s="31"/>
      <c r="N1465" s="31"/>
      <c r="O1465" s="31"/>
      <c r="P1465" s="31"/>
      <c r="Q1465" s="31"/>
      <c r="R1465" s="31"/>
      <c r="S1465" s="31"/>
      <c r="T1465" s="31"/>
      <c r="U1465" s="31"/>
      <c r="V1465" s="31"/>
      <c r="W1465" s="31"/>
      <c r="X1465" s="31"/>
      <c r="Y1465" s="31"/>
      <c r="Z1465" s="31"/>
    </row>
    <row r="1466" ht="15.75" customHeight="1">
      <c r="A1466" s="13"/>
      <c r="B1466" s="13"/>
      <c r="C1466" s="13"/>
      <c r="D1466" s="13"/>
      <c r="E1466" s="13"/>
      <c r="F1466" s="63"/>
      <c r="G1466" s="13"/>
      <c r="H1466" s="63"/>
      <c r="I1466" s="13"/>
      <c r="J1466" s="31"/>
      <c r="K1466" s="31"/>
      <c r="L1466" s="31"/>
      <c r="M1466" s="31"/>
      <c r="N1466" s="31"/>
      <c r="O1466" s="31"/>
      <c r="P1466" s="31"/>
      <c r="Q1466" s="31"/>
      <c r="R1466" s="31"/>
      <c r="S1466" s="31"/>
      <c r="T1466" s="31"/>
      <c r="U1466" s="31"/>
      <c r="V1466" s="31"/>
      <c r="W1466" s="31"/>
      <c r="X1466" s="31"/>
      <c r="Y1466" s="31"/>
      <c r="Z1466" s="31"/>
    </row>
    <row r="1467" ht="15.75" customHeight="1">
      <c r="A1467" s="13"/>
      <c r="B1467" s="13"/>
      <c r="C1467" s="13"/>
      <c r="D1467" s="13"/>
      <c r="E1467" s="13"/>
      <c r="F1467" s="63"/>
      <c r="G1467" s="13"/>
      <c r="H1467" s="63"/>
      <c r="I1467" s="13"/>
      <c r="J1467" s="31"/>
      <c r="K1467" s="31"/>
      <c r="L1467" s="31"/>
      <c r="M1467" s="31"/>
      <c r="N1467" s="31"/>
      <c r="O1467" s="31"/>
      <c r="P1467" s="31"/>
      <c r="Q1467" s="31"/>
      <c r="R1467" s="31"/>
      <c r="S1467" s="31"/>
      <c r="T1467" s="31"/>
      <c r="U1467" s="31"/>
      <c r="V1467" s="31"/>
      <c r="W1467" s="31"/>
      <c r="X1467" s="31"/>
      <c r="Y1467" s="31"/>
      <c r="Z1467" s="31"/>
    </row>
    <row r="1468" ht="15.75" customHeight="1">
      <c r="A1468" s="13"/>
      <c r="B1468" s="13"/>
      <c r="C1468" s="13"/>
      <c r="D1468" s="13"/>
      <c r="E1468" s="13"/>
      <c r="F1468" s="63"/>
      <c r="G1468" s="13"/>
      <c r="H1468" s="63"/>
      <c r="I1468" s="13"/>
      <c r="J1468" s="31"/>
      <c r="K1468" s="31"/>
      <c r="L1468" s="31"/>
      <c r="M1468" s="31"/>
      <c r="N1468" s="31"/>
      <c r="O1468" s="31"/>
      <c r="P1468" s="31"/>
      <c r="Q1468" s="31"/>
      <c r="R1468" s="31"/>
      <c r="S1468" s="31"/>
      <c r="T1468" s="31"/>
      <c r="U1468" s="31"/>
      <c r="V1468" s="31"/>
      <c r="W1468" s="31"/>
      <c r="X1468" s="31"/>
      <c r="Y1468" s="31"/>
      <c r="Z1468" s="31"/>
    </row>
    <row r="1469" ht="15.75" customHeight="1">
      <c r="A1469" s="13"/>
      <c r="B1469" s="13"/>
      <c r="C1469" s="13"/>
      <c r="D1469" s="13"/>
      <c r="E1469" s="13"/>
      <c r="F1469" s="63"/>
      <c r="G1469" s="13"/>
      <c r="H1469" s="63"/>
      <c r="I1469" s="13"/>
      <c r="J1469" s="31"/>
      <c r="K1469" s="31"/>
      <c r="L1469" s="31"/>
      <c r="M1469" s="31"/>
      <c r="N1469" s="31"/>
      <c r="O1469" s="31"/>
      <c r="P1469" s="31"/>
      <c r="Q1469" s="31"/>
      <c r="R1469" s="31"/>
      <c r="S1469" s="31"/>
      <c r="T1469" s="31"/>
      <c r="U1469" s="31"/>
      <c r="V1469" s="31"/>
      <c r="W1469" s="31"/>
      <c r="X1469" s="31"/>
      <c r="Y1469" s="31"/>
      <c r="Z1469" s="31"/>
    </row>
    <row r="1470" ht="15.75" customHeight="1">
      <c r="A1470" s="13"/>
      <c r="B1470" s="13"/>
      <c r="C1470" s="13"/>
      <c r="D1470" s="13"/>
      <c r="E1470" s="13"/>
      <c r="F1470" s="63"/>
      <c r="G1470" s="13"/>
      <c r="H1470" s="63"/>
      <c r="I1470" s="13"/>
      <c r="J1470" s="31"/>
      <c r="K1470" s="31"/>
      <c r="L1470" s="31"/>
      <c r="M1470" s="31"/>
      <c r="N1470" s="31"/>
      <c r="O1470" s="31"/>
      <c r="P1470" s="31"/>
      <c r="Q1470" s="31"/>
      <c r="R1470" s="31"/>
      <c r="S1470" s="31"/>
      <c r="T1470" s="31"/>
      <c r="U1470" s="31"/>
      <c r="V1470" s="31"/>
      <c r="W1470" s="31"/>
      <c r="X1470" s="31"/>
      <c r="Y1470" s="31"/>
      <c r="Z1470" s="31"/>
    </row>
    <row r="1471" ht="15.75" customHeight="1">
      <c r="A1471" s="13"/>
      <c r="B1471" s="13"/>
      <c r="C1471" s="13"/>
      <c r="D1471" s="13"/>
      <c r="E1471" s="13"/>
      <c r="F1471" s="63"/>
      <c r="G1471" s="13"/>
      <c r="H1471" s="63"/>
      <c r="I1471" s="13"/>
      <c r="J1471" s="31"/>
      <c r="K1471" s="31"/>
      <c r="L1471" s="31"/>
      <c r="M1471" s="31"/>
      <c r="N1471" s="31"/>
      <c r="O1471" s="31"/>
      <c r="P1471" s="31"/>
      <c r="Q1471" s="31"/>
      <c r="R1471" s="31"/>
      <c r="S1471" s="31"/>
      <c r="T1471" s="31"/>
      <c r="U1471" s="31"/>
      <c r="V1471" s="31"/>
      <c r="W1471" s="31"/>
      <c r="X1471" s="31"/>
      <c r="Y1471" s="31"/>
      <c r="Z1471" s="31"/>
    </row>
    <row r="1472" ht="15.75" customHeight="1">
      <c r="A1472" s="13"/>
      <c r="B1472" s="13"/>
      <c r="C1472" s="13"/>
      <c r="D1472" s="13"/>
      <c r="E1472" s="13"/>
      <c r="F1472" s="63"/>
      <c r="G1472" s="13"/>
      <c r="H1472" s="63"/>
      <c r="I1472" s="13"/>
      <c r="J1472" s="31"/>
      <c r="K1472" s="31"/>
      <c r="L1472" s="31"/>
      <c r="M1472" s="31"/>
      <c r="N1472" s="31"/>
      <c r="O1472" s="31"/>
      <c r="P1472" s="31"/>
      <c r="Q1472" s="31"/>
      <c r="R1472" s="31"/>
      <c r="S1472" s="31"/>
      <c r="T1472" s="31"/>
      <c r="U1472" s="31"/>
      <c r="V1472" s="31"/>
      <c r="W1472" s="31"/>
      <c r="X1472" s="31"/>
      <c r="Y1472" s="31"/>
      <c r="Z1472" s="31"/>
    </row>
    <row r="1473" ht="15.75" customHeight="1">
      <c r="A1473" s="13"/>
      <c r="B1473" s="13"/>
      <c r="C1473" s="13"/>
      <c r="D1473" s="13"/>
      <c r="E1473" s="13"/>
      <c r="F1473" s="63"/>
      <c r="G1473" s="13"/>
      <c r="H1473" s="63"/>
      <c r="I1473" s="13"/>
      <c r="J1473" s="31"/>
      <c r="K1473" s="31"/>
      <c r="L1473" s="31"/>
      <c r="M1473" s="31"/>
      <c r="N1473" s="31"/>
      <c r="O1473" s="31"/>
      <c r="P1473" s="31"/>
      <c r="Q1473" s="31"/>
      <c r="R1473" s="31"/>
      <c r="S1473" s="31"/>
      <c r="T1473" s="31"/>
      <c r="U1473" s="31"/>
      <c r="V1473" s="31"/>
      <c r="W1473" s="31"/>
      <c r="X1473" s="31"/>
      <c r="Y1473" s="31"/>
      <c r="Z1473" s="31"/>
    </row>
    <row r="1474" ht="15.75" customHeight="1">
      <c r="A1474" s="13"/>
      <c r="B1474" s="13"/>
      <c r="C1474" s="13"/>
      <c r="D1474" s="13"/>
      <c r="E1474" s="13"/>
      <c r="F1474" s="63"/>
      <c r="G1474" s="13"/>
      <c r="H1474" s="63"/>
      <c r="I1474" s="13"/>
      <c r="J1474" s="31"/>
      <c r="K1474" s="31"/>
      <c r="L1474" s="31"/>
      <c r="M1474" s="31"/>
      <c r="N1474" s="31"/>
      <c r="O1474" s="31"/>
      <c r="P1474" s="31"/>
      <c r="Q1474" s="31"/>
      <c r="R1474" s="31"/>
      <c r="S1474" s="31"/>
      <c r="T1474" s="31"/>
      <c r="U1474" s="31"/>
      <c r="V1474" s="31"/>
      <c r="W1474" s="31"/>
      <c r="X1474" s="31"/>
      <c r="Y1474" s="31"/>
      <c r="Z1474" s="31"/>
    </row>
    <row r="1475" ht="15.75" customHeight="1">
      <c r="A1475" s="13"/>
      <c r="B1475" s="13"/>
      <c r="C1475" s="13"/>
      <c r="D1475" s="13"/>
      <c r="E1475" s="13"/>
      <c r="F1475" s="63"/>
      <c r="G1475" s="13"/>
      <c r="H1475" s="63"/>
      <c r="I1475" s="13"/>
      <c r="J1475" s="31"/>
      <c r="K1475" s="31"/>
      <c r="L1475" s="31"/>
      <c r="M1475" s="31"/>
      <c r="N1475" s="31"/>
      <c r="O1475" s="31"/>
      <c r="P1475" s="31"/>
      <c r="Q1475" s="31"/>
      <c r="R1475" s="31"/>
      <c r="S1475" s="31"/>
      <c r="T1475" s="31"/>
      <c r="U1475" s="31"/>
      <c r="V1475" s="31"/>
      <c r="W1475" s="31"/>
      <c r="X1475" s="31"/>
      <c r="Y1475" s="31"/>
      <c r="Z1475" s="31"/>
    </row>
    <row r="1476" ht="15.75" customHeight="1">
      <c r="A1476" s="13"/>
      <c r="B1476" s="13"/>
      <c r="C1476" s="13"/>
      <c r="D1476" s="13"/>
      <c r="E1476" s="13"/>
      <c r="F1476" s="63"/>
      <c r="G1476" s="13"/>
      <c r="H1476" s="63"/>
      <c r="I1476" s="13"/>
      <c r="J1476" s="31"/>
      <c r="K1476" s="31"/>
      <c r="L1476" s="31"/>
      <c r="M1476" s="31"/>
      <c r="N1476" s="31"/>
      <c r="O1476" s="31"/>
      <c r="P1476" s="31"/>
      <c r="Q1476" s="31"/>
      <c r="R1476" s="31"/>
      <c r="S1476" s="31"/>
      <c r="T1476" s="31"/>
      <c r="U1476" s="31"/>
      <c r="V1476" s="31"/>
      <c r="W1476" s="31"/>
      <c r="X1476" s="31"/>
      <c r="Y1476" s="31"/>
      <c r="Z1476" s="31"/>
    </row>
    <row r="1477" ht="15.75" customHeight="1">
      <c r="A1477" s="13"/>
      <c r="B1477" s="13"/>
      <c r="C1477" s="13"/>
      <c r="D1477" s="13"/>
      <c r="E1477" s="13"/>
      <c r="F1477" s="63"/>
      <c r="G1477" s="13"/>
      <c r="H1477" s="63"/>
      <c r="I1477" s="13"/>
      <c r="J1477" s="31"/>
      <c r="K1477" s="31"/>
      <c r="L1477" s="31"/>
      <c r="M1477" s="31"/>
      <c r="N1477" s="31"/>
      <c r="O1477" s="31"/>
      <c r="P1477" s="31"/>
      <c r="Q1477" s="31"/>
      <c r="R1477" s="31"/>
      <c r="S1477" s="31"/>
      <c r="T1477" s="31"/>
      <c r="U1477" s="31"/>
      <c r="V1477" s="31"/>
      <c r="W1477" s="31"/>
      <c r="X1477" s="31"/>
      <c r="Y1477" s="31"/>
      <c r="Z1477" s="31"/>
    </row>
    <row r="1478" ht="15.75" customHeight="1">
      <c r="A1478" s="13"/>
      <c r="B1478" s="13"/>
      <c r="C1478" s="13"/>
      <c r="D1478" s="13"/>
      <c r="E1478" s="13"/>
      <c r="F1478" s="63"/>
      <c r="G1478" s="13"/>
      <c r="H1478" s="63"/>
      <c r="I1478" s="13"/>
      <c r="J1478" s="31"/>
      <c r="K1478" s="31"/>
      <c r="L1478" s="31"/>
      <c r="M1478" s="31"/>
      <c r="N1478" s="31"/>
      <c r="O1478" s="31"/>
      <c r="P1478" s="31"/>
      <c r="Q1478" s="31"/>
      <c r="R1478" s="31"/>
      <c r="S1478" s="31"/>
      <c r="T1478" s="31"/>
      <c r="U1478" s="31"/>
      <c r="V1478" s="31"/>
      <c r="W1478" s="31"/>
      <c r="X1478" s="31"/>
      <c r="Y1478" s="31"/>
      <c r="Z1478" s="31"/>
    </row>
    <row r="1479" ht="15.75" customHeight="1">
      <c r="A1479" s="13"/>
      <c r="B1479" s="13"/>
      <c r="C1479" s="13"/>
      <c r="D1479" s="13"/>
      <c r="E1479" s="13"/>
      <c r="F1479" s="13"/>
      <c r="G1479" s="13"/>
      <c r="H1479" s="13"/>
      <c r="I1479" s="13"/>
      <c r="J1479" s="31"/>
      <c r="K1479" s="31"/>
      <c r="L1479" s="31"/>
      <c r="M1479" s="31"/>
      <c r="N1479" s="31"/>
      <c r="O1479" s="31"/>
      <c r="P1479" s="31"/>
      <c r="Q1479" s="31"/>
      <c r="R1479" s="31"/>
      <c r="S1479" s="31"/>
      <c r="T1479" s="31"/>
      <c r="U1479" s="31"/>
      <c r="V1479" s="31"/>
      <c r="W1479" s="31"/>
      <c r="X1479" s="31"/>
      <c r="Y1479" s="31"/>
      <c r="Z1479" s="31"/>
    </row>
    <row r="1480" ht="15.75" customHeight="1">
      <c r="A1480" s="13"/>
      <c r="B1480" s="13"/>
      <c r="C1480" s="13"/>
      <c r="D1480" s="13"/>
      <c r="E1480" s="13"/>
      <c r="F1480" s="13"/>
      <c r="G1480" s="13"/>
      <c r="H1480" s="63"/>
      <c r="I1480" s="13"/>
      <c r="J1480" s="31"/>
      <c r="K1480" s="31"/>
      <c r="L1480" s="31"/>
      <c r="M1480" s="31"/>
      <c r="N1480" s="31"/>
      <c r="O1480" s="31"/>
      <c r="P1480" s="31"/>
      <c r="Q1480" s="31"/>
      <c r="R1480" s="31"/>
      <c r="S1480" s="31"/>
      <c r="T1480" s="31"/>
      <c r="U1480" s="31"/>
      <c r="V1480" s="31"/>
      <c r="W1480" s="31"/>
      <c r="X1480" s="31"/>
      <c r="Y1480" s="31"/>
      <c r="Z1480" s="31"/>
    </row>
    <row r="1481" ht="15.75" customHeight="1">
      <c r="A1481" s="13"/>
      <c r="B1481" s="13"/>
      <c r="C1481" s="13"/>
      <c r="D1481" s="13"/>
      <c r="E1481" s="13"/>
      <c r="F1481" s="13"/>
      <c r="G1481" s="13"/>
      <c r="H1481" s="13"/>
      <c r="I1481" s="13"/>
      <c r="J1481" s="31"/>
      <c r="K1481" s="31"/>
      <c r="L1481" s="31"/>
      <c r="M1481" s="31"/>
      <c r="N1481" s="31"/>
      <c r="O1481" s="31"/>
      <c r="P1481" s="31"/>
      <c r="Q1481" s="31"/>
      <c r="R1481" s="31"/>
      <c r="S1481" s="31"/>
      <c r="T1481" s="31"/>
      <c r="U1481" s="31"/>
      <c r="V1481" s="31"/>
      <c r="W1481" s="31"/>
      <c r="X1481" s="31"/>
      <c r="Y1481" s="31"/>
      <c r="Z1481" s="31"/>
    </row>
    <row r="1482" ht="15.75" customHeight="1">
      <c r="A1482" s="13"/>
      <c r="B1482" s="13"/>
      <c r="C1482" s="13"/>
      <c r="D1482" s="13"/>
      <c r="E1482" s="13"/>
      <c r="F1482" s="13"/>
      <c r="G1482" s="13"/>
      <c r="H1482" s="13"/>
      <c r="I1482" s="13"/>
      <c r="J1482" s="31"/>
      <c r="K1482" s="31"/>
      <c r="L1482" s="31"/>
      <c r="M1482" s="31"/>
      <c r="N1482" s="31"/>
      <c r="O1482" s="31"/>
      <c r="P1482" s="31"/>
      <c r="Q1482" s="31"/>
      <c r="R1482" s="31"/>
      <c r="S1482" s="31"/>
      <c r="T1482" s="31"/>
      <c r="U1482" s="31"/>
      <c r="V1482" s="31"/>
      <c r="W1482" s="31"/>
      <c r="X1482" s="31"/>
      <c r="Y1482" s="31"/>
      <c r="Z1482" s="31"/>
    </row>
    <row r="1483" ht="15.75" customHeight="1">
      <c r="A1483" s="13"/>
      <c r="B1483" s="13"/>
      <c r="C1483" s="13"/>
      <c r="D1483" s="13"/>
      <c r="E1483" s="13"/>
      <c r="F1483" s="13"/>
      <c r="G1483" s="13"/>
      <c r="H1483" s="63"/>
      <c r="I1483" s="13"/>
      <c r="J1483" s="31"/>
      <c r="K1483" s="31"/>
      <c r="L1483" s="31"/>
      <c r="M1483" s="31"/>
      <c r="N1483" s="31"/>
      <c r="O1483" s="31"/>
      <c r="P1483" s="31"/>
      <c r="Q1483" s="31"/>
      <c r="R1483" s="31"/>
      <c r="S1483" s="31"/>
      <c r="T1483" s="31"/>
      <c r="U1483" s="31"/>
      <c r="V1483" s="31"/>
      <c r="W1483" s="31"/>
      <c r="X1483" s="31"/>
      <c r="Y1483" s="31"/>
      <c r="Z1483" s="31"/>
    </row>
    <row r="1484" ht="15.75" customHeight="1">
      <c r="A1484" s="13"/>
      <c r="B1484" s="13"/>
      <c r="C1484" s="13"/>
      <c r="D1484" s="13"/>
      <c r="E1484" s="13"/>
      <c r="F1484" s="13"/>
      <c r="G1484" s="13"/>
      <c r="H1484" s="63"/>
      <c r="I1484" s="13"/>
      <c r="J1484" s="31"/>
      <c r="K1484" s="31"/>
      <c r="L1484" s="31"/>
      <c r="M1484" s="31"/>
      <c r="N1484" s="31"/>
      <c r="O1484" s="31"/>
      <c r="P1484" s="31"/>
      <c r="Q1484" s="31"/>
      <c r="R1484" s="31"/>
      <c r="S1484" s="31"/>
      <c r="T1484" s="31"/>
      <c r="U1484" s="31"/>
      <c r="V1484" s="31"/>
      <c r="W1484" s="31"/>
      <c r="X1484" s="31"/>
      <c r="Y1484" s="31"/>
      <c r="Z1484" s="31"/>
    </row>
    <row r="1485" ht="15.75" customHeight="1">
      <c r="A1485" s="13"/>
      <c r="B1485" s="13"/>
      <c r="C1485" s="13"/>
      <c r="D1485" s="13"/>
      <c r="E1485" s="13"/>
      <c r="F1485" s="13"/>
      <c r="G1485" s="13"/>
      <c r="H1485" s="63"/>
      <c r="I1485" s="13"/>
      <c r="J1485" s="31"/>
      <c r="K1485" s="31"/>
      <c r="L1485" s="31"/>
      <c r="M1485" s="31"/>
      <c r="N1485" s="31"/>
      <c r="O1485" s="31"/>
      <c r="P1485" s="31"/>
      <c r="Q1485" s="31"/>
      <c r="R1485" s="31"/>
      <c r="S1485" s="31"/>
      <c r="T1485" s="31"/>
      <c r="U1485" s="31"/>
      <c r="V1485" s="31"/>
      <c r="W1485" s="31"/>
      <c r="X1485" s="31"/>
      <c r="Y1485" s="31"/>
      <c r="Z1485" s="31"/>
    </row>
    <row r="1486" ht="15.75" customHeight="1">
      <c r="A1486" s="13"/>
      <c r="B1486" s="13"/>
      <c r="C1486" s="13"/>
      <c r="D1486" s="13"/>
      <c r="E1486" s="13"/>
      <c r="F1486" s="13"/>
      <c r="G1486" s="13"/>
      <c r="H1486" s="63"/>
      <c r="I1486" s="13"/>
      <c r="J1486" s="31"/>
      <c r="K1486" s="31"/>
      <c r="L1486" s="31"/>
      <c r="M1486" s="31"/>
      <c r="N1486" s="31"/>
      <c r="O1486" s="31"/>
      <c r="P1486" s="31"/>
      <c r="Q1486" s="31"/>
      <c r="R1486" s="31"/>
      <c r="S1486" s="31"/>
      <c r="T1486" s="31"/>
      <c r="U1486" s="31"/>
      <c r="V1486" s="31"/>
      <c r="W1486" s="31"/>
      <c r="X1486" s="31"/>
      <c r="Y1486" s="31"/>
      <c r="Z1486" s="31"/>
    </row>
    <row r="1487" ht="15.75" customHeight="1">
      <c r="A1487" s="13"/>
      <c r="B1487" s="13"/>
      <c r="C1487" s="13"/>
      <c r="D1487" s="13"/>
      <c r="E1487" s="13"/>
      <c r="F1487" s="13"/>
      <c r="G1487" s="13"/>
      <c r="H1487" s="63"/>
      <c r="I1487" s="13"/>
      <c r="J1487" s="31"/>
      <c r="K1487" s="31"/>
      <c r="L1487" s="31"/>
      <c r="M1487" s="31"/>
      <c r="N1487" s="31"/>
      <c r="O1487" s="31"/>
      <c r="P1487" s="31"/>
      <c r="Q1487" s="31"/>
      <c r="R1487" s="31"/>
      <c r="S1487" s="31"/>
      <c r="T1487" s="31"/>
      <c r="U1487" s="31"/>
      <c r="V1487" s="31"/>
      <c r="W1487" s="31"/>
      <c r="X1487" s="31"/>
      <c r="Y1487" s="31"/>
      <c r="Z1487" s="31"/>
    </row>
    <row r="1488" ht="15.75" customHeight="1">
      <c r="A1488" s="13"/>
      <c r="B1488" s="13"/>
      <c r="C1488" s="13"/>
      <c r="D1488" s="13"/>
      <c r="E1488" s="13"/>
      <c r="F1488" s="13"/>
      <c r="G1488" s="13"/>
      <c r="H1488" s="63"/>
      <c r="I1488" s="13"/>
      <c r="J1488" s="31"/>
      <c r="K1488" s="31"/>
      <c r="L1488" s="31"/>
      <c r="M1488" s="31"/>
      <c r="N1488" s="31"/>
      <c r="O1488" s="31"/>
      <c r="P1488" s="31"/>
      <c r="Q1488" s="31"/>
      <c r="R1488" s="31"/>
      <c r="S1488" s="31"/>
      <c r="T1488" s="31"/>
      <c r="U1488" s="31"/>
      <c r="V1488" s="31"/>
      <c r="W1488" s="31"/>
      <c r="X1488" s="31"/>
      <c r="Y1488" s="31"/>
      <c r="Z1488" s="31"/>
    </row>
    <row r="1489" ht="15.75" customHeight="1">
      <c r="A1489" s="13"/>
      <c r="B1489" s="13"/>
      <c r="C1489" s="13"/>
      <c r="D1489" s="13"/>
      <c r="E1489" s="13"/>
      <c r="F1489" s="13"/>
      <c r="G1489" s="13"/>
      <c r="H1489" s="63"/>
      <c r="I1489" s="13"/>
      <c r="J1489" s="31"/>
      <c r="K1489" s="31"/>
      <c r="L1489" s="31"/>
      <c r="M1489" s="31"/>
      <c r="N1489" s="31"/>
      <c r="O1489" s="31"/>
      <c r="P1489" s="31"/>
      <c r="Q1489" s="31"/>
      <c r="R1489" s="31"/>
      <c r="S1489" s="31"/>
      <c r="T1489" s="31"/>
      <c r="U1489" s="31"/>
      <c r="V1489" s="31"/>
      <c r="W1489" s="31"/>
      <c r="X1489" s="31"/>
      <c r="Y1489" s="31"/>
      <c r="Z1489" s="31"/>
    </row>
    <row r="1490" ht="15.75" customHeight="1">
      <c r="A1490" s="13"/>
      <c r="B1490" s="13"/>
      <c r="C1490" s="13"/>
      <c r="D1490" s="13"/>
      <c r="E1490" s="13"/>
      <c r="F1490" s="13"/>
      <c r="G1490" s="13"/>
      <c r="H1490" s="63"/>
      <c r="I1490" s="13"/>
      <c r="J1490" s="31"/>
      <c r="K1490" s="31"/>
      <c r="L1490" s="31"/>
      <c r="M1490" s="31"/>
      <c r="N1490" s="31"/>
      <c r="O1490" s="31"/>
      <c r="P1490" s="31"/>
      <c r="Q1490" s="31"/>
      <c r="R1490" s="31"/>
      <c r="S1490" s="31"/>
      <c r="T1490" s="31"/>
      <c r="U1490" s="31"/>
      <c r="V1490" s="31"/>
      <c r="W1490" s="31"/>
      <c r="X1490" s="31"/>
      <c r="Y1490" s="31"/>
      <c r="Z1490" s="31"/>
    </row>
    <row r="1491" ht="15.75" customHeight="1">
      <c r="A1491" s="13"/>
      <c r="B1491" s="13"/>
      <c r="C1491" s="13"/>
      <c r="D1491" s="13"/>
      <c r="E1491" s="13"/>
      <c r="F1491" s="13"/>
      <c r="G1491" s="13"/>
      <c r="H1491" s="63"/>
      <c r="I1491" s="13"/>
      <c r="J1491" s="31"/>
      <c r="K1491" s="31"/>
      <c r="L1491" s="31"/>
      <c r="M1491" s="31"/>
      <c r="N1491" s="31"/>
      <c r="O1491" s="31"/>
      <c r="P1491" s="31"/>
      <c r="Q1491" s="31"/>
      <c r="R1491" s="31"/>
      <c r="S1491" s="31"/>
      <c r="T1491" s="31"/>
      <c r="U1491" s="31"/>
      <c r="V1491" s="31"/>
      <c r="W1491" s="31"/>
      <c r="X1491" s="31"/>
      <c r="Y1491" s="31"/>
      <c r="Z1491" s="31"/>
    </row>
    <row r="1492" ht="15.75" customHeight="1">
      <c r="A1492" s="13"/>
      <c r="B1492" s="13"/>
      <c r="C1492" s="13"/>
      <c r="D1492" s="13"/>
      <c r="E1492" s="13"/>
      <c r="F1492" s="13"/>
      <c r="G1492" s="13"/>
      <c r="H1492" s="63"/>
      <c r="I1492" s="13"/>
      <c r="J1492" s="31"/>
      <c r="K1492" s="31"/>
      <c r="L1492" s="31"/>
      <c r="M1492" s="31"/>
      <c r="N1492" s="31"/>
      <c r="O1492" s="31"/>
      <c r="P1492" s="31"/>
      <c r="Q1492" s="31"/>
      <c r="R1492" s="31"/>
      <c r="S1492" s="31"/>
      <c r="T1492" s="31"/>
      <c r="U1492" s="31"/>
      <c r="V1492" s="31"/>
      <c r="W1492" s="31"/>
      <c r="X1492" s="31"/>
      <c r="Y1492" s="31"/>
      <c r="Z1492" s="31"/>
    </row>
    <row r="1493" ht="15.75" customHeight="1">
      <c r="A1493" s="13"/>
      <c r="B1493" s="13"/>
      <c r="C1493" s="13"/>
      <c r="D1493" s="13"/>
      <c r="E1493" s="13"/>
      <c r="F1493" s="13"/>
      <c r="G1493" s="13"/>
      <c r="H1493" s="63"/>
      <c r="I1493" s="13"/>
      <c r="J1493" s="31"/>
      <c r="K1493" s="31"/>
      <c r="L1493" s="31"/>
      <c r="M1493" s="31"/>
      <c r="N1493" s="31"/>
      <c r="O1493" s="31"/>
      <c r="P1493" s="31"/>
      <c r="Q1493" s="31"/>
      <c r="R1493" s="31"/>
      <c r="S1493" s="31"/>
      <c r="T1493" s="31"/>
      <c r="U1493" s="31"/>
      <c r="V1493" s="31"/>
      <c r="W1493" s="31"/>
      <c r="X1493" s="31"/>
      <c r="Y1493" s="31"/>
      <c r="Z1493" s="31"/>
    </row>
    <row r="1494" ht="15.75" customHeight="1">
      <c r="A1494" s="13"/>
      <c r="B1494" s="13"/>
      <c r="C1494" s="13"/>
      <c r="D1494" s="13"/>
      <c r="E1494" s="13"/>
      <c r="F1494" s="13"/>
      <c r="G1494" s="13"/>
      <c r="H1494" s="63"/>
      <c r="I1494" s="13"/>
      <c r="J1494" s="31"/>
      <c r="K1494" s="31"/>
      <c r="L1494" s="31"/>
      <c r="M1494" s="31"/>
      <c r="N1494" s="31"/>
      <c r="O1494" s="31"/>
      <c r="P1494" s="31"/>
      <c r="Q1494" s="31"/>
      <c r="R1494" s="31"/>
      <c r="S1494" s="31"/>
      <c r="T1494" s="31"/>
      <c r="U1494" s="31"/>
      <c r="V1494" s="31"/>
      <c r="W1494" s="31"/>
      <c r="X1494" s="31"/>
      <c r="Y1494" s="31"/>
      <c r="Z1494" s="31"/>
    </row>
    <row r="1495" ht="15.75" customHeight="1">
      <c r="A1495" s="13"/>
      <c r="B1495" s="13"/>
      <c r="C1495" s="13"/>
      <c r="D1495" s="13"/>
      <c r="E1495" s="13"/>
      <c r="F1495" s="13"/>
      <c r="G1495" s="13"/>
      <c r="H1495" s="63"/>
      <c r="I1495" s="13"/>
      <c r="J1495" s="31"/>
      <c r="K1495" s="31"/>
      <c r="L1495" s="31"/>
      <c r="M1495" s="31"/>
      <c r="N1495" s="31"/>
      <c r="O1495" s="31"/>
      <c r="P1495" s="31"/>
      <c r="Q1495" s="31"/>
      <c r="R1495" s="31"/>
      <c r="S1495" s="31"/>
      <c r="T1495" s="31"/>
      <c r="U1495" s="31"/>
      <c r="V1495" s="31"/>
      <c r="W1495" s="31"/>
      <c r="X1495" s="31"/>
      <c r="Y1495" s="31"/>
      <c r="Z1495" s="31"/>
    </row>
    <row r="1496" ht="15.75" customHeight="1">
      <c r="A1496" s="13"/>
      <c r="B1496" s="13"/>
      <c r="C1496" s="13"/>
      <c r="D1496" s="13"/>
      <c r="E1496" s="13"/>
      <c r="F1496" s="13"/>
      <c r="G1496" s="13"/>
      <c r="H1496" s="63"/>
      <c r="I1496" s="13"/>
      <c r="J1496" s="31"/>
      <c r="K1496" s="31"/>
      <c r="L1496" s="31"/>
      <c r="M1496" s="31"/>
      <c r="N1496" s="31"/>
      <c r="O1496" s="31"/>
      <c r="P1496" s="31"/>
      <c r="Q1496" s="31"/>
      <c r="R1496" s="31"/>
      <c r="S1496" s="31"/>
      <c r="T1496" s="31"/>
      <c r="U1496" s="31"/>
      <c r="V1496" s="31"/>
      <c r="W1496" s="31"/>
      <c r="X1496" s="31"/>
      <c r="Y1496" s="31"/>
      <c r="Z1496" s="31"/>
    </row>
    <row r="1497" ht="15.75" customHeight="1">
      <c r="A1497" s="13"/>
      <c r="B1497" s="13"/>
      <c r="C1497" s="13"/>
      <c r="D1497" s="13"/>
      <c r="E1497" s="13"/>
      <c r="F1497" s="13"/>
      <c r="G1497" s="13"/>
      <c r="H1497" s="63"/>
      <c r="I1497" s="13"/>
      <c r="J1497" s="31"/>
      <c r="K1497" s="31"/>
      <c r="L1497" s="31"/>
      <c r="M1497" s="31"/>
      <c r="N1497" s="31"/>
      <c r="O1497" s="31"/>
      <c r="P1497" s="31"/>
      <c r="Q1497" s="31"/>
      <c r="R1497" s="31"/>
      <c r="S1497" s="31"/>
      <c r="T1497" s="31"/>
      <c r="U1497" s="31"/>
      <c r="V1497" s="31"/>
      <c r="W1497" s="31"/>
      <c r="X1497" s="31"/>
      <c r="Y1497" s="31"/>
      <c r="Z1497" s="31"/>
    </row>
    <row r="1498" ht="15.75" customHeight="1">
      <c r="A1498" s="13"/>
      <c r="B1498" s="13"/>
      <c r="C1498" s="13"/>
      <c r="D1498" s="13"/>
      <c r="E1498" s="13"/>
      <c r="F1498" s="13"/>
      <c r="G1498" s="13"/>
      <c r="H1498" s="63"/>
      <c r="I1498" s="13"/>
      <c r="J1498" s="31"/>
      <c r="K1498" s="31"/>
      <c r="L1498" s="31"/>
      <c r="M1498" s="31"/>
      <c r="N1498" s="31"/>
      <c r="O1498" s="31"/>
      <c r="P1498" s="31"/>
      <c r="Q1498" s="31"/>
      <c r="R1498" s="31"/>
      <c r="S1498" s="31"/>
      <c r="T1498" s="31"/>
      <c r="U1498" s="31"/>
      <c r="V1498" s="31"/>
      <c r="W1498" s="31"/>
      <c r="X1498" s="31"/>
      <c r="Y1498" s="31"/>
      <c r="Z1498" s="31"/>
    </row>
    <row r="1499" ht="15.75" customHeight="1">
      <c r="A1499" s="13"/>
      <c r="B1499" s="13"/>
      <c r="C1499" s="13"/>
      <c r="D1499" s="13"/>
      <c r="E1499" s="13"/>
      <c r="F1499" s="13"/>
      <c r="G1499" s="13"/>
      <c r="H1499" s="63"/>
      <c r="I1499" s="13"/>
      <c r="J1499" s="31"/>
      <c r="K1499" s="31"/>
      <c r="L1499" s="31"/>
      <c r="M1499" s="31"/>
      <c r="N1499" s="31"/>
      <c r="O1499" s="31"/>
      <c r="P1499" s="31"/>
      <c r="Q1499" s="31"/>
      <c r="R1499" s="31"/>
      <c r="S1499" s="31"/>
      <c r="T1499" s="31"/>
      <c r="U1499" s="31"/>
      <c r="V1499" s="31"/>
      <c r="W1499" s="31"/>
      <c r="X1499" s="31"/>
      <c r="Y1499" s="31"/>
      <c r="Z1499" s="31"/>
    </row>
    <row r="1500" ht="15.75" customHeight="1">
      <c r="A1500" s="13"/>
      <c r="B1500" s="13"/>
      <c r="C1500" s="13"/>
      <c r="D1500" s="13"/>
      <c r="E1500" s="13"/>
      <c r="F1500" s="13"/>
      <c r="G1500" s="13"/>
      <c r="H1500" s="63"/>
      <c r="I1500" s="13"/>
      <c r="J1500" s="31"/>
      <c r="K1500" s="31"/>
      <c r="L1500" s="31"/>
      <c r="M1500" s="31"/>
      <c r="N1500" s="31"/>
      <c r="O1500" s="31"/>
      <c r="P1500" s="31"/>
      <c r="Q1500" s="31"/>
      <c r="R1500" s="31"/>
      <c r="S1500" s="31"/>
      <c r="T1500" s="31"/>
      <c r="U1500" s="31"/>
      <c r="V1500" s="31"/>
      <c r="W1500" s="31"/>
      <c r="X1500" s="31"/>
      <c r="Y1500" s="31"/>
      <c r="Z1500" s="31"/>
    </row>
    <row r="1501" ht="15.75" customHeight="1">
      <c r="A1501" s="13"/>
      <c r="B1501" s="13"/>
      <c r="C1501" s="13"/>
      <c r="D1501" s="13"/>
      <c r="E1501" s="13"/>
      <c r="F1501" s="13"/>
      <c r="G1501" s="13"/>
      <c r="H1501" s="63"/>
      <c r="I1501" s="13"/>
      <c r="J1501" s="31"/>
      <c r="K1501" s="31"/>
      <c r="L1501" s="31"/>
      <c r="M1501" s="31"/>
      <c r="N1501" s="31"/>
      <c r="O1501" s="31"/>
      <c r="P1501" s="31"/>
      <c r="Q1501" s="31"/>
      <c r="R1501" s="31"/>
      <c r="S1501" s="31"/>
      <c r="T1501" s="31"/>
      <c r="U1501" s="31"/>
      <c r="V1501" s="31"/>
      <c r="W1501" s="31"/>
      <c r="X1501" s="31"/>
      <c r="Y1501" s="31"/>
      <c r="Z1501" s="31"/>
    </row>
    <row r="1502" ht="15.75" customHeight="1">
      <c r="A1502" s="13"/>
      <c r="B1502" s="13"/>
      <c r="C1502" s="13"/>
      <c r="D1502" s="13"/>
      <c r="E1502" s="13"/>
      <c r="F1502" s="13"/>
      <c r="G1502" s="13"/>
      <c r="H1502" s="63"/>
      <c r="I1502" s="13"/>
      <c r="J1502" s="31"/>
      <c r="K1502" s="31"/>
      <c r="L1502" s="31"/>
      <c r="M1502" s="31"/>
      <c r="N1502" s="31"/>
      <c r="O1502" s="31"/>
      <c r="P1502" s="31"/>
      <c r="Q1502" s="31"/>
      <c r="R1502" s="31"/>
      <c r="S1502" s="31"/>
      <c r="T1502" s="31"/>
      <c r="U1502" s="31"/>
      <c r="V1502" s="31"/>
      <c r="W1502" s="31"/>
      <c r="X1502" s="31"/>
      <c r="Y1502" s="31"/>
      <c r="Z1502" s="31"/>
    </row>
    <row r="1503" ht="15.75" customHeight="1">
      <c r="A1503" s="13"/>
      <c r="B1503" s="13"/>
      <c r="C1503" s="13"/>
      <c r="D1503" s="13"/>
      <c r="E1503" s="13"/>
      <c r="F1503" s="13"/>
      <c r="G1503" s="13"/>
      <c r="H1503" s="63"/>
      <c r="I1503" s="13"/>
      <c r="J1503" s="31"/>
      <c r="K1503" s="31"/>
      <c r="L1503" s="31"/>
      <c r="M1503" s="31"/>
      <c r="N1503" s="31"/>
      <c r="O1503" s="31"/>
      <c r="P1503" s="31"/>
      <c r="Q1503" s="31"/>
      <c r="R1503" s="31"/>
      <c r="S1503" s="31"/>
      <c r="T1503" s="31"/>
      <c r="U1503" s="31"/>
      <c r="V1503" s="31"/>
      <c r="W1503" s="31"/>
      <c r="X1503" s="31"/>
      <c r="Y1503" s="31"/>
      <c r="Z1503" s="31"/>
    </row>
    <row r="1504" ht="15.75" customHeight="1">
      <c r="A1504" s="13"/>
      <c r="B1504" s="13"/>
      <c r="C1504" s="13"/>
      <c r="D1504" s="13"/>
      <c r="E1504" s="13"/>
      <c r="F1504" s="13"/>
      <c r="G1504" s="13"/>
      <c r="H1504" s="63"/>
      <c r="I1504" s="13"/>
      <c r="J1504" s="31"/>
      <c r="K1504" s="31"/>
      <c r="L1504" s="31"/>
      <c r="M1504" s="31"/>
      <c r="N1504" s="31"/>
      <c r="O1504" s="31"/>
      <c r="P1504" s="31"/>
      <c r="Q1504" s="31"/>
      <c r="R1504" s="31"/>
      <c r="S1504" s="31"/>
      <c r="T1504" s="31"/>
      <c r="U1504" s="31"/>
      <c r="V1504" s="31"/>
      <c r="W1504" s="31"/>
      <c r="X1504" s="31"/>
      <c r="Y1504" s="31"/>
      <c r="Z1504" s="31"/>
    </row>
    <row r="1505" ht="15.75" customHeight="1">
      <c r="A1505" s="13"/>
      <c r="B1505" s="13"/>
      <c r="C1505" s="13"/>
      <c r="D1505" s="13"/>
      <c r="E1505" s="13"/>
      <c r="F1505" s="13"/>
      <c r="G1505" s="13"/>
      <c r="H1505" s="63"/>
      <c r="I1505" s="13"/>
      <c r="J1505" s="31"/>
      <c r="K1505" s="31"/>
      <c r="L1505" s="31"/>
      <c r="M1505" s="31"/>
      <c r="N1505" s="31"/>
      <c r="O1505" s="31"/>
      <c r="P1505" s="31"/>
      <c r="Q1505" s="31"/>
      <c r="R1505" s="31"/>
      <c r="S1505" s="31"/>
      <c r="T1505" s="31"/>
      <c r="U1505" s="31"/>
      <c r="V1505" s="31"/>
      <c r="W1505" s="31"/>
      <c r="X1505" s="31"/>
      <c r="Y1505" s="31"/>
      <c r="Z1505" s="31"/>
    </row>
    <row r="1506" ht="15.75" customHeight="1">
      <c r="A1506" s="13"/>
      <c r="B1506" s="13"/>
      <c r="C1506" s="13"/>
      <c r="D1506" s="13"/>
      <c r="E1506" s="13"/>
      <c r="F1506" s="13"/>
      <c r="G1506" s="13"/>
      <c r="H1506" s="63"/>
      <c r="I1506" s="13"/>
      <c r="J1506" s="31"/>
      <c r="K1506" s="31"/>
      <c r="L1506" s="31"/>
      <c r="M1506" s="31"/>
      <c r="N1506" s="31"/>
      <c r="O1506" s="31"/>
      <c r="P1506" s="31"/>
      <c r="Q1506" s="31"/>
      <c r="R1506" s="31"/>
      <c r="S1506" s="31"/>
      <c r="T1506" s="31"/>
      <c r="U1506" s="31"/>
      <c r="V1506" s="31"/>
      <c r="W1506" s="31"/>
      <c r="X1506" s="31"/>
      <c r="Y1506" s="31"/>
      <c r="Z1506" s="31"/>
    </row>
    <row r="1507" ht="15.75" customHeight="1">
      <c r="A1507" s="13"/>
      <c r="B1507" s="13"/>
      <c r="C1507" s="13"/>
      <c r="D1507" s="13"/>
      <c r="E1507" s="13"/>
      <c r="F1507" s="13"/>
      <c r="G1507" s="13"/>
      <c r="H1507" s="63"/>
      <c r="I1507" s="13"/>
      <c r="J1507" s="31"/>
      <c r="K1507" s="31"/>
      <c r="L1507" s="31"/>
      <c r="M1507" s="31"/>
      <c r="N1507" s="31"/>
      <c r="O1507" s="31"/>
      <c r="P1507" s="31"/>
      <c r="Q1507" s="31"/>
      <c r="R1507" s="31"/>
      <c r="S1507" s="31"/>
      <c r="T1507" s="31"/>
      <c r="U1507" s="31"/>
      <c r="V1507" s="31"/>
      <c r="W1507" s="31"/>
      <c r="X1507" s="31"/>
      <c r="Y1507" s="31"/>
      <c r="Z1507" s="31"/>
    </row>
    <row r="1508" ht="15.75" customHeight="1">
      <c r="A1508" s="13"/>
      <c r="B1508" s="13"/>
      <c r="C1508" s="13"/>
      <c r="D1508" s="13"/>
      <c r="E1508" s="13"/>
      <c r="F1508" s="13"/>
      <c r="G1508" s="13"/>
      <c r="H1508" s="13"/>
      <c r="I1508" s="13"/>
      <c r="J1508" s="31"/>
      <c r="K1508" s="31"/>
      <c r="L1508" s="31"/>
      <c r="M1508" s="31"/>
      <c r="N1508" s="31"/>
      <c r="O1508" s="31"/>
      <c r="P1508" s="31"/>
      <c r="Q1508" s="31"/>
      <c r="R1508" s="31"/>
      <c r="S1508" s="31"/>
      <c r="T1508" s="31"/>
      <c r="U1508" s="31"/>
      <c r="V1508" s="31"/>
      <c r="W1508" s="31"/>
      <c r="X1508" s="31"/>
      <c r="Y1508" s="31"/>
      <c r="Z1508" s="31"/>
    </row>
    <row r="1509" ht="15.75" customHeight="1">
      <c r="A1509" s="13"/>
      <c r="B1509" s="13"/>
      <c r="C1509" s="13"/>
      <c r="D1509" s="13"/>
      <c r="E1509" s="13"/>
      <c r="F1509" s="13"/>
      <c r="G1509" s="13"/>
      <c r="H1509" s="63"/>
      <c r="I1509" s="13"/>
      <c r="J1509" s="31"/>
      <c r="K1509" s="31"/>
      <c r="L1509" s="31"/>
      <c r="M1509" s="31"/>
      <c r="N1509" s="31"/>
      <c r="O1509" s="31"/>
      <c r="P1509" s="31"/>
      <c r="Q1509" s="31"/>
      <c r="R1509" s="31"/>
      <c r="S1509" s="31"/>
      <c r="T1509" s="31"/>
      <c r="U1509" s="31"/>
      <c r="V1509" s="31"/>
      <c r="W1509" s="31"/>
      <c r="X1509" s="31"/>
      <c r="Y1509" s="31"/>
      <c r="Z1509" s="31"/>
    </row>
    <row r="1510" ht="15.75" customHeight="1">
      <c r="A1510" s="13"/>
      <c r="B1510" s="13"/>
      <c r="C1510" s="13"/>
      <c r="D1510" s="13"/>
      <c r="E1510" s="13"/>
      <c r="F1510" s="13"/>
      <c r="G1510" s="13"/>
      <c r="H1510" s="63"/>
      <c r="I1510" s="13"/>
      <c r="J1510" s="31"/>
      <c r="K1510" s="31"/>
      <c r="L1510" s="31"/>
      <c r="M1510" s="31"/>
      <c r="N1510" s="31"/>
      <c r="O1510" s="31"/>
      <c r="P1510" s="31"/>
      <c r="Q1510" s="31"/>
      <c r="R1510" s="31"/>
      <c r="S1510" s="31"/>
      <c r="T1510" s="31"/>
      <c r="U1510" s="31"/>
      <c r="V1510" s="31"/>
      <c r="W1510" s="31"/>
      <c r="X1510" s="31"/>
      <c r="Y1510" s="31"/>
      <c r="Z1510" s="31"/>
    </row>
    <row r="1511" ht="15.75" customHeight="1">
      <c r="A1511" s="13"/>
      <c r="B1511" s="13"/>
      <c r="C1511" s="13"/>
      <c r="D1511" s="13"/>
      <c r="E1511" s="13"/>
      <c r="F1511" s="13"/>
      <c r="G1511" s="13"/>
      <c r="H1511" s="13"/>
      <c r="I1511" s="13"/>
      <c r="J1511" s="31"/>
      <c r="K1511" s="31"/>
      <c r="L1511" s="31"/>
      <c r="M1511" s="31"/>
      <c r="N1511" s="31"/>
      <c r="O1511" s="31"/>
      <c r="P1511" s="31"/>
      <c r="Q1511" s="31"/>
      <c r="R1511" s="31"/>
      <c r="S1511" s="31"/>
      <c r="T1511" s="31"/>
      <c r="U1511" s="31"/>
      <c r="V1511" s="31"/>
      <c r="W1511" s="31"/>
      <c r="X1511" s="31"/>
      <c r="Y1511" s="31"/>
      <c r="Z1511" s="31"/>
    </row>
    <row r="1512" ht="15.75" customHeight="1">
      <c r="A1512" s="13"/>
      <c r="B1512" s="13"/>
      <c r="C1512" s="13"/>
      <c r="D1512" s="13"/>
      <c r="E1512" s="13"/>
      <c r="F1512" s="13"/>
      <c r="G1512" s="13"/>
      <c r="H1512" s="63"/>
      <c r="I1512" s="13"/>
      <c r="J1512" s="31"/>
      <c r="K1512" s="31"/>
      <c r="L1512" s="31"/>
      <c r="M1512" s="31"/>
      <c r="N1512" s="31"/>
      <c r="O1512" s="31"/>
      <c r="P1512" s="31"/>
      <c r="Q1512" s="31"/>
      <c r="R1512" s="31"/>
      <c r="S1512" s="31"/>
      <c r="T1512" s="31"/>
      <c r="U1512" s="31"/>
      <c r="V1512" s="31"/>
      <c r="W1512" s="31"/>
      <c r="X1512" s="31"/>
      <c r="Y1512" s="31"/>
      <c r="Z1512" s="31"/>
    </row>
    <row r="1513" ht="15.75" customHeight="1">
      <c r="A1513" s="13"/>
      <c r="B1513" s="13"/>
      <c r="C1513" s="13"/>
      <c r="D1513" s="13"/>
      <c r="E1513" s="13"/>
      <c r="F1513" s="13"/>
      <c r="G1513" s="13"/>
      <c r="H1513" s="63"/>
      <c r="I1513" s="13"/>
      <c r="J1513" s="31"/>
      <c r="K1513" s="31"/>
      <c r="L1513" s="31"/>
      <c r="M1513" s="31"/>
      <c r="N1513" s="31"/>
      <c r="O1513" s="31"/>
      <c r="P1513" s="31"/>
      <c r="Q1513" s="31"/>
      <c r="R1513" s="31"/>
      <c r="S1513" s="31"/>
      <c r="T1513" s="31"/>
      <c r="U1513" s="31"/>
      <c r="V1513" s="31"/>
      <c r="W1513" s="31"/>
      <c r="X1513" s="31"/>
      <c r="Y1513" s="31"/>
      <c r="Z1513" s="31"/>
    </row>
    <row r="1514" ht="15.75" customHeight="1">
      <c r="A1514" s="13"/>
      <c r="B1514" s="13"/>
      <c r="C1514" s="13"/>
      <c r="D1514" s="13"/>
      <c r="E1514" s="13"/>
      <c r="F1514" s="13"/>
      <c r="G1514" s="13"/>
      <c r="H1514" s="63"/>
      <c r="I1514" s="13"/>
      <c r="J1514" s="31"/>
      <c r="K1514" s="31"/>
      <c r="L1514" s="31"/>
      <c r="M1514" s="31"/>
      <c r="N1514" s="31"/>
      <c r="O1514" s="31"/>
      <c r="P1514" s="31"/>
      <c r="Q1514" s="31"/>
      <c r="R1514" s="31"/>
      <c r="S1514" s="31"/>
      <c r="T1514" s="31"/>
      <c r="U1514" s="31"/>
      <c r="V1514" s="31"/>
      <c r="W1514" s="31"/>
      <c r="X1514" s="31"/>
      <c r="Y1514" s="31"/>
      <c r="Z1514" s="31"/>
    </row>
    <row r="1515" ht="15.75" customHeight="1">
      <c r="A1515" s="13"/>
      <c r="B1515" s="13"/>
      <c r="C1515" s="13"/>
      <c r="D1515" s="13"/>
      <c r="E1515" s="13"/>
      <c r="F1515" s="13"/>
      <c r="G1515" s="13"/>
      <c r="H1515" s="63"/>
      <c r="I1515" s="13"/>
      <c r="J1515" s="31"/>
      <c r="K1515" s="31"/>
      <c r="L1515" s="31"/>
      <c r="M1515" s="31"/>
      <c r="N1515" s="31"/>
      <c r="O1515" s="31"/>
      <c r="P1515" s="31"/>
      <c r="Q1515" s="31"/>
      <c r="R1515" s="31"/>
      <c r="S1515" s="31"/>
      <c r="T1515" s="31"/>
      <c r="U1515" s="31"/>
      <c r="V1515" s="31"/>
      <c r="W1515" s="31"/>
      <c r="X1515" s="31"/>
      <c r="Y1515" s="31"/>
      <c r="Z1515" s="31"/>
    </row>
    <row r="1516" ht="15.75" customHeight="1">
      <c r="A1516" s="13"/>
      <c r="B1516" s="13"/>
      <c r="C1516" s="13"/>
      <c r="D1516" s="13"/>
      <c r="E1516" s="13"/>
      <c r="F1516" s="13"/>
      <c r="G1516" s="13"/>
      <c r="H1516" s="63"/>
      <c r="I1516" s="13"/>
      <c r="J1516" s="31"/>
      <c r="K1516" s="31"/>
      <c r="L1516" s="31"/>
      <c r="M1516" s="31"/>
      <c r="N1516" s="31"/>
      <c r="O1516" s="31"/>
      <c r="P1516" s="31"/>
      <c r="Q1516" s="31"/>
      <c r="R1516" s="31"/>
      <c r="S1516" s="31"/>
      <c r="T1516" s="31"/>
      <c r="U1516" s="31"/>
      <c r="V1516" s="31"/>
      <c r="W1516" s="31"/>
      <c r="X1516" s="31"/>
      <c r="Y1516" s="31"/>
      <c r="Z1516" s="31"/>
    </row>
    <row r="1517" ht="15.75" customHeight="1">
      <c r="A1517" s="13"/>
      <c r="B1517" s="13"/>
      <c r="C1517" s="13"/>
      <c r="D1517" s="13"/>
      <c r="E1517" s="13"/>
      <c r="F1517" s="13"/>
      <c r="G1517" s="13"/>
      <c r="H1517" s="63"/>
      <c r="I1517" s="13"/>
      <c r="J1517" s="31"/>
      <c r="K1517" s="31"/>
      <c r="L1517" s="31"/>
      <c r="M1517" s="31"/>
      <c r="N1517" s="31"/>
      <c r="O1517" s="31"/>
      <c r="P1517" s="31"/>
      <c r="Q1517" s="31"/>
      <c r="R1517" s="31"/>
      <c r="S1517" s="31"/>
      <c r="T1517" s="31"/>
      <c r="U1517" s="31"/>
      <c r="V1517" s="31"/>
      <c r="W1517" s="31"/>
      <c r="X1517" s="31"/>
      <c r="Y1517" s="31"/>
      <c r="Z1517" s="31"/>
    </row>
    <row r="1518" ht="15.75" customHeight="1">
      <c r="A1518" s="13"/>
      <c r="B1518" s="13"/>
      <c r="C1518" s="13"/>
      <c r="D1518" s="13"/>
      <c r="E1518" s="13"/>
      <c r="F1518" s="13"/>
      <c r="G1518" s="13"/>
      <c r="H1518" s="63"/>
      <c r="I1518" s="13"/>
      <c r="J1518" s="31"/>
      <c r="K1518" s="31"/>
      <c r="L1518" s="31"/>
      <c r="M1518" s="31"/>
      <c r="N1518" s="31"/>
      <c r="O1518" s="31"/>
      <c r="P1518" s="31"/>
      <c r="Q1518" s="31"/>
      <c r="R1518" s="31"/>
      <c r="S1518" s="31"/>
      <c r="T1518" s="31"/>
      <c r="U1518" s="31"/>
      <c r="V1518" s="31"/>
      <c r="W1518" s="31"/>
      <c r="X1518" s="31"/>
      <c r="Y1518" s="31"/>
      <c r="Z1518" s="31"/>
    </row>
    <row r="1519" ht="15.75" customHeight="1">
      <c r="A1519" s="13"/>
      <c r="B1519" s="13"/>
      <c r="C1519" s="13"/>
      <c r="D1519" s="13"/>
      <c r="E1519" s="13"/>
      <c r="F1519" s="13"/>
      <c r="G1519" s="13"/>
      <c r="H1519" s="63"/>
      <c r="I1519" s="13"/>
      <c r="J1519" s="31"/>
      <c r="K1519" s="31"/>
      <c r="L1519" s="31"/>
      <c r="M1519" s="31"/>
      <c r="N1519" s="31"/>
      <c r="O1519" s="31"/>
      <c r="P1519" s="31"/>
      <c r="Q1519" s="31"/>
      <c r="R1519" s="31"/>
      <c r="S1519" s="31"/>
      <c r="T1519" s="31"/>
      <c r="U1519" s="31"/>
      <c r="V1519" s="31"/>
      <c r="W1519" s="31"/>
      <c r="X1519" s="31"/>
      <c r="Y1519" s="31"/>
      <c r="Z1519" s="31"/>
    </row>
    <row r="1520" ht="15.75" customHeight="1">
      <c r="A1520" s="13"/>
      <c r="B1520" s="13"/>
      <c r="C1520" s="13"/>
      <c r="D1520" s="13"/>
      <c r="E1520" s="13"/>
      <c r="F1520" s="13"/>
      <c r="G1520" s="13"/>
      <c r="H1520" s="63"/>
      <c r="I1520" s="13"/>
      <c r="J1520" s="31"/>
      <c r="K1520" s="31"/>
      <c r="L1520" s="31"/>
      <c r="M1520" s="31"/>
      <c r="N1520" s="31"/>
      <c r="O1520" s="31"/>
      <c r="P1520" s="31"/>
      <c r="Q1520" s="31"/>
      <c r="R1520" s="31"/>
      <c r="S1520" s="31"/>
      <c r="T1520" s="31"/>
      <c r="U1520" s="31"/>
      <c r="V1520" s="31"/>
      <c r="W1520" s="31"/>
      <c r="X1520" s="31"/>
      <c r="Y1520" s="31"/>
      <c r="Z1520" s="31"/>
    </row>
    <row r="1521" ht="15.75" customHeight="1">
      <c r="A1521" s="13"/>
      <c r="B1521" s="13"/>
      <c r="C1521" s="13"/>
      <c r="D1521" s="13"/>
      <c r="E1521" s="13"/>
      <c r="F1521" s="63"/>
      <c r="G1521" s="13"/>
      <c r="H1521" s="63"/>
      <c r="I1521" s="13"/>
      <c r="J1521" s="31"/>
      <c r="K1521" s="31"/>
      <c r="L1521" s="31"/>
      <c r="M1521" s="31"/>
      <c r="N1521" s="31"/>
      <c r="O1521" s="31"/>
      <c r="P1521" s="31"/>
      <c r="Q1521" s="31"/>
      <c r="R1521" s="31"/>
      <c r="S1521" s="31"/>
      <c r="T1521" s="31"/>
      <c r="U1521" s="31"/>
      <c r="V1521" s="31"/>
      <c r="W1521" s="31"/>
      <c r="X1521" s="31"/>
      <c r="Y1521" s="31"/>
      <c r="Z1521" s="31"/>
    </row>
    <row r="1522" ht="15.75" customHeight="1">
      <c r="A1522" s="13"/>
      <c r="B1522" s="13"/>
      <c r="C1522" s="13"/>
      <c r="D1522" s="13"/>
      <c r="E1522" s="13"/>
      <c r="F1522" s="13"/>
      <c r="G1522" s="13"/>
      <c r="H1522" s="63"/>
      <c r="I1522" s="13"/>
      <c r="J1522" s="31"/>
      <c r="K1522" s="31"/>
      <c r="L1522" s="31"/>
      <c r="M1522" s="31"/>
      <c r="N1522" s="31"/>
      <c r="O1522" s="31"/>
      <c r="P1522" s="31"/>
      <c r="Q1522" s="31"/>
      <c r="R1522" s="31"/>
      <c r="S1522" s="31"/>
      <c r="T1522" s="31"/>
      <c r="U1522" s="31"/>
      <c r="V1522" s="31"/>
      <c r="W1522" s="31"/>
      <c r="X1522" s="31"/>
      <c r="Y1522" s="31"/>
      <c r="Z1522" s="31"/>
    </row>
    <row r="1523" ht="15.75" customHeight="1">
      <c r="A1523" s="13"/>
      <c r="B1523" s="13"/>
      <c r="C1523" s="13"/>
      <c r="D1523" s="13"/>
      <c r="E1523" s="13"/>
      <c r="F1523" s="13"/>
      <c r="G1523" s="13"/>
      <c r="H1523" s="63"/>
      <c r="I1523" s="13"/>
      <c r="J1523" s="31"/>
      <c r="K1523" s="31"/>
      <c r="L1523" s="31"/>
      <c r="M1523" s="31"/>
      <c r="N1523" s="31"/>
      <c r="O1523" s="31"/>
      <c r="P1523" s="31"/>
      <c r="Q1523" s="31"/>
      <c r="R1523" s="31"/>
      <c r="S1523" s="31"/>
      <c r="T1523" s="31"/>
      <c r="U1523" s="31"/>
      <c r="V1523" s="31"/>
      <c r="W1523" s="31"/>
      <c r="X1523" s="31"/>
      <c r="Y1523" s="31"/>
      <c r="Z1523" s="31"/>
    </row>
    <row r="1524" ht="15.75" customHeight="1">
      <c r="A1524" s="13"/>
      <c r="B1524" s="13"/>
      <c r="C1524" s="13"/>
      <c r="D1524" s="13"/>
      <c r="E1524" s="13"/>
      <c r="F1524" s="13"/>
      <c r="G1524" s="13"/>
      <c r="H1524" s="63"/>
      <c r="I1524" s="13"/>
      <c r="J1524" s="31"/>
      <c r="K1524" s="31"/>
      <c r="L1524" s="31"/>
      <c r="M1524" s="31"/>
      <c r="N1524" s="31"/>
      <c r="O1524" s="31"/>
      <c r="P1524" s="31"/>
      <c r="Q1524" s="31"/>
      <c r="R1524" s="31"/>
      <c r="S1524" s="31"/>
      <c r="T1524" s="31"/>
      <c r="U1524" s="31"/>
      <c r="V1524" s="31"/>
      <c r="W1524" s="31"/>
      <c r="X1524" s="31"/>
      <c r="Y1524" s="31"/>
      <c r="Z1524" s="31"/>
    </row>
    <row r="1525" ht="15.75" customHeight="1">
      <c r="A1525" s="13"/>
      <c r="B1525" s="13"/>
      <c r="C1525" s="13"/>
      <c r="D1525" s="13"/>
      <c r="E1525" s="13"/>
      <c r="F1525" s="13"/>
      <c r="G1525" s="13"/>
      <c r="H1525" s="63"/>
      <c r="I1525" s="13"/>
      <c r="J1525" s="31"/>
      <c r="K1525" s="31"/>
      <c r="L1525" s="31"/>
      <c r="M1525" s="31"/>
      <c r="N1525" s="31"/>
      <c r="O1525" s="31"/>
      <c r="P1525" s="31"/>
      <c r="Q1525" s="31"/>
      <c r="R1525" s="31"/>
      <c r="S1525" s="31"/>
      <c r="T1525" s="31"/>
      <c r="U1525" s="31"/>
      <c r="V1525" s="31"/>
      <c r="W1525" s="31"/>
      <c r="X1525" s="31"/>
      <c r="Y1525" s="31"/>
      <c r="Z1525" s="31"/>
    </row>
    <row r="1526" ht="15.75" customHeight="1">
      <c r="A1526" s="13"/>
      <c r="B1526" s="13"/>
      <c r="C1526" s="13"/>
      <c r="D1526" s="13"/>
      <c r="E1526" s="13"/>
      <c r="F1526" s="13"/>
      <c r="G1526" s="13"/>
      <c r="H1526" s="63"/>
      <c r="I1526" s="13"/>
      <c r="J1526" s="31"/>
      <c r="K1526" s="31"/>
      <c r="L1526" s="31"/>
      <c r="M1526" s="31"/>
      <c r="N1526" s="31"/>
      <c r="O1526" s="31"/>
      <c r="P1526" s="31"/>
      <c r="Q1526" s="31"/>
      <c r="R1526" s="31"/>
      <c r="S1526" s="31"/>
      <c r="T1526" s="31"/>
      <c r="U1526" s="31"/>
      <c r="V1526" s="31"/>
      <c r="W1526" s="31"/>
      <c r="X1526" s="31"/>
      <c r="Y1526" s="31"/>
      <c r="Z1526" s="31"/>
    </row>
    <row r="1527" ht="15.75" customHeight="1">
      <c r="A1527" s="13"/>
      <c r="B1527" s="13"/>
      <c r="C1527" s="13"/>
      <c r="D1527" s="13"/>
      <c r="E1527" s="13"/>
      <c r="F1527" s="13"/>
      <c r="G1527" s="13"/>
      <c r="H1527" s="63"/>
      <c r="I1527" s="13"/>
      <c r="J1527" s="31"/>
      <c r="K1527" s="31"/>
      <c r="L1527" s="31"/>
      <c r="M1527" s="31"/>
      <c r="N1527" s="31"/>
      <c r="O1527" s="31"/>
      <c r="P1527" s="31"/>
      <c r="Q1527" s="31"/>
      <c r="R1527" s="31"/>
      <c r="S1527" s="31"/>
      <c r="T1527" s="31"/>
      <c r="U1527" s="31"/>
      <c r="V1527" s="31"/>
      <c r="W1527" s="31"/>
      <c r="X1527" s="31"/>
      <c r="Y1527" s="31"/>
      <c r="Z1527" s="31"/>
    </row>
    <row r="1528" ht="15.75" customHeight="1">
      <c r="A1528" s="13"/>
      <c r="B1528" s="13"/>
      <c r="C1528" s="13"/>
      <c r="D1528" s="13"/>
      <c r="E1528" s="13"/>
      <c r="F1528" s="13"/>
      <c r="G1528" s="13"/>
      <c r="H1528" s="63"/>
      <c r="I1528" s="13"/>
      <c r="J1528" s="31"/>
      <c r="K1528" s="31"/>
      <c r="L1528" s="31"/>
      <c r="M1528" s="31"/>
      <c r="N1528" s="31"/>
      <c r="O1528" s="31"/>
      <c r="P1528" s="31"/>
      <c r="Q1528" s="31"/>
      <c r="R1528" s="31"/>
      <c r="S1528" s="31"/>
      <c r="T1528" s="31"/>
      <c r="U1528" s="31"/>
      <c r="V1528" s="31"/>
      <c r="W1528" s="31"/>
      <c r="X1528" s="31"/>
      <c r="Y1528" s="31"/>
      <c r="Z1528" s="31"/>
    </row>
    <row r="1529" ht="15.75" customHeight="1">
      <c r="A1529" s="13"/>
      <c r="B1529" s="13"/>
      <c r="C1529" s="13"/>
      <c r="D1529" s="13"/>
      <c r="E1529" s="13"/>
      <c r="F1529" s="13"/>
      <c r="G1529" s="13"/>
      <c r="H1529" s="63"/>
      <c r="I1529" s="13"/>
      <c r="J1529" s="31"/>
      <c r="K1529" s="31"/>
      <c r="L1529" s="31"/>
      <c r="M1529" s="31"/>
      <c r="N1529" s="31"/>
      <c r="O1529" s="31"/>
      <c r="P1529" s="31"/>
      <c r="Q1529" s="31"/>
      <c r="R1529" s="31"/>
      <c r="S1529" s="31"/>
      <c r="T1529" s="31"/>
      <c r="U1529" s="31"/>
      <c r="V1529" s="31"/>
      <c r="W1529" s="31"/>
      <c r="X1529" s="31"/>
      <c r="Y1529" s="31"/>
      <c r="Z1529" s="31"/>
    </row>
    <row r="1530" ht="15.75" customHeight="1">
      <c r="A1530" s="13"/>
      <c r="B1530" s="13"/>
      <c r="C1530" s="13"/>
      <c r="D1530" s="13"/>
      <c r="E1530" s="13"/>
      <c r="F1530" s="13"/>
      <c r="G1530" s="13"/>
      <c r="H1530" s="63"/>
      <c r="I1530" s="13"/>
      <c r="J1530" s="31"/>
      <c r="K1530" s="31"/>
      <c r="L1530" s="31"/>
      <c r="M1530" s="31"/>
      <c r="N1530" s="31"/>
      <c r="O1530" s="31"/>
      <c r="P1530" s="31"/>
      <c r="Q1530" s="31"/>
      <c r="R1530" s="31"/>
      <c r="S1530" s="31"/>
      <c r="T1530" s="31"/>
      <c r="U1530" s="31"/>
      <c r="V1530" s="31"/>
      <c r="W1530" s="31"/>
      <c r="X1530" s="31"/>
      <c r="Y1530" s="31"/>
      <c r="Z1530" s="31"/>
    </row>
    <row r="1531" ht="15.75" customHeight="1">
      <c r="A1531" s="13"/>
      <c r="B1531" s="13"/>
      <c r="C1531" s="13"/>
      <c r="D1531" s="13"/>
      <c r="E1531" s="13"/>
      <c r="F1531" s="13"/>
      <c r="G1531" s="13"/>
      <c r="H1531" s="63"/>
      <c r="I1531" s="13"/>
      <c r="J1531" s="31"/>
      <c r="K1531" s="31"/>
      <c r="L1531" s="31"/>
      <c r="M1531" s="31"/>
      <c r="N1531" s="31"/>
      <c r="O1531" s="31"/>
      <c r="P1531" s="31"/>
      <c r="Q1531" s="31"/>
      <c r="R1531" s="31"/>
      <c r="S1531" s="31"/>
      <c r="T1531" s="31"/>
      <c r="U1531" s="31"/>
      <c r="V1531" s="31"/>
      <c r="W1531" s="31"/>
      <c r="X1531" s="31"/>
      <c r="Y1531" s="31"/>
      <c r="Z1531" s="31"/>
    </row>
    <row r="1532" ht="15.75" customHeight="1">
      <c r="A1532" s="13"/>
      <c r="B1532" s="13"/>
      <c r="C1532" s="13"/>
      <c r="D1532" s="13"/>
      <c r="E1532" s="13"/>
      <c r="F1532" s="13"/>
      <c r="G1532" s="13"/>
      <c r="H1532" s="63"/>
      <c r="I1532" s="13"/>
      <c r="J1532" s="31"/>
      <c r="K1532" s="31"/>
      <c r="L1532" s="31"/>
      <c r="M1532" s="31"/>
      <c r="N1532" s="31"/>
      <c r="O1532" s="31"/>
      <c r="P1532" s="31"/>
      <c r="Q1532" s="31"/>
      <c r="R1532" s="31"/>
      <c r="S1532" s="31"/>
      <c r="T1532" s="31"/>
      <c r="U1532" s="31"/>
      <c r="V1532" s="31"/>
      <c r="W1532" s="31"/>
      <c r="X1532" s="31"/>
      <c r="Y1532" s="31"/>
      <c r="Z1532" s="31"/>
    </row>
    <row r="1533" ht="15.75" customHeight="1">
      <c r="A1533" s="13"/>
      <c r="B1533" s="13"/>
      <c r="C1533" s="13"/>
      <c r="D1533" s="13"/>
      <c r="E1533" s="13"/>
      <c r="F1533" s="13"/>
      <c r="G1533" s="13"/>
      <c r="H1533" s="63"/>
      <c r="I1533" s="13"/>
      <c r="J1533" s="31"/>
      <c r="K1533" s="31"/>
      <c r="L1533" s="31"/>
      <c r="M1533" s="31"/>
      <c r="N1533" s="31"/>
      <c r="O1533" s="31"/>
      <c r="P1533" s="31"/>
      <c r="Q1533" s="31"/>
      <c r="R1533" s="31"/>
      <c r="S1533" s="31"/>
      <c r="T1533" s="31"/>
      <c r="U1533" s="31"/>
      <c r="V1533" s="31"/>
      <c r="W1533" s="31"/>
      <c r="X1533" s="31"/>
      <c r="Y1533" s="31"/>
      <c r="Z1533" s="31"/>
    </row>
    <row r="1534" ht="15.75" customHeight="1">
      <c r="A1534" s="13"/>
      <c r="B1534" s="13"/>
      <c r="C1534" s="13"/>
      <c r="D1534" s="13"/>
      <c r="E1534" s="13"/>
      <c r="F1534" s="13"/>
      <c r="G1534" s="13"/>
      <c r="H1534" s="63"/>
      <c r="I1534" s="13"/>
      <c r="J1534" s="31"/>
      <c r="K1534" s="31"/>
      <c r="L1534" s="31"/>
      <c r="M1534" s="31"/>
      <c r="N1534" s="31"/>
      <c r="O1534" s="31"/>
      <c r="P1534" s="31"/>
      <c r="Q1534" s="31"/>
      <c r="R1534" s="31"/>
      <c r="S1534" s="31"/>
      <c r="T1534" s="31"/>
      <c r="U1534" s="31"/>
      <c r="V1534" s="31"/>
      <c r="W1534" s="31"/>
      <c r="X1534" s="31"/>
      <c r="Y1534" s="31"/>
      <c r="Z1534" s="31"/>
    </row>
    <row r="1535" ht="15.75" customHeight="1">
      <c r="A1535" s="13"/>
      <c r="B1535" s="13"/>
      <c r="C1535" s="13"/>
      <c r="D1535" s="13"/>
      <c r="E1535" s="13"/>
      <c r="F1535" s="13"/>
      <c r="G1535" s="13"/>
      <c r="H1535" s="63"/>
      <c r="I1535" s="13"/>
      <c r="J1535" s="31"/>
      <c r="K1535" s="31"/>
      <c r="L1535" s="31"/>
      <c r="M1535" s="31"/>
      <c r="N1535" s="31"/>
      <c r="O1535" s="31"/>
      <c r="P1535" s="31"/>
      <c r="Q1535" s="31"/>
      <c r="R1535" s="31"/>
      <c r="S1535" s="31"/>
      <c r="T1535" s="31"/>
      <c r="U1535" s="31"/>
      <c r="V1535" s="31"/>
      <c r="W1535" s="31"/>
      <c r="X1535" s="31"/>
      <c r="Y1535" s="31"/>
      <c r="Z1535" s="31"/>
    </row>
    <row r="1536" ht="15.75" customHeight="1">
      <c r="A1536" s="13"/>
      <c r="B1536" s="13"/>
      <c r="C1536" s="13"/>
      <c r="D1536" s="13"/>
      <c r="E1536" s="13"/>
      <c r="F1536" s="13"/>
      <c r="G1536" s="13"/>
      <c r="H1536" s="63"/>
      <c r="I1536" s="13"/>
      <c r="J1536" s="31"/>
      <c r="K1536" s="31"/>
      <c r="L1536" s="31"/>
      <c r="M1536" s="31"/>
      <c r="N1536" s="31"/>
      <c r="O1536" s="31"/>
      <c r="P1536" s="31"/>
      <c r="Q1536" s="31"/>
      <c r="R1536" s="31"/>
      <c r="S1536" s="31"/>
      <c r="T1536" s="31"/>
      <c r="U1536" s="31"/>
      <c r="V1536" s="31"/>
      <c r="W1536" s="31"/>
      <c r="X1536" s="31"/>
      <c r="Y1536" s="31"/>
      <c r="Z1536" s="31"/>
    </row>
    <row r="1537" ht="15.75" customHeight="1">
      <c r="A1537" s="13"/>
      <c r="B1537" s="13"/>
      <c r="C1537" s="13"/>
      <c r="D1537" s="13"/>
      <c r="E1537" s="13"/>
      <c r="F1537" s="13"/>
      <c r="G1537" s="13"/>
      <c r="H1537" s="63"/>
      <c r="I1537" s="13"/>
      <c r="J1537" s="31"/>
      <c r="K1537" s="31"/>
      <c r="L1537" s="31"/>
      <c r="M1537" s="31"/>
      <c r="N1537" s="31"/>
      <c r="O1537" s="31"/>
      <c r="P1537" s="31"/>
      <c r="Q1537" s="31"/>
      <c r="R1537" s="31"/>
      <c r="S1537" s="31"/>
      <c r="T1537" s="31"/>
      <c r="U1537" s="31"/>
      <c r="V1537" s="31"/>
      <c r="W1537" s="31"/>
      <c r="X1537" s="31"/>
      <c r="Y1537" s="31"/>
      <c r="Z1537" s="31"/>
    </row>
    <row r="1538" ht="15.75" customHeight="1">
      <c r="A1538" s="13"/>
      <c r="B1538" s="13"/>
      <c r="C1538" s="13"/>
      <c r="D1538" s="13"/>
      <c r="E1538" s="13"/>
      <c r="F1538" s="13"/>
      <c r="G1538" s="13"/>
      <c r="H1538" s="63"/>
      <c r="I1538" s="13"/>
      <c r="J1538" s="31"/>
      <c r="K1538" s="31"/>
      <c r="L1538" s="31"/>
      <c r="M1538" s="31"/>
      <c r="N1538" s="31"/>
      <c r="O1538" s="31"/>
      <c r="P1538" s="31"/>
      <c r="Q1538" s="31"/>
      <c r="R1538" s="31"/>
      <c r="S1538" s="31"/>
      <c r="T1538" s="31"/>
      <c r="U1538" s="31"/>
      <c r="V1538" s="31"/>
      <c r="W1538" s="31"/>
      <c r="X1538" s="31"/>
      <c r="Y1538" s="31"/>
      <c r="Z1538" s="31"/>
    </row>
    <row r="1539" ht="15.75" customHeight="1">
      <c r="A1539" s="13"/>
      <c r="B1539" s="13"/>
      <c r="C1539" s="13"/>
      <c r="D1539" s="13"/>
      <c r="E1539" s="13"/>
      <c r="F1539" s="13"/>
      <c r="G1539" s="13"/>
      <c r="H1539" s="63"/>
      <c r="I1539" s="13"/>
      <c r="J1539" s="31"/>
      <c r="K1539" s="31"/>
      <c r="L1539" s="31"/>
      <c r="M1539" s="31"/>
      <c r="N1539" s="31"/>
      <c r="O1539" s="31"/>
      <c r="P1539" s="31"/>
      <c r="Q1539" s="31"/>
      <c r="R1539" s="31"/>
      <c r="S1539" s="31"/>
      <c r="T1539" s="31"/>
      <c r="U1539" s="31"/>
      <c r="V1539" s="31"/>
      <c r="W1539" s="31"/>
      <c r="X1539" s="31"/>
      <c r="Y1539" s="31"/>
      <c r="Z1539" s="31"/>
    </row>
    <row r="1540" ht="15.75" customHeight="1">
      <c r="A1540" s="13"/>
      <c r="B1540" s="13"/>
      <c r="C1540" s="13"/>
      <c r="D1540" s="13"/>
      <c r="E1540" s="13"/>
      <c r="F1540" s="13"/>
      <c r="G1540" s="13"/>
      <c r="H1540" s="63"/>
      <c r="I1540" s="13"/>
      <c r="J1540" s="31"/>
      <c r="K1540" s="31"/>
      <c r="L1540" s="31"/>
      <c r="M1540" s="31"/>
      <c r="N1540" s="31"/>
      <c r="O1540" s="31"/>
      <c r="P1540" s="31"/>
      <c r="Q1540" s="31"/>
      <c r="R1540" s="31"/>
      <c r="S1540" s="31"/>
      <c r="T1540" s="31"/>
      <c r="U1540" s="31"/>
      <c r="V1540" s="31"/>
      <c r="W1540" s="31"/>
      <c r="X1540" s="31"/>
      <c r="Y1540" s="31"/>
      <c r="Z1540" s="31"/>
    </row>
    <row r="1541" ht="15.75" customHeight="1">
      <c r="A1541" s="13"/>
      <c r="B1541" s="13"/>
      <c r="C1541" s="13"/>
      <c r="D1541" s="13"/>
      <c r="E1541" s="13"/>
      <c r="F1541" s="13"/>
      <c r="G1541" s="13"/>
      <c r="H1541" s="63"/>
      <c r="I1541" s="13"/>
      <c r="J1541" s="31"/>
      <c r="K1541" s="31"/>
      <c r="L1541" s="31"/>
      <c r="M1541" s="31"/>
      <c r="N1541" s="31"/>
      <c r="O1541" s="31"/>
      <c r="P1541" s="31"/>
      <c r="Q1541" s="31"/>
      <c r="R1541" s="31"/>
      <c r="S1541" s="31"/>
      <c r="T1541" s="31"/>
      <c r="U1541" s="31"/>
      <c r="V1541" s="31"/>
      <c r="W1541" s="31"/>
      <c r="X1541" s="31"/>
      <c r="Y1541" s="31"/>
      <c r="Z1541" s="31"/>
    </row>
    <row r="1542" ht="15.75" customHeight="1">
      <c r="A1542" s="13"/>
      <c r="B1542" s="13"/>
      <c r="C1542" s="13"/>
      <c r="D1542" s="13"/>
      <c r="E1542" s="13"/>
      <c r="F1542" s="13"/>
      <c r="G1542" s="13"/>
      <c r="H1542" s="63"/>
      <c r="I1542" s="13"/>
      <c r="J1542" s="31"/>
      <c r="K1542" s="31"/>
      <c r="L1542" s="31"/>
      <c r="M1542" s="31"/>
      <c r="N1542" s="31"/>
      <c r="O1542" s="31"/>
      <c r="P1542" s="31"/>
      <c r="Q1542" s="31"/>
      <c r="R1542" s="31"/>
      <c r="S1542" s="31"/>
      <c r="T1542" s="31"/>
      <c r="U1542" s="31"/>
      <c r="V1542" s="31"/>
      <c r="W1542" s="31"/>
      <c r="X1542" s="31"/>
      <c r="Y1542" s="31"/>
      <c r="Z1542" s="31"/>
    </row>
    <row r="1543" ht="15.75" customHeight="1">
      <c r="A1543" s="13"/>
      <c r="B1543" s="13"/>
      <c r="C1543" s="13"/>
      <c r="D1543" s="13"/>
      <c r="E1543" s="13"/>
      <c r="F1543" s="13"/>
      <c r="G1543" s="13"/>
      <c r="H1543" s="63"/>
      <c r="I1543" s="13"/>
      <c r="J1543" s="31"/>
      <c r="K1543" s="31"/>
      <c r="L1543" s="31"/>
      <c r="M1543" s="31"/>
      <c r="N1543" s="31"/>
      <c r="O1543" s="31"/>
      <c r="P1543" s="31"/>
      <c r="Q1543" s="31"/>
      <c r="R1543" s="31"/>
      <c r="S1543" s="31"/>
      <c r="T1543" s="31"/>
      <c r="U1543" s="31"/>
      <c r="V1543" s="31"/>
      <c r="W1543" s="31"/>
      <c r="X1543" s="31"/>
      <c r="Y1543" s="31"/>
      <c r="Z1543" s="31"/>
    </row>
    <row r="1544" ht="15.75" customHeight="1">
      <c r="A1544" s="13"/>
      <c r="B1544" s="13"/>
      <c r="C1544" s="13"/>
      <c r="D1544" s="13"/>
      <c r="E1544" s="13"/>
      <c r="F1544" s="13"/>
      <c r="G1544" s="13"/>
      <c r="H1544" s="63"/>
      <c r="I1544" s="13"/>
      <c r="J1544" s="31"/>
      <c r="K1544" s="31"/>
      <c r="L1544" s="31"/>
      <c r="M1544" s="31"/>
      <c r="N1544" s="31"/>
      <c r="O1544" s="31"/>
      <c r="P1544" s="31"/>
      <c r="Q1544" s="31"/>
      <c r="R1544" s="31"/>
      <c r="S1544" s="31"/>
      <c r="T1544" s="31"/>
      <c r="U1544" s="31"/>
      <c r="V1544" s="31"/>
      <c r="W1544" s="31"/>
      <c r="X1544" s="31"/>
      <c r="Y1544" s="31"/>
      <c r="Z1544" s="31"/>
    </row>
    <row r="1545" ht="15.75" customHeight="1">
      <c r="A1545" s="13"/>
      <c r="B1545" s="13"/>
      <c r="C1545" s="13"/>
      <c r="D1545" s="13"/>
      <c r="E1545" s="13"/>
      <c r="F1545" s="13"/>
      <c r="G1545" s="13"/>
      <c r="H1545" s="63"/>
      <c r="I1545" s="13"/>
      <c r="J1545" s="31"/>
      <c r="K1545" s="31"/>
      <c r="L1545" s="31"/>
      <c r="M1545" s="31"/>
      <c r="N1545" s="31"/>
      <c r="O1545" s="31"/>
      <c r="P1545" s="31"/>
      <c r="Q1545" s="31"/>
      <c r="R1545" s="31"/>
      <c r="S1545" s="31"/>
      <c r="T1545" s="31"/>
      <c r="U1545" s="31"/>
      <c r="V1545" s="31"/>
      <c r="W1545" s="31"/>
      <c r="X1545" s="31"/>
      <c r="Y1545" s="31"/>
      <c r="Z1545" s="31"/>
    </row>
    <row r="1546" ht="15.75" customHeight="1">
      <c r="A1546" s="13"/>
      <c r="B1546" s="13"/>
      <c r="C1546" s="13"/>
      <c r="D1546" s="13"/>
      <c r="E1546" s="13"/>
      <c r="F1546" s="13"/>
      <c r="G1546" s="13"/>
      <c r="H1546" s="63"/>
      <c r="I1546" s="13"/>
      <c r="J1546" s="31"/>
      <c r="K1546" s="31"/>
      <c r="L1546" s="31"/>
      <c r="M1546" s="31"/>
      <c r="N1546" s="31"/>
      <c r="O1546" s="31"/>
      <c r="P1546" s="31"/>
      <c r="Q1546" s="31"/>
      <c r="R1546" s="31"/>
      <c r="S1546" s="31"/>
      <c r="T1546" s="31"/>
      <c r="U1546" s="31"/>
      <c r="V1546" s="31"/>
      <c r="W1546" s="31"/>
      <c r="X1546" s="31"/>
      <c r="Y1546" s="31"/>
      <c r="Z1546" s="31"/>
    </row>
    <row r="1547" ht="15.75" customHeight="1">
      <c r="A1547" s="13"/>
      <c r="B1547" s="13"/>
      <c r="C1547" s="13"/>
      <c r="D1547" s="13"/>
      <c r="E1547" s="13"/>
      <c r="F1547" s="13"/>
      <c r="G1547" s="13"/>
      <c r="H1547" s="63"/>
      <c r="I1547" s="13"/>
      <c r="J1547" s="31"/>
      <c r="K1547" s="31"/>
      <c r="L1547" s="31"/>
      <c r="M1547" s="31"/>
      <c r="N1547" s="31"/>
      <c r="O1547" s="31"/>
      <c r="P1547" s="31"/>
      <c r="Q1547" s="31"/>
      <c r="R1547" s="31"/>
      <c r="S1547" s="31"/>
      <c r="T1547" s="31"/>
      <c r="U1547" s="31"/>
      <c r="V1547" s="31"/>
      <c r="W1547" s="31"/>
      <c r="X1547" s="31"/>
      <c r="Y1547" s="31"/>
      <c r="Z1547" s="31"/>
    </row>
    <row r="1548" ht="15.75" customHeight="1">
      <c r="A1548" s="13"/>
      <c r="B1548" s="13"/>
      <c r="C1548" s="13"/>
      <c r="D1548" s="13"/>
      <c r="E1548" s="13"/>
      <c r="F1548" s="13"/>
      <c r="G1548" s="13"/>
      <c r="H1548" s="63"/>
      <c r="I1548" s="13"/>
      <c r="J1548" s="31"/>
      <c r="K1548" s="31"/>
      <c r="L1548" s="31"/>
      <c r="M1548" s="31"/>
      <c r="N1548" s="31"/>
      <c r="O1548" s="31"/>
      <c r="P1548" s="31"/>
      <c r="Q1548" s="31"/>
      <c r="R1548" s="31"/>
      <c r="S1548" s="31"/>
      <c r="T1548" s="31"/>
      <c r="U1548" s="31"/>
      <c r="V1548" s="31"/>
      <c r="W1548" s="31"/>
      <c r="X1548" s="31"/>
      <c r="Y1548" s="31"/>
      <c r="Z1548" s="31"/>
    </row>
    <row r="1549" ht="15.75" customHeight="1">
      <c r="A1549" s="13"/>
      <c r="B1549" s="13"/>
      <c r="C1549" s="13"/>
      <c r="D1549" s="13"/>
      <c r="E1549" s="13"/>
      <c r="F1549" s="13"/>
      <c r="G1549" s="13"/>
      <c r="H1549" s="63"/>
      <c r="I1549" s="13"/>
      <c r="J1549" s="31"/>
      <c r="K1549" s="31"/>
      <c r="L1549" s="31"/>
      <c r="M1549" s="31"/>
      <c r="N1549" s="31"/>
      <c r="O1549" s="31"/>
      <c r="P1549" s="31"/>
      <c r="Q1549" s="31"/>
      <c r="R1549" s="31"/>
      <c r="S1549" s="31"/>
      <c r="T1549" s="31"/>
      <c r="U1549" s="31"/>
      <c r="V1549" s="31"/>
      <c r="W1549" s="31"/>
      <c r="X1549" s="31"/>
      <c r="Y1549" s="31"/>
      <c r="Z1549" s="31"/>
    </row>
    <row r="1550" ht="15.75" customHeight="1">
      <c r="A1550" s="13"/>
      <c r="B1550" s="13"/>
      <c r="C1550" s="13"/>
      <c r="D1550" s="13"/>
      <c r="E1550" s="13"/>
      <c r="F1550" s="13"/>
      <c r="G1550" s="13"/>
      <c r="H1550" s="63"/>
      <c r="I1550" s="13"/>
      <c r="J1550" s="31"/>
      <c r="K1550" s="31"/>
      <c r="L1550" s="31"/>
      <c r="M1550" s="31"/>
      <c r="N1550" s="31"/>
      <c r="O1550" s="31"/>
      <c r="P1550" s="31"/>
      <c r="Q1550" s="31"/>
      <c r="R1550" s="31"/>
      <c r="S1550" s="31"/>
      <c r="T1550" s="31"/>
      <c r="U1550" s="31"/>
      <c r="V1550" s="31"/>
      <c r="W1550" s="31"/>
      <c r="X1550" s="31"/>
      <c r="Y1550" s="31"/>
      <c r="Z1550" s="31"/>
    </row>
    <row r="1551" ht="15.75" customHeight="1">
      <c r="A1551" s="13"/>
      <c r="B1551" s="13"/>
      <c r="C1551" s="13"/>
      <c r="D1551" s="13"/>
      <c r="E1551" s="13"/>
      <c r="F1551" s="13"/>
      <c r="G1551" s="13"/>
      <c r="H1551" s="63"/>
      <c r="I1551" s="13"/>
      <c r="J1551" s="31"/>
      <c r="K1551" s="31"/>
      <c r="L1551" s="31"/>
      <c r="M1551" s="31"/>
      <c r="N1551" s="31"/>
      <c r="O1551" s="31"/>
      <c r="P1551" s="31"/>
      <c r="Q1551" s="31"/>
      <c r="R1551" s="31"/>
      <c r="S1551" s="31"/>
      <c r="T1551" s="31"/>
      <c r="U1551" s="31"/>
      <c r="V1551" s="31"/>
      <c r="W1551" s="31"/>
      <c r="X1551" s="31"/>
      <c r="Y1551" s="31"/>
      <c r="Z1551" s="31"/>
    </row>
    <row r="1552" ht="15.75" customHeight="1">
      <c r="A1552" s="13"/>
      <c r="B1552" s="13"/>
      <c r="C1552" s="13"/>
      <c r="D1552" s="13"/>
      <c r="E1552" s="13"/>
      <c r="F1552" s="13"/>
      <c r="G1552" s="13"/>
      <c r="H1552" s="63"/>
      <c r="I1552" s="13"/>
      <c r="J1552" s="31"/>
      <c r="K1552" s="31"/>
      <c r="L1552" s="31"/>
      <c r="M1552" s="31"/>
      <c r="N1552" s="31"/>
      <c r="O1552" s="31"/>
      <c r="P1552" s="31"/>
      <c r="Q1552" s="31"/>
      <c r="R1552" s="31"/>
      <c r="S1552" s="31"/>
      <c r="T1552" s="31"/>
      <c r="U1552" s="31"/>
      <c r="V1552" s="31"/>
      <c r="W1552" s="31"/>
      <c r="X1552" s="31"/>
      <c r="Y1552" s="31"/>
      <c r="Z1552" s="31"/>
    </row>
    <row r="1553" ht="15.75" customHeight="1">
      <c r="A1553" s="13"/>
      <c r="B1553" s="13"/>
      <c r="C1553" s="13"/>
      <c r="D1553" s="13"/>
      <c r="E1553" s="13"/>
      <c r="F1553" s="13"/>
      <c r="G1553" s="13"/>
      <c r="H1553" s="63"/>
      <c r="I1553" s="13"/>
      <c r="J1553" s="31"/>
      <c r="K1553" s="31"/>
      <c r="L1553" s="31"/>
      <c r="M1553" s="31"/>
      <c r="N1553" s="31"/>
      <c r="O1553" s="31"/>
      <c r="P1553" s="31"/>
      <c r="Q1553" s="31"/>
      <c r="R1553" s="31"/>
      <c r="S1553" s="31"/>
      <c r="T1553" s="31"/>
      <c r="U1553" s="31"/>
      <c r="V1553" s="31"/>
      <c r="W1553" s="31"/>
      <c r="X1553" s="31"/>
      <c r="Y1553" s="31"/>
      <c r="Z1553" s="31"/>
    </row>
    <row r="1554" ht="15.75" customHeight="1">
      <c r="A1554" s="13"/>
      <c r="B1554" s="13"/>
      <c r="C1554" s="13"/>
      <c r="D1554" s="13"/>
      <c r="E1554" s="13"/>
      <c r="F1554" s="13"/>
      <c r="G1554" s="13"/>
      <c r="H1554" s="63"/>
      <c r="I1554" s="13"/>
      <c r="J1554" s="31"/>
      <c r="K1554" s="31"/>
      <c r="L1554" s="31"/>
      <c r="M1554" s="31"/>
      <c r="N1554" s="31"/>
      <c r="O1554" s="31"/>
      <c r="P1554" s="31"/>
      <c r="Q1554" s="31"/>
      <c r="R1554" s="31"/>
      <c r="S1554" s="31"/>
      <c r="T1554" s="31"/>
      <c r="U1554" s="31"/>
      <c r="V1554" s="31"/>
      <c r="W1554" s="31"/>
      <c r="X1554" s="31"/>
      <c r="Y1554" s="31"/>
      <c r="Z1554" s="31"/>
    </row>
    <row r="1555" ht="15.75" customHeight="1">
      <c r="A1555" s="13"/>
      <c r="B1555" s="13"/>
      <c r="C1555" s="13"/>
      <c r="D1555" s="13"/>
      <c r="E1555" s="13"/>
      <c r="F1555" s="13"/>
      <c r="G1555" s="13"/>
      <c r="H1555" s="63"/>
      <c r="I1555" s="13"/>
      <c r="J1555" s="31"/>
      <c r="K1555" s="31"/>
      <c r="L1555" s="31"/>
      <c r="M1555" s="31"/>
      <c r="N1555" s="31"/>
      <c r="O1555" s="31"/>
      <c r="P1555" s="31"/>
      <c r="Q1555" s="31"/>
      <c r="R1555" s="31"/>
      <c r="S1555" s="31"/>
      <c r="T1555" s="31"/>
      <c r="U1555" s="31"/>
      <c r="V1555" s="31"/>
      <c r="W1555" s="31"/>
      <c r="X1555" s="31"/>
      <c r="Y1555" s="31"/>
      <c r="Z1555" s="31"/>
    </row>
    <row r="1556" ht="15.75" customHeight="1">
      <c r="A1556" s="13"/>
      <c r="B1556" s="13"/>
      <c r="C1556" s="13"/>
      <c r="D1556" s="13"/>
      <c r="E1556" s="13"/>
      <c r="F1556" s="13"/>
      <c r="G1556" s="13"/>
      <c r="H1556" s="63"/>
      <c r="I1556" s="13"/>
      <c r="J1556" s="31"/>
      <c r="K1556" s="31"/>
      <c r="L1556" s="31"/>
      <c r="M1556" s="31"/>
      <c r="N1556" s="31"/>
      <c r="O1556" s="31"/>
      <c r="P1556" s="31"/>
      <c r="Q1556" s="31"/>
      <c r="R1556" s="31"/>
      <c r="S1556" s="31"/>
      <c r="T1556" s="31"/>
      <c r="U1556" s="31"/>
      <c r="V1556" s="31"/>
      <c r="W1556" s="31"/>
      <c r="X1556" s="31"/>
      <c r="Y1556" s="31"/>
      <c r="Z1556" s="31"/>
    </row>
    <row r="1557" ht="15.75" customHeight="1">
      <c r="A1557" s="13"/>
      <c r="B1557" s="13"/>
      <c r="C1557" s="13"/>
      <c r="D1557" s="13"/>
      <c r="E1557" s="13"/>
      <c r="F1557" s="13"/>
      <c r="G1557" s="13"/>
      <c r="H1557" s="63"/>
      <c r="I1557" s="13"/>
      <c r="J1557" s="31"/>
      <c r="K1557" s="31"/>
      <c r="L1557" s="31"/>
      <c r="M1557" s="31"/>
      <c r="N1557" s="31"/>
      <c r="O1557" s="31"/>
      <c r="P1557" s="31"/>
      <c r="Q1557" s="31"/>
      <c r="R1557" s="31"/>
      <c r="S1557" s="31"/>
      <c r="T1557" s="31"/>
      <c r="U1557" s="31"/>
      <c r="V1557" s="31"/>
      <c r="W1557" s="31"/>
      <c r="X1557" s="31"/>
      <c r="Y1557" s="31"/>
      <c r="Z1557" s="31"/>
    </row>
    <row r="1558" ht="15.75" customHeight="1">
      <c r="A1558" s="13"/>
      <c r="B1558" s="13"/>
      <c r="C1558" s="13"/>
      <c r="D1558" s="13"/>
      <c r="E1558" s="13"/>
      <c r="F1558" s="13"/>
      <c r="G1558" s="13"/>
      <c r="H1558" s="63"/>
      <c r="I1558" s="13"/>
      <c r="J1558" s="31"/>
      <c r="K1558" s="31"/>
      <c r="L1558" s="31"/>
      <c r="M1558" s="31"/>
      <c r="N1558" s="31"/>
      <c r="O1558" s="31"/>
      <c r="P1558" s="31"/>
      <c r="Q1558" s="31"/>
      <c r="R1558" s="31"/>
      <c r="S1558" s="31"/>
      <c r="T1558" s="31"/>
      <c r="U1558" s="31"/>
      <c r="V1558" s="31"/>
      <c r="W1558" s="31"/>
      <c r="X1558" s="31"/>
      <c r="Y1558" s="31"/>
      <c r="Z1558" s="31"/>
    </row>
    <row r="1559" ht="15.75" customHeight="1">
      <c r="A1559" s="13"/>
      <c r="B1559" s="13"/>
      <c r="C1559" s="13"/>
      <c r="D1559" s="13"/>
      <c r="E1559" s="13"/>
      <c r="F1559" s="13"/>
      <c r="G1559" s="13"/>
      <c r="H1559" s="63"/>
      <c r="I1559" s="13"/>
      <c r="J1559" s="31"/>
      <c r="K1559" s="31"/>
      <c r="L1559" s="31"/>
      <c r="M1559" s="31"/>
      <c r="N1559" s="31"/>
      <c r="O1559" s="31"/>
      <c r="P1559" s="31"/>
      <c r="Q1559" s="31"/>
      <c r="R1559" s="31"/>
      <c r="S1559" s="31"/>
      <c r="T1559" s="31"/>
      <c r="U1559" s="31"/>
      <c r="V1559" s="31"/>
      <c r="W1559" s="31"/>
      <c r="X1559" s="31"/>
      <c r="Y1559" s="31"/>
      <c r="Z1559" s="31"/>
    </row>
    <row r="1560" ht="15.75" customHeight="1">
      <c r="A1560" s="13"/>
      <c r="B1560" s="13"/>
      <c r="C1560" s="13"/>
      <c r="D1560" s="13"/>
      <c r="E1560" s="13"/>
      <c r="F1560" s="13"/>
      <c r="G1560" s="13"/>
      <c r="H1560" s="63"/>
      <c r="I1560" s="13"/>
      <c r="J1560" s="31"/>
      <c r="K1560" s="31"/>
      <c r="L1560" s="31"/>
      <c r="M1560" s="31"/>
      <c r="N1560" s="31"/>
      <c r="O1560" s="31"/>
      <c r="P1560" s="31"/>
      <c r="Q1560" s="31"/>
      <c r="R1560" s="31"/>
      <c r="S1560" s="31"/>
      <c r="T1560" s="31"/>
      <c r="U1560" s="31"/>
      <c r="V1560" s="31"/>
      <c r="W1560" s="31"/>
      <c r="X1560" s="31"/>
      <c r="Y1560" s="31"/>
      <c r="Z1560" s="31"/>
    </row>
    <row r="1561" ht="15.75" customHeight="1">
      <c r="A1561" s="13"/>
      <c r="B1561" s="13"/>
      <c r="C1561" s="13"/>
      <c r="D1561" s="13"/>
      <c r="E1561" s="13"/>
      <c r="F1561" s="13"/>
      <c r="G1561" s="13"/>
      <c r="H1561" s="63"/>
      <c r="I1561" s="13"/>
      <c r="J1561" s="31"/>
      <c r="K1561" s="31"/>
      <c r="L1561" s="31"/>
      <c r="M1561" s="31"/>
      <c r="N1561" s="31"/>
      <c r="O1561" s="31"/>
      <c r="P1561" s="31"/>
      <c r="Q1561" s="31"/>
      <c r="R1561" s="31"/>
      <c r="S1561" s="31"/>
      <c r="T1561" s="31"/>
      <c r="U1561" s="31"/>
      <c r="V1561" s="31"/>
      <c r="W1561" s="31"/>
      <c r="X1561" s="31"/>
      <c r="Y1561" s="31"/>
      <c r="Z1561" s="31"/>
    </row>
    <row r="1562" ht="15.75" customHeight="1">
      <c r="A1562" s="13"/>
      <c r="B1562" s="13"/>
      <c r="C1562" s="13"/>
      <c r="D1562" s="13"/>
      <c r="E1562" s="13"/>
      <c r="F1562" s="13"/>
      <c r="G1562" s="13"/>
      <c r="H1562" s="63"/>
      <c r="I1562" s="13"/>
      <c r="J1562" s="31"/>
      <c r="K1562" s="31"/>
      <c r="L1562" s="31"/>
      <c r="M1562" s="31"/>
      <c r="N1562" s="31"/>
      <c r="O1562" s="31"/>
      <c r="P1562" s="31"/>
      <c r="Q1562" s="31"/>
      <c r="R1562" s="31"/>
      <c r="S1562" s="31"/>
      <c r="T1562" s="31"/>
      <c r="U1562" s="31"/>
      <c r="V1562" s="31"/>
      <c r="W1562" s="31"/>
      <c r="X1562" s="31"/>
      <c r="Y1562" s="31"/>
      <c r="Z1562" s="31"/>
    </row>
    <row r="1563" ht="15.75" customHeight="1">
      <c r="A1563" s="13"/>
      <c r="B1563" s="13"/>
      <c r="C1563" s="13"/>
      <c r="D1563" s="13"/>
      <c r="E1563" s="13"/>
      <c r="F1563" s="13"/>
      <c r="G1563" s="13"/>
      <c r="H1563" s="63"/>
      <c r="I1563" s="13"/>
      <c r="J1563" s="31"/>
      <c r="K1563" s="31"/>
      <c r="L1563" s="31"/>
      <c r="M1563" s="31"/>
      <c r="N1563" s="31"/>
      <c r="O1563" s="31"/>
      <c r="P1563" s="31"/>
      <c r="Q1563" s="31"/>
      <c r="R1563" s="31"/>
      <c r="S1563" s="31"/>
      <c r="T1563" s="31"/>
      <c r="U1563" s="31"/>
      <c r="V1563" s="31"/>
      <c r="W1563" s="31"/>
      <c r="X1563" s="31"/>
      <c r="Y1563" s="31"/>
      <c r="Z1563" s="31"/>
    </row>
    <row r="1564" ht="15.75" customHeight="1">
      <c r="A1564" s="13"/>
      <c r="B1564" s="13"/>
      <c r="C1564" s="13"/>
      <c r="D1564" s="13"/>
      <c r="E1564" s="13"/>
      <c r="F1564" s="13"/>
      <c r="G1564" s="13"/>
      <c r="H1564" s="63"/>
      <c r="I1564" s="13"/>
      <c r="J1564" s="31"/>
      <c r="K1564" s="31"/>
      <c r="L1564" s="31"/>
      <c r="M1564" s="31"/>
      <c r="N1564" s="31"/>
      <c r="O1564" s="31"/>
      <c r="P1564" s="31"/>
      <c r="Q1564" s="31"/>
      <c r="R1564" s="31"/>
      <c r="S1564" s="31"/>
      <c r="T1564" s="31"/>
      <c r="U1564" s="31"/>
      <c r="V1564" s="31"/>
      <c r="W1564" s="31"/>
      <c r="X1564" s="31"/>
      <c r="Y1564" s="31"/>
      <c r="Z1564" s="31"/>
    </row>
    <row r="1565" ht="15.75" customHeight="1">
      <c r="A1565" s="13"/>
      <c r="B1565" s="13"/>
      <c r="C1565" s="13"/>
      <c r="D1565" s="13"/>
      <c r="E1565" s="13"/>
      <c r="F1565" s="13"/>
      <c r="G1565" s="13"/>
      <c r="H1565" s="63"/>
      <c r="I1565" s="13"/>
      <c r="J1565" s="31"/>
      <c r="K1565" s="31"/>
      <c r="L1565" s="31"/>
      <c r="M1565" s="31"/>
      <c r="N1565" s="31"/>
      <c r="O1565" s="31"/>
      <c r="P1565" s="31"/>
      <c r="Q1565" s="31"/>
      <c r="R1565" s="31"/>
      <c r="S1565" s="31"/>
      <c r="T1565" s="31"/>
      <c r="U1565" s="31"/>
      <c r="V1565" s="31"/>
      <c r="W1565" s="31"/>
      <c r="X1565" s="31"/>
      <c r="Y1565" s="31"/>
      <c r="Z1565" s="31"/>
    </row>
    <row r="1566" ht="15.75" customHeight="1">
      <c r="A1566" s="13"/>
      <c r="B1566" s="13"/>
      <c r="C1566" s="13"/>
      <c r="D1566" s="13"/>
      <c r="E1566" s="13"/>
      <c r="F1566" s="13"/>
      <c r="G1566" s="13"/>
      <c r="H1566" s="63"/>
      <c r="I1566" s="13"/>
      <c r="J1566" s="31"/>
      <c r="K1566" s="31"/>
      <c r="L1566" s="31"/>
      <c r="M1566" s="31"/>
      <c r="N1566" s="31"/>
      <c r="O1566" s="31"/>
      <c r="P1566" s="31"/>
      <c r="Q1566" s="31"/>
      <c r="R1566" s="31"/>
      <c r="S1566" s="31"/>
      <c r="T1566" s="31"/>
      <c r="U1566" s="31"/>
      <c r="V1566" s="31"/>
      <c r="W1566" s="31"/>
      <c r="X1566" s="31"/>
      <c r="Y1566" s="31"/>
      <c r="Z1566" s="31"/>
    </row>
    <row r="1567" ht="15.75" customHeight="1">
      <c r="A1567" s="13"/>
      <c r="B1567" s="13"/>
      <c r="C1567" s="13"/>
      <c r="D1567" s="13"/>
      <c r="E1567" s="13"/>
      <c r="F1567" s="13"/>
      <c r="G1567" s="13"/>
      <c r="H1567" s="63"/>
      <c r="I1567" s="13"/>
      <c r="J1567" s="31"/>
      <c r="K1567" s="31"/>
      <c r="L1567" s="31"/>
      <c r="M1567" s="31"/>
      <c r="N1567" s="31"/>
      <c r="O1567" s="31"/>
      <c r="P1567" s="31"/>
      <c r="Q1567" s="31"/>
      <c r="R1567" s="31"/>
      <c r="S1567" s="31"/>
      <c r="T1567" s="31"/>
      <c r="U1567" s="31"/>
      <c r="V1567" s="31"/>
      <c r="W1567" s="31"/>
      <c r="X1567" s="31"/>
      <c r="Y1567" s="31"/>
      <c r="Z1567" s="31"/>
    </row>
    <row r="1568" ht="15.75" customHeight="1">
      <c r="A1568" s="13"/>
      <c r="B1568" s="13"/>
      <c r="C1568" s="13"/>
      <c r="D1568" s="13"/>
      <c r="E1568" s="13"/>
      <c r="F1568" s="13"/>
      <c r="G1568" s="13"/>
      <c r="H1568" s="63"/>
      <c r="I1568" s="13"/>
      <c r="J1568" s="31"/>
      <c r="K1568" s="31"/>
      <c r="L1568" s="31"/>
      <c r="M1568" s="31"/>
      <c r="N1568" s="31"/>
      <c r="O1568" s="31"/>
      <c r="P1568" s="31"/>
      <c r="Q1568" s="31"/>
      <c r="R1568" s="31"/>
      <c r="S1568" s="31"/>
      <c r="T1568" s="31"/>
      <c r="U1568" s="31"/>
      <c r="V1568" s="31"/>
      <c r="W1568" s="31"/>
      <c r="X1568" s="31"/>
      <c r="Y1568" s="31"/>
      <c r="Z1568" s="31"/>
    </row>
    <row r="1569" ht="15.75" customHeight="1">
      <c r="A1569" s="13"/>
      <c r="B1569" s="13"/>
      <c r="C1569" s="13"/>
      <c r="D1569" s="13"/>
      <c r="E1569" s="13"/>
      <c r="F1569" s="13"/>
      <c r="G1569" s="13"/>
      <c r="H1569" s="63"/>
      <c r="I1569" s="13"/>
      <c r="J1569" s="31"/>
      <c r="K1569" s="31"/>
      <c r="L1569" s="31"/>
      <c r="M1569" s="31"/>
      <c r="N1569" s="31"/>
      <c r="O1569" s="31"/>
      <c r="P1569" s="31"/>
      <c r="Q1569" s="31"/>
      <c r="R1569" s="31"/>
      <c r="S1569" s="31"/>
      <c r="T1569" s="31"/>
      <c r="U1569" s="31"/>
      <c r="V1569" s="31"/>
      <c r="W1569" s="31"/>
      <c r="X1569" s="31"/>
      <c r="Y1569" s="31"/>
      <c r="Z1569" s="31"/>
    </row>
    <row r="1570" ht="15.75" customHeight="1">
      <c r="A1570" s="13"/>
      <c r="B1570" s="13"/>
      <c r="C1570" s="13"/>
      <c r="D1570" s="13"/>
      <c r="E1570" s="13"/>
      <c r="F1570" s="13"/>
      <c r="G1570" s="13"/>
      <c r="H1570" s="63"/>
      <c r="I1570" s="13"/>
      <c r="J1570" s="31"/>
      <c r="K1570" s="31"/>
      <c r="L1570" s="31"/>
      <c r="M1570" s="31"/>
      <c r="N1570" s="31"/>
      <c r="O1570" s="31"/>
      <c r="P1570" s="31"/>
      <c r="Q1570" s="31"/>
      <c r="R1570" s="31"/>
      <c r="S1570" s="31"/>
      <c r="T1570" s="31"/>
      <c r="U1570" s="31"/>
      <c r="V1570" s="31"/>
      <c r="W1570" s="31"/>
      <c r="X1570" s="31"/>
      <c r="Y1570" s="31"/>
      <c r="Z1570" s="31"/>
    </row>
    <row r="1571" ht="15.75" customHeight="1">
      <c r="A1571" s="13"/>
      <c r="B1571" s="13"/>
      <c r="C1571" s="13"/>
      <c r="D1571" s="13"/>
      <c r="E1571" s="13"/>
      <c r="F1571" s="13"/>
      <c r="G1571" s="13"/>
      <c r="H1571" s="63"/>
      <c r="I1571" s="13"/>
      <c r="J1571" s="31"/>
      <c r="K1571" s="31"/>
      <c r="L1571" s="31"/>
      <c r="M1571" s="31"/>
      <c r="N1571" s="31"/>
      <c r="O1571" s="31"/>
      <c r="P1571" s="31"/>
      <c r="Q1571" s="31"/>
      <c r="R1571" s="31"/>
      <c r="S1571" s="31"/>
      <c r="T1571" s="31"/>
      <c r="U1571" s="31"/>
      <c r="V1571" s="31"/>
      <c r="W1571" s="31"/>
      <c r="X1571" s="31"/>
      <c r="Y1571" s="31"/>
      <c r="Z1571" s="31"/>
    </row>
    <row r="1572" ht="15.75" customHeight="1">
      <c r="A1572" s="13"/>
      <c r="B1572" s="13"/>
      <c r="C1572" s="13"/>
      <c r="D1572" s="13"/>
      <c r="E1572" s="13"/>
      <c r="F1572" s="13"/>
      <c r="G1572" s="13"/>
      <c r="H1572" s="63"/>
      <c r="I1572" s="13"/>
      <c r="J1572" s="31"/>
      <c r="K1572" s="31"/>
      <c r="L1572" s="31"/>
      <c r="M1572" s="31"/>
      <c r="N1572" s="31"/>
      <c r="O1572" s="31"/>
      <c r="P1572" s="31"/>
      <c r="Q1572" s="31"/>
      <c r="R1572" s="31"/>
      <c r="S1572" s="31"/>
      <c r="T1572" s="31"/>
      <c r="U1572" s="31"/>
      <c r="V1572" s="31"/>
      <c r="W1572" s="31"/>
      <c r="X1572" s="31"/>
      <c r="Y1572" s="31"/>
      <c r="Z1572" s="31"/>
    </row>
    <row r="1573" ht="15.75" customHeight="1">
      <c r="A1573" s="13"/>
      <c r="B1573" s="13"/>
      <c r="C1573" s="13"/>
      <c r="D1573" s="13"/>
      <c r="E1573" s="13"/>
      <c r="F1573" s="13"/>
      <c r="G1573" s="13"/>
      <c r="H1573" s="63"/>
      <c r="I1573" s="13"/>
      <c r="J1573" s="31"/>
      <c r="K1573" s="31"/>
      <c r="L1573" s="31"/>
      <c r="M1573" s="31"/>
      <c r="N1573" s="31"/>
      <c r="O1573" s="31"/>
      <c r="P1573" s="31"/>
      <c r="Q1573" s="31"/>
      <c r="R1573" s="31"/>
      <c r="S1573" s="31"/>
      <c r="T1573" s="31"/>
      <c r="U1573" s="31"/>
      <c r="V1573" s="31"/>
      <c r="W1573" s="31"/>
      <c r="X1573" s="31"/>
      <c r="Y1573" s="31"/>
      <c r="Z1573" s="31"/>
    </row>
    <row r="1574" ht="15.75" customHeight="1">
      <c r="A1574" s="13"/>
      <c r="B1574" s="13"/>
      <c r="C1574" s="13"/>
      <c r="D1574" s="13"/>
      <c r="E1574" s="13"/>
      <c r="F1574" s="13"/>
      <c r="G1574" s="13"/>
      <c r="H1574" s="63"/>
      <c r="I1574" s="13"/>
      <c r="J1574" s="31"/>
      <c r="K1574" s="31"/>
      <c r="L1574" s="31"/>
      <c r="M1574" s="31"/>
      <c r="N1574" s="31"/>
      <c r="O1574" s="31"/>
      <c r="P1574" s="31"/>
      <c r="Q1574" s="31"/>
      <c r="R1574" s="31"/>
      <c r="S1574" s="31"/>
      <c r="T1574" s="31"/>
      <c r="U1574" s="31"/>
      <c r="V1574" s="31"/>
      <c r="W1574" s="31"/>
      <c r="X1574" s="31"/>
      <c r="Y1574" s="31"/>
      <c r="Z1574" s="31"/>
    </row>
    <row r="1575" ht="15.75" customHeight="1">
      <c r="A1575" s="13"/>
      <c r="B1575" s="13"/>
      <c r="C1575" s="13"/>
      <c r="D1575" s="13"/>
      <c r="E1575" s="13"/>
      <c r="F1575" s="13"/>
      <c r="G1575" s="13"/>
      <c r="H1575" s="63"/>
      <c r="I1575" s="13"/>
      <c r="J1575" s="31"/>
      <c r="K1575" s="31"/>
      <c r="L1575" s="31"/>
      <c r="M1575" s="31"/>
      <c r="N1575" s="31"/>
      <c r="O1575" s="31"/>
      <c r="P1575" s="31"/>
      <c r="Q1575" s="31"/>
      <c r="R1575" s="31"/>
      <c r="S1575" s="31"/>
      <c r="T1575" s="31"/>
      <c r="U1575" s="31"/>
      <c r="V1575" s="31"/>
      <c r="W1575" s="31"/>
      <c r="X1575" s="31"/>
      <c r="Y1575" s="31"/>
      <c r="Z1575" s="31"/>
    </row>
    <row r="1576" ht="15.75" customHeight="1">
      <c r="A1576" s="13"/>
      <c r="B1576" s="13"/>
      <c r="C1576" s="13"/>
      <c r="D1576" s="13"/>
      <c r="E1576" s="13"/>
      <c r="F1576" s="13"/>
      <c r="G1576" s="13"/>
      <c r="H1576" s="63"/>
      <c r="I1576" s="13"/>
      <c r="J1576" s="31"/>
      <c r="K1576" s="31"/>
      <c r="L1576" s="31"/>
      <c r="M1576" s="31"/>
      <c r="N1576" s="31"/>
      <c r="O1576" s="31"/>
      <c r="P1576" s="31"/>
      <c r="Q1576" s="31"/>
      <c r="R1576" s="31"/>
      <c r="S1576" s="31"/>
      <c r="T1576" s="31"/>
      <c r="U1576" s="31"/>
      <c r="V1576" s="31"/>
      <c r="W1576" s="31"/>
      <c r="X1576" s="31"/>
      <c r="Y1576" s="31"/>
      <c r="Z1576" s="31"/>
    </row>
    <row r="1577" ht="15.75" customHeight="1">
      <c r="A1577" s="13"/>
      <c r="B1577" s="13"/>
      <c r="C1577" s="13"/>
      <c r="D1577" s="13"/>
      <c r="E1577" s="13"/>
      <c r="F1577" s="13"/>
      <c r="G1577" s="13"/>
      <c r="H1577" s="63"/>
      <c r="I1577" s="13"/>
      <c r="J1577" s="31"/>
      <c r="K1577" s="31"/>
      <c r="L1577" s="31"/>
      <c r="M1577" s="31"/>
      <c r="N1577" s="31"/>
      <c r="O1577" s="31"/>
      <c r="P1577" s="31"/>
      <c r="Q1577" s="31"/>
      <c r="R1577" s="31"/>
      <c r="S1577" s="31"/>
      <c r="T1577" s="31"/>
      <c r="U1577" s="31"/>
      <c r="V1577" s="31"/>
      <c r="W1577" s="31"/>
      <c r="X1577" s="31"/>
      <c r="Y1577" s="31"/>
      <c r="Z1577" s="31"/>
    </row>
    <row r="1578" ht="15.75" customHeight="1">
      <c r="A1578" s="13"/>
      <c r="B1578" s="13"/>
      <c r="C1578" s="13"/>
      <c r="D1578" s="13"/>
      <c r="E1578" s="13"/>
      <c r="F1578" s="13"/>
      <c r="G1578" s="13"/>
      <c r="H1578" s="63"/>
      <c r="I1578" s="13"/>
      <c r="J1578" s="31"/>
      <c r="K1578" s="31"/>
      <c r="L1578" s="31"/>
      <c r="M1578" s="31"/>
      <c r="N1578" s="31"/>
      <c r="O1578" s="31"/>
      <c r="P1578" s="31"/>
      <c r="Q1578" s="31"/>
      <c r="R1578" s="31"/>
      <c r="S1578" s="31"/>
      <c r="T1578" s="31"/>
      <c r="U1578" s="31"/>
      <c r="V1578" s="31"/>
      <c r="W1578" s="31"/>
      <c r="X1578" s="31"/>
      <c r="Y1578" s="31"/>
      <c r="Z1578" s="31"/>
    </row>
    <row r="1579" ht="15.75" customHeight="1">
      <c r="A1579" s="13"/>
      <c r="B1579" s="13"/>
      <c r="C1579" s="13"/>
      <c r="D1579" s="13"/>
      <c r="E1579" s="13"/>
      <c r="F1579" s="13"/>
      <c r="G1579" s="13"/>
      <c r="H1579" s="63"/>
      <c r="I1579" s="13"/>
      <c r="J1579" s="31"/>
      <c r="K1579" s="31"/>
      <c r="L1579" s="31"/>
      <c r="M1579" s="31"/>
      <c r="N1579" s="31"/>
      <c r="O1579" s="31"/>
      <c r="P1579" s="31"/>
      <c r="Q1579" s="31"/>
      <c r="R1579" s="31"/>
      <c r="S1579" s="31"/>
      <c r="T1579" s="31"/>
      <c r="U1579" s="31"/>
      <c r="V1579" s="31"/>
      <c r="W1579" s="31"/>
      <c r="X1579" s="31"/>
      <c r="Y1579" s="31"/>
      <c r="Z1579" s="31"/>
    </row>
    <row r="1580" ht="15.75" customHeight="1">
      <c r="A1580" s="13"/>
      <c r="B1580" s="13"/>
      <c r="C1580" s="13"/>
      <c r="D1580" s="13"/>
      <c r="E1580" s="13"/>
      <c r="F1580" s="13"/>
      <c r="G1580" s="13"/>
      <c r="H1580" s="63"/>
      <c r="I1580" s="13"/>
      <c r="J1580" s="31"/>
      <c r="K1580" s="31"/>
      <c r="L1580" s="31"/>
      <c r="M1580" s="31"/>
      <c r="N1580" s="31"/>
      <c r="O1580" s="31"/>
      <c r="P1580" s="31"/>
      <c r="Q1580" s="31"/>
      <c r="R1580" s="31"/>
      <c r="S1580" s="31"/>
      <c r="T1580" s="31"/>
      <c r="U1580" s="31"/>
      <c r="V1580" s="31"/>
      <c r="W1580" s="31"/>
      <c r="X1580" s="31"/>
      <c r="Y1580" s="31"/>
      <c r="Z1580" s="31"/>
    </row>
    <row r="1581" ht="15.75" customHeight="1">
      <c r="A1581" s="13"/>
      <c r="B1581" s="13"/>
      <c r="C1581" s="13"/>
      <c r="D1581" s="13"/>
      <c r="E1581" s="13"/>
      <c r="F1581" s="13"/>
      <c r="G1581" s="13"/>
      <c r="H1581" s="63"/>
      <c r="I1581" s="13"/>
      <c r="J1581" s="31"/>
      <c r="K1581" s="31"/>
      <c r="L1581" s="31"/>
      <c r="M1581" s="31"/>
      <c r="N1581" s="31"/>
      <c r="O1581" s="31"/>
      <c r="P1581" s="31"/>
      <c r="Q1581" s="31"/>
      <c r="R1581" s="31"/>
      <c r="S1581" s="31"/>
      <c r="T1581" s="31"/>
      <c r="U1581" s="31"/>
      <c r="V1581" s="31"/>
      <c r="W1581" s="31"/>
      <c r="X1581" s="31"/>
      <c r="Y1581" s="31"/>
      <c r="Z1581" s="31"/>
    </row>
    <row r="1582" ht="15.75" customHeight="1">
      <c r="A1582" s="13"/>
      <c r="B1582" s="13"/>
      <c r="C1582" s="13"/>
      <c r="D1582" s="13"/>
      <c r="E1582" s="13"/>
      <c r="F1582" s="13"/>
      <c r="G1582" s="13"/>
      <c r="H1582" s="63"/>
      <c r="I1582" s="13"/>
      <c r="J1582" s="31"/>
      <c r="K1582" s="31"/>
      <c r="L1582" s="31"/>
      <c r="M1582" s="31"/>
      <c r="N1582" s="31"/>
      <c r="O1582" s="31"/>
      <c r="P1582" s="31"/>
      <c r="Q1582" s="31"/>
      <c r="R1582" s="31"/>
      <c r="S1582" s="31"/>
      <c r="T1582" s="31"/>
      <c r="U1582" s="31"/>
      <c r="V1582" s="31"/>
      <c r="W1582" s="31"/>
      <c r="X1582" s="31"/>
      <c r="Y1582" s="31"/>
      <c r="Z1582" s="31"/>
    </row>
    <row r="1583" ht="15.75" customHeight="1">
      <c r="A1583" s="13"/>
      <c r="B1583" s="13"/>
      <c r="C1583" s="13"/>
      <c r="D1583" s="13"/>
      <c r="E1583" s="13"/>
      <c r="F1583" s="13"/>
      <c r="G1583" s="13"/>
      <c r="H1583" s="63"/>
      <c r="I1583" s="13"/>
      <c r="J1583" s="31"/>
      <c r="K1583" s="31"/>
      <c r="L1583" s="31"/>
      <c r="M1583" s="31"/>
      <c r="N1583" s="31"/>
      <c r="O1583" s="31"/>
      <c r="P1583" s="31"/>
      <c r="Q1583" s="31"/>
      <c r="R1583" s="31"/>
      <c r="S1583" s="31"/>
      <c r="T1583" s="31"/>
      <c r="U1583" s="31"/>
      <c r="V1583" s="31"/>
      <c r="W1583" s="31"/>
      <c r="X1583" s="31"/>
      <c r="Y1583" s="31"/>
      <c r="Z1583" s="31"/>
    </row>
    <row r="1584" ht="15.75" customHeight="1">
      <c r="A1584" s="13"/>
      <c r="B1584" s="13"/>
      <c r="C1584" s="13"/>
      <c r="D1584" s="13"/>
      <c r="E1584" s="13"/>
      <c r="F1584" s="13"/>
      <c r="G1584" s="13"/>
      <c r="H1584" s="63"/>
      <c r="I1584" s="13"/>
      <c r="J1584" s="31"/>
      <c r="K1584" s="31"/>
      <c r="L1584" s="31"/>
      <c r="M1584" s="31"/>
      <c r="N1584" s="31"/>
      <c r="O1584" s="31"/>
      <c r="P1584" s="31"/>
      <c r="Q1584" s="31"/>
      <c r="R1584" s="31"/>
      <c r="S1584" s="31"/>
      <c r="T1584" s="31"/>
      <c r="U1584" s="31"/>
      <c r="V1584" s="31"/>
      <c r="W1584" s="31"/>
      <c r="X1584" s="31"/>
      <c r="Y1584" s="31"/>
      <c r="Z1584" s="31"/>
    </row>
    <row r="1585" ht="15.75" customHeight="1">
      <c r="A1585" s="13"/>
      <c r="B1585" s="13"/>
      <c r="C1585" s="13"/>
      <c r="D1585" s="13"/>
      <c r="E1585" s="13"/>
      <c r="F1585" s="13"/>
      <c r="G1585" s="13"/>
      <c r="H1585" s="63"/>
      <c r="I1585" s="13"/>
      <c r="J1585" s="31"/>
      <c r="K1585" s="31"/>
      <c r="L1585" s="31"/>
      <c r="M1585" s="31"/>
      <c r="N1585" s="31"/>
      <c r="O1585" s="31"/>
      <c r="P1585" s="31"/>
      <c r="Q1585" s="31"/>
      <c r="R1585" s="31"/>
      <c r="S1585" s="31"/>
      <c r="T1585" s="31"/>
      <c r="U1585" s="31"/>
      <c r="V1585" s="31"/>
      <c r="W1585" s="31"/>
      <c r="X1585" s="31"/>
      <c r="Y1585" s="31"/>
      <c r="Z1585" s="31"/>
    </row>
    <row r="1586" ht="15.75" customHeight="1">
      <c r="A1586" s="13"/>
      <c r="B1586" s="13"/>
      <c r="C1586" s="13"/>
      <c r="D1586" s="13"/>
      <c r="E1586" s="13"/>
      <c r="F1586" s="13"/>
      <c r="G1586" s="13"/>
      <c r="H1586" s="63"/>
      <c r="I1586" s="13"/>
      <c r="J1586" s="31"/>
      <c r="K1586" s="31"/>
      <c r="L1586" s="31"/>
      <c r="M1586" s="31"/>
      <c r="N1586" s="31"/>
      <c r="O1586" s="31"/>
      <c r="P1586" s="31"/>
      <c r="Q1586" s="31"/>
      <c r="R1586" s="31"/>
      <c r="S1586" s="31"/>
      <c r="T1586" s="31"/>
      <c r="U1586" s="31"/>
      <c r="V1586" s="31"/>
      <c r="W1586" s="31"/>
      <c r="X1586" s="31"/>
      <c r="Y1586" s="31"/>
      <c r="Z1586" s="31"/>
    </row>
    <row r="1587" ht="15.75" customHeight="1">
      <c r="A1587" s="13"/>
      <c r="B1587" s="13"/>
      <c r="C1587" s="13"/>
      <c r="D1587" s="13"/>
      <c r="E1587" s="13"/>
      <c r="F1587" s="13"/>
      <c r="G1587" s="13"/>
      <c r="H1587" s="63"/>
      <c r="I1587" s="13"/>
      <c r="J1587" s="31"/>
      <c r="K1587" s="31"/>
      <c r="L1587" s="31"/>
      <c r="M1587" s="31"/>
      <c r="N1587" s="31"/>
      <c r="O1587" s="31"/>
      <c r="P1587" s="31"/>
      <c r="Q1587" s="31"/>
      <c r="R1587" s="31"/>
      <c r="S1587" s="31"/>
      <c r="T1587" s="31"/>
      <c r="U1587" s="31"/>
      <c r="V1587" s="31"/>
      <c r="W1587" s="31"/>
      <c r="X1587" s="31"/>
      <c r="Y1587" s="31"/>
      <c r="Z1587" s="31"/>
    </row>
    <row r="1588" ht="15.75" customHeight="1">
      <c r="A1588" s="13"/>
      <c r="B1588" s="13"/>
      <c r="C1588" s="13"/>
      <c r="D1588" s="13"/>
      <c r="E1588" s="13"/>
      <c r="F1588" s="13"/>
      <c r="G1588" s="13"/>
      <c r="H1588" s="63"/>
      <c r="I1588" s="13"/>
      <c r="J1588" s="31"/>
      <c r="K1588" s="31"/>
      <c r="L1588" s="31"/>
      <c r="M1588" s="31"/>
      <c r="N1588" s="31"/>
      <c r="O1588" s="31"/>
      <c r="P1588" s="31"/>
      <c r="Q1588" s="31"/>
      <c r="R1588" s="31"/>
      <c r="S1588" s="31"/>
      <c r="T1588" s="31"/>
      <c r="U1588" s="31"/>
      <c r="V1588" s="31"/>
      <c r="W1588" s="31"/>
      <c r="X1588" s="31"/>
      <c r="Y1588" s="31"/>
      <c r="Z1588" s="31"/>
    </row>
    <row r="1589" ht="15.75" customHeight="1">
      <c r="A1589" s="13"/>
      <c r="B1589" s="13"/>
      <c r="C1589" s="13"/>
      <c r="D1589" s="13"/>
      <c r="E1589" s="13"/>
      <c r="F1589" s="13"/>
      <c r="G1589" s="13"/>
      <c r="H1589" s="63"/>
      <c r="I1589" s="13"/>
      <c r="J1589" s="31"/>
      <c r="K1589" s="31"/>
      <c r="L1589" s="31"/>
      <c r="M1589" s="31"/>
      <c r="N1589" s="31"/>
      <c r="O1589" s="31"/>
      <c r="P1589" s="31"/>
      <c r="Q1589" s="31"/>
      <c r="R1589" s="31"/>
      <c r="S1589" s="31"/>
      <c r="T1589" s="31"/>
      <c r="U1589" s="31"/>
      <c r="V1589" s="31"/>
      <c r="W1589" s="31"/>
      <c r="X1589" s="31"/>
      <c r="Y1589" s="31"/>
      <c r="Z1589" s="31"/>
    </row>
    <row r="1590" ht="15.75" customHeight="1">
      <c r="A1590" s="13"/>
      <c r="B1590" s="13"/>
      <c r="C1590" s="13"/>
      <c r="D1590" s="13"/>
      <c r="E1590" s="13"/>
      <c r="F1590" s="13"/>
      <c r="G1590" s="13"/>
      <c r="H1590" s="63"/>
      <c r="I1590" s="13"/>
      <c r="J1590" s="31"/>
      <c r="K1590" s="31"/>
      <c r="L1590" s="31"/>
      <c r="M1590" s="31"/>
      <c r="N1590" s="31"/>
      <c r="O1590" s="31"/>
      <c r="P1590" s="31"/>
      <c r="Q1590" s="31"/>
      <c r="R1590" s="31"/>
      <c r="S1590" s="31"/>
      <c r="T1590" s="31"/>
      <c r="U1590" s="31"/>
      <c r="V1590" s="31"/>
      <c r="W1590" s="31"/>
      <c r="X1590" s="31"/>
      <c r="Y1590" s="31"/>
      <c r="Z1590" s="31"/>
    </row>
    <row r="1591" ht="15.75" customHeight="1">
      <c r="A1591" s="13"/>
      <c r="B1591" s="13"/>
      <c r="C1591" s="13"/>
      <c r="D1591" s="13"/>
      <c r="E1591" s="13"/>
      <c r="F1591" s="13"/>
      <c r="G1591" s="13"/>
      <c r="H1591" s="63"/>
      <c r="I1591" s="13"/>
      <c r="J1591" s="31"/>
      <c r="K1591" s="31"/>
      <c r="L1591" s="31"/>
      <c r="M1591" s="31"/>
      <c r="N1591" s="31"/>
      <c r="O1591" s="31"/>
      <c r="P1591" s="31"/>
      <c r="Q1591" s="31"/>
      <c r="R1591" s="31"/>
      <c r="S1591" s="31"/>
      <c r="T1591" s="31"/>
      <c r="U1591" s="31"/>
      <c r="V1591" s="31"/>
      <c r="W1591" s="31"/>
      <c r="X1591" s="31"/>
      <c r="Y1591" s="31"/>
      <c r="Z1591" s="31"/>
    </row>
    <row r="1592" ht="15.75" customHeight="1">
      <c r="A1592" s="13"/>
      <c r="B1592" s="13"/>
      <c r="C1592" s="13"/>
      <c r="D1592" s="13"/>
      <c r="E1592" s="13"/>
      <c r="F1592" s="13"/>
      <c r="G1592" s="13"/>
      <c r="H1592" s="63"/>
      <c r="I1592" s="13"/>
      <c r="J1592" s="31"/>
      <c r="K1592" s="31"/>
      <c r="L1592" s="31"/>
      <c r="M1592" s="31"/>
      <c r="N1592" s="31"/>
      <c r="O1592" s="31"/>
      <c r="P1592" s="31"/>
      <c r="Q1592" s="31"/>
      <c r="R1592" s="31"/>
      <c r="S1592" s="31"/>
      <c r="T1592" s="31"/>
      <c r="U1592" s="31"/>
      <c r="V1592" s="31"/>
      <c r="W1592" s="31"/>
      <c r="X1592" s="31"/>
      <c r="Y1592" s="31"/>
      <c r="Z1592" s="31"/>
    </row>
    <row r="1593" ht="15.75" customHeight="1">
      <c r="A1593" s="13"/>
      <c r="B1593" s="13"/>
      <c r="C1593" s="13"/>
      <c r="D1593" s="13"/>
      <c r="E1593" s="13"/>
      <c r="F1593" s="13"/>
      <c r="G1593" s="13"/>
      <c r="H1593" s="63"/>
      <c r="I1593" s="13"/>
      <c r="J1593" s="31"/>
      <c r="K1593" s="31"/>
      <c r="L1593" s="31"/>
      <c r="M1593" s="31"/>
      <c r="N1593" s="31"/>
      <c r="O1593" s="31"/>
      <c r="P1593" s="31"/>
      <c r="Q1593" s="31"/>
      <c r="R1593" s="31"/>
      <c r="S1593" s="31"/>
      <c r="T1593" s="31"/>
      <c r="U1593" s="31"/>
      <c r="V1593" s="31"/>
      <c r="W1593" s="31"/>
      <c r="X1593" s="31"/>
      <c r="Y1593" s="31"/>
      <c r="Z1593" s="31"/>
    </row>
    <row r="1594" ht="15.75" customHeight="1">
      <c r="A1594" s="13"/>
      <c r="B1594" s="13"/>
      <c r="C1594" s="13"/>
      <c r="D1594" s="13"/>
      <c r="E1594" s="13"/>
      <c r="F1594" s="13"/>
      <c r="G1594" s="13"/>
      <c r="H1594" s="63"/>
      <c r="I1594" s="13"/>
      <c r="J1594" s="31"/>
      <c r="K1594" s="31"/>
      <c r="L1594" s="31"/>
      <c r="M1594" s="31"/>
      <c r="N1594" s="31"/>
      <c r="O1594" s="31"/>
      <c r="P1594" s="31"/>
      <c r="Q1594" s="31"/>
      <c r="R1594" s="31"/>
      <c r="S1594" s="31"/>
      <c r="T1594" s="31"/>
      <c r="U1594" s="31"/>
      <c r="V1594" s="31"/>
      <c r="W1594" s="31"/>
      <c r="X1594" s="31"/>
      <c r="Y1594" s="31"/>
      <c r="Z1594" s="31"/>
    </row>
    <row r="1595" ht="15.75" customHeight="1">
      <c r="A1595" s="13"/>
      <c r="B1595" s="13"/>
      <c r="C1595" s="13"/>
      <c r="D1595" s="13"/>
      <c r="E1595" s="13"/>
      <c r="F1595" s="13"/>
      <c r="G1595" s="13"/>
      <c r="H1595" s="63"/>
      <c r="I1595" s="13"/>
      <c r="J1595" s="31"/>
      <c r="K1595" s="31"/>
      <c r="L1595" s="31"/>
      <c r="M1595" s="31"/>
      <c r="N1595" s="31"/>
      <c r="O1595" s="31"/>
      <c r="P1595" s="31"/>
      <c r="Q1595" s="31"/>
      <c r="R1595" s="31"/>
      <c r="S1595" s="31"/>
      <c r="T1595" s="31"/>
      <c r="U1595" s="31"/>
      <c r="V1595" s="31"/>
      <c r="W1595" s="31"/>
      <c r="X1595" s="31"/>
      <c r="Y1595" s="31"/>
      <c r="Z1595" s="31"/>
    </row>
    <row r="1596" ht="15.75" customHeight="1">
      <c r="A1596" s="13"/>
      <c r="B1596" s="13"/>
      <c r="C1596" s="13"/>
      <c r="D1596" s="13"/>
      <c r="E1596" s="13"/>
      <c r="F1596" s="13"/>
      <c r="G1596" s="13"/>
      <c r="H1596" s="63"/>
      <c r="I1596" s="13"/>
      <c r="J1596" s="31"/>
      <c r="K1596" s="31"/>
      <c r="L1596" s="31"/>
      <c r="M1596" s="31"/>
      <c r="N1596" s="31"/>
      <c r="O1596" s="31"/>
      <c r="P1596" s="31"/>
      <c r="Q1596" s="31"/>
      <c r="R1596" s="31"/>
      <c r="S1596" s="31"/>
      <c r="T1596" s="31"/>
      <c r="U1596" s="31"/>
      <c r="V1596" s="31"/>
      <c r="W1596" s="31"/>
      <c r="X1596" s="31"/>
      <c r="Y1596" s="31"/>
      <c r="Z1596" s="31"/>
    </row>
    <row r="1597" ht="15.75" customHeight="1">
      <c r="A1597" s="13"/>
      <c r="B1597" s="13"/>
      <c r="C1597" s="13"/>
      <c r="D1597" s="13"/>
      <c r="E1597" s="13"/>
      <c r="F1597" s="13"/>
      <c r="G1597" s="13"/>
      <c r="H1597" s="63"/>
      <c r="I1597" s="13"/>
      <c r="J1597" s="31"/>
      <c r="K1597" s="31"/>
      <c r="L1597" s="31"/>
      <c r="M1597" s="31"/>
      <c r="N1597" s="31"/>
      <c r="O1597" s="31"/>
      <c r="P1597" s="31"/>
      <c r="Q1597" s="31"/>
      <c r="R1597" s="31"/>
      <c r="S1597" s="31"/>
      <c r="T1597" s="31"/>
      <c r="U1597" s="31"/>
      <c r="V1597" s="31"/>
      <c r="W1597" s="31"/>
      <c r="X1597" s="31"/>
      <c r="Y1597" s="31"/>
      <c r="Z1597" s="31"/>
    </row>
    <row r="1598" ht="15.75" customHeight="1">
      <c r="A1598" s="13"/>
      <c r="B1598" s="13"/>
      <c r="C1598" s="13"/>
      <c r="D1598" s="13"/>
      <c r="E1598" s="13"/>
      <c r="F1598" s="13"/>
      <c r="G1598" s="13"/>
      <c r="H1598" s="63"/>
      <c r="I1598" s="13"/>
      <c r="J1598" s="31"/>
      <c r="K1598" s="31"/>
      <c r="L1598" s="31"/>
      <c r="M1598" s="31"/>
      <c r="N1598" s="31"/>
      <c r="O1598" s="31"/>
      <c r="P1598" s="31"/>
      <c r="Q1598" s="31"/>
      <c r="R1598" s="31"/>
      <c r="S1598" s="31"/>
      <c r="T1598" s="31"/>
      <c r="U1598" s="31"/>
      <c r="V1598" s="31"/>
      <c r="W1598" s="31"/>
      <c r="X1598" s="31"/>
      <c r="Y1598" s="31"/>
      <c r="Z1598" s="31"/>
    </row>
    <row r="1599" ht="15.75" customHeight="1">
      <c r="A1599" s="13"/>
      <c r="B1599" s="13"/>
      <c r="C1599" s="13"/>
      <c r="D1599" s="13"/>
      <c r="E1599" s="13"/>
      <c r="F1599" s="13"/>
      <c r="G1599" s="13"/>
      <c r="H1599" s="63"/>
      <c r="I1599" s="13"/>
      <c r="J1599" s="31"/>
      <c r="K1599" s="31"/>
      <c r="L1599" s="31"/>
      <c r="M1599" s="31"/>
      <c r="N1599" s="31"/>
      <c r="O1599" s="31"/>
      <c r="P1599" s="31"/>
      <c r="Q1599" s="31"/>
      <c r="R1599" s="31"/>
      <c r="S1599" s="31"/>
      <c r="T1599" s="31"/>
      <c r="U1599" s="31"/>
      <c r="V1599" s="31"/>
      <c r="W1599" s="31"/>
      <c r="X1599" s="31"/>
      <c r="Y1599" s="31"/>
      <c r="Z1599" s="31"/>
    </row>
    <row r="1600" ht="15.75" customHeight="1">
      <c r="A1600" s="13"/>
      <c r="B1600" s="13"/>
      <c r="C1600" s="13"/>
      <c r="D1600" s="13"/>
      <c r="E1600" s="13"/>
      <c r="F1600" s="13"/>
      <c r="G1600" s="13"/>
      <c r="H1600" s="63"/>
      <c r="I1600" s="13"/>
      <c r="J1600" s="31"/>
      <c r="K1600" s="31"/>
      <c r="L1600" s="31"/>
      <c r="M1600" s="31"/>
      <c r="N1600" s="31"/>
      <c r="O1600" s="31"/>
      <c r="P1600" s="31"/>
      <c r="Q1600" s="31"/>
      <c r="R1600" s="31"/>
      <c r="S1600" s="31"/>
      <c r="T1600" s="31"/>
      <c r="U1600" s="31"/>
      <c r="V1600" s="31"/>
      <c r="W1600" s="31"/>
      <c r="X1600" s="31"/>
      <c r="Y1600" s="31"/>
      <c r="Z1600" s="31"/>
    </row>
    <row r="1601" ht="15.75" customHeight="1">
      <c r="A1601" s="13"/>
      <c r="B1601" s="13"/>
      <c r="C1601" s="13"/>
      <c r="D1601" s="13"/>
      <c r="E1601" s="13"/>
      <c r="F1601" s="13"/>
      <c r="G1601" s="13"/>
      <c r="H1601" s="63"/>
      <c r="I1601" s="13"/>
      <c r="J1601" s="31"/>
      <c r="K1601" s="31"/>
      <c r="L1601" s="31"/>
      <c r="M1601" s="31"/>
      <c r="N1601" s="31"/>
      <c r="O1601" s="31"/>
      <c r="P1601" s="31"/>
      <c r="Q1601" s="31"/>
      <c r="R1601" s="31"/>
      <c r="S1601" s="31"/>
      <c r="T1601" s="31"/>
      <c r="U1601" s="31"/>
      <c r="V1601" s="31"/>
      <c r="W1601" s="31"/>
      <c r="X1601" s="31"/>
      <c r="Y1601" s="31"/>
      <c r="Z1601" s="31"/>
    </row>
    <row r="1602" ht="15.75" customHeight="1">
      <c r="A1602" s="13"/>
      <c r="B1602" s="13"/>
      <c r="C1602" s="13"/>
      <c r="D1602" s="13"/>
      <c r="E1602" s="13"/>
      <c r="F1602" s="13"/>
      <c r="G1602" s="13"/>
      <c r="H1602" s="63"/>
      <c r="I1602" s="13"/>
      <c r="J1602" s="31"/>
      <c r="K1602" s="31"/>
      <c r="L1602" s="31"/>
      <c r="M1602" s="31"/>
      <c r="N1602" s="31"/>
      <c r="O1602" s="31"/>
      <c r="P1602" s="31"/>
      <c r="Q1602" s="31"/>
      <c r="R1602" s="31"/>
      <c r="S1602" s="31"/>
      <c r="T1602" s="31"/>
      <c r="U1602" s="31"/>
      <c r="V1602" s="31"/>
      <c r="W1602" s="31"/>
      <c r="X1602" s="31"/>
      <c r="Y1602" s="31"/>
      <c r="Z1602" s="31"/>
    </row>
    <row r="1603" ht="15.75" customHeight="1">
      <c r="A1603" s="13"/>
      <c r="B1603" s="13"/>
      <c r="C1603" s="13"/>
      <c r="D1603" s="13"/>
      <c r="E1603" s="13"/>
      <c r="F1603" s="13"/>
      <c r="G1603" s="13"/>
      <c r="H1603" s="63"/>
      <c r="I1603" s="13"/>
      <c r="J1603" s="31"/>
      <c r="K1603" s="31"/>
      <c r="L1603" s="31"/>
      <c r="M1603" s="31"/>
      <c r="N1603" s="31"/>
      <c r="O1603" s="31"/>
      <c r="P1603" s="31"/>
      <c r="Q1603" s="31"/>
      <c r="R1603" s="31"/>
      <c r="S1603" s="31"/>
      <c r="T1603" s="31"/>
      <c r="U1603" s="31"/>
      <c r="V1603" s="31"/>
      <c r="W1603" s="31"/>
      <c r="X1603" s="31"/>
      <c r="Y1603" s="31"/>
      <c r="Z1603" s="31"/>
    </row>
    <row r="1604" ht="15.75" customHeight="1">
      <c r="A1604" s="13"/>
      <c r="B1604" s="13"/>
      <c r="C1604" s="13"/>
      <c r="D1604" s="13"/>
      <c r="E1604" s="13"/>
      <c r="F1604" s="13"/>
      <c r="G1604" s="13"/>
      <c r="H1604" s="63"/>
      <c r="I1604" s="13"/>
      <c r="J1604" s="31"/>
      <c r="K1604" s="31"/>
      <c r="L1604" s="31"/>
      <c r="M1604" s="31"/>
      <c r="N1604" s="31"/>
      <c r="O1604" s="31"/>
      <c r="P1604" s="31"/>
      <c r="Q1604" s="31"/>
      <c r="R1604" s="31"/>
      <c r="S1604" s="31"/>
      <c r="T1604" s="31"/>
      <c r="U1604" s="31"/>
      <c r="V1604" s="31"/>
      <c r="W1604" s="31"/>
      <c r="X1604" s="31"/>
      <c r="Y1604" s="31"/>
      <c r="Z1604" s="31"/>
    </row>
    <row r="1605" ht="15.75" customHeight="1">
      <c r="A1605" s="13"/>
      <c r="B1605" s="13"/>
      <c r="C1605" s="13"/>
      <c r="D1605" s="13"/>
      <c r="E1605" s="13"/>
      <c r="F1605" s="13"/>
      <c r="G1605" s="13"/>
      <c r="H1605" s="63"/>
      <c r="I1605" s="13"/>
      <c r="J1605" s="31"/>
      <c r="K1605" s="31"/>
      <c r="L1605" s="31"/>
      <c r="M1605" s="31"/>
      <c r="N1605" s="31"/>
      <c r="O1605" s="31"/>
      <c r="P1605" s="31"/>
      <c r="Q1605" s="31"/>
      <c r="R1605" s="31"/>
      <c r="S1605" s="31"/>
      <c r="T1605" s="31"/>
      <c r="U1605" s="31"/>
      <c r="V1605" s="31"/>
      <c r="W1605" s="31"/>
      <c r="X1605" s="31"/>
      <c r="Y1605" s="31"/>
      <c r="Z1605" s="31"/>
    </row>
    <row r="1606" ht="15.75" customHeight="1">
      <c r="A1606" s="13"/>
      <c r="B1606" s="13"/>
      <c r="C1606" s="13"/>
      <c r="D1606" s="13"/>
      <c r="E1606" s="13"/>
      <c r="F1606" s="13"/>
      <c r="G1606" s="13"/>
      <c r="H1606" s="63"/>
      <c r="I1606" s="13"/>
      <c r="J1606" s="31"/>
      <c r="K1606" s="31"/>
      <c r="L1606" s="31"/>
      <c r="M1606" s="31"/>
      <c r="N1606" s="31"/>
      <c r="O1606" s="31"/>
      <c r="P1606" s="31"/>
      <c r="Q1606" s="31"/>
      <c r="R1606" s="31"/>
      <c r="S1606" s="31"/>
      <c r="T1606" s="31"/>
      <c r="U1606" s="31"/>
      <c r="V1606" s="31"/>
      <c r="W1606" s="31"/>
      <c r="X1606" s="31"/>
      <c r="Y1606" s="31"/>
      <c r="Z1606" s="31"/>
    </row>
    <row r="1607" ht="15.75" customHeight="1">
      <c r="A1607" s="13"/>
      <c r="B1607" s="13"/>
      <c r="C1607" s="13"/>
      <c r="D1607" s="13"/>
      <c r="E1607" s="13"/>
      <c r="F1607" s="13"/>
      <c r="G1607" s="13"/>
      <c r="H1607" s="63"/>
      <c r="I1607" s="13"/>
      <c r="J1607" s="31"/>
      <c r="K1607" s="31"/>
      <c r="L1607" s="31"/>
      <c r="M1607" s="31"/>
      <c r="N1607" s="31"/>
      <c r="O1607" s="31"/>
      <c r="P1607" s="31"/>
      <c r="Q1607" s="31"/>
      <c r="R1607" s="31"/>
      <c r="S1607" s="31"/>
      <c r="T1607" s="31"/>
      <c r="U1607" s="31"/>
      <c r="V1607" s="31"/>
      <c r="W1607" s="31"/>
      <c r="X1607" s="31"/>
      <c r="Y1607" s="31"/>
      <c r="Z1607" s="31"/>
    </row>
    <row r="1608" ht="15.75" customHeight="1">
      <c r="A1608" s="13"/>
      <c r="B1608" s="13"/>
      <c r="C1608" s="13"/>
      <c r="D1608" s="13"/>
      <c r="E1608" s="13"/>
      <c r="F1608" s="13"/>
      <c r="G1608" s="13"/>
      <c r="H1608" s="63"/>
      <c r="I1608" s="13"/>
      <c r="J1608" s="31"/>
      <c r="K1608" s="31"/>
      <c r="L1608" s="31"/>
      <c r="M1608" s="31"/>
      <c r="N1608" s="31"/>
      <c r="O1608" s="31"/>
      <c r="P1608" s="31"/>
      <c r="Q1608" s="31"/>
      <c r="R1608" s="31"/>
      <c r="S1608" s="31"/>
      <c r="T1608" s="31"/>
      <c r="U1608" s="31"/>
      <c r="V1608" s="31"/>
      <c r="W1608" s="31"/>
      <c r="X1608" s="31"/>
      <c r="Y1608" s="31"/>
      <c r="Z1608" s="31"/>
    </row>
    <row r="1609" ht="15.75" customHeight="1">
      <c r="A1609" s="13"/>
      <c r="B1609" s="13"/>
      <c r="C1609" s="13"/>
      <c r="D1609" s="13"/>
      <c r="E1609" s="13"/>
      <c r="F1609" s="13"/>
      <c r="G1609" s="13"/>
      <c r="H1609" s="63"/>
      <c r="I1609" s="13"/>
      <c r="J1609" s="31"/>
      <c r="K1609" s="31"/>
      <c r="L1609" s="31"/>
      <c r="M1609" s="31"/>
      <c r="N1609" s="31"/>
      <c r="O1609" s="31"/>
      <c r="P1609" s="31"/>
      <c r="Q1609" s="31"/>
      <c r="R1609" s="31"/>
      <c r="S1609" s="31"/>
      <c r="T1609" s="31"/>
      <c r="U1609" s="31"/>
      <c r="V1609" s="31"/>
      <c r="W1609" s="31"/>
      <c r="X1609" s="31"/>
      <c r="Y1609" s="31"/>
      <c r="Z1609" s="31"/>
    </row>
    <row r="1610" ht="15.75" customHeight="1">
      <c r="A1610" s="13"/>
      <c r="B1610" s="13"/>
      <c r="C1610" s="13"/>
      <c r="D1610" s="13"/>
      <c r="E1610" s="13"/>
      <c r="F1610" s="13"/>
      <c r="G1610" s="13"/>
      <c r="H1610" s="63"/>
      <c r="I1610" s="13"/>
      <c r="J1610" s="31"/>
      <c r="K1610" s="31"/>
      <c r="L1610" s="31"/>
      <c r="M1610" s="31"/>
      <c r="N1610" s="31"/>
      <c r="O1610" s="31"/>
      <c r="P1610" s="31"/>
      <c r="Q1610" s="31"/>
      <c r="R1610" s="31"/>
      <c r="S1610" s="31"/>
      <c r="T1610" s="31"/>
      <c r="U1610" s="31"/>
      <c r="V1610" s="31"/>
      <c r="W1610" s="31"/>
      <c r="X1610" s="31"/>
      <c r="Y1610" s="31"/>
      <c r="Z1610" s="31"/>
    </row>
    <row r="1611" ht="15.75" customHeight="1">
      <c r="A1611" s="13"/>
      <c r="B1611" s="13"/>
      <c r="C1611" s="13"/>
      <c r="D1611" s="13"/>
      <c r="E1611" s="13"/>
      <c r="F1611" s="13"/>
      <c r="G1611" s="13"/>
      <c r="H1611" s="63"/>
      <c r="I1611" s="13"/>
      <c r="J1611" s="31"/>
      <c r="K1611" s="31"/>
      <c r="L1611" s="31"/>
      <c r="M1611" s="31"/>
      <c r="N1611" s="31"/>
      <c r="O1611" s="31"/>
      <c r="P1611" s="31"/>
      <c r="Q1611" s="31"/>
      <c r="R1611" s="31"/>
      <c r="S1611" s="31"/>
      <c r="T1611" s="31"/>
      <c r="U1611" s="31"/>
      <c r="V1611" s="31"/>
      <c r="W1611" s="31"/>
      <c r="X1611" s="31"/>
      <c r="Y1611" s="31"/>
      <c r="Z1611" s="31"/>
    </row>
    <row r="1612" ht="15.75" customHeight="1">
      <c r="A1612" s="13"/>
      <c r="B1612" s="13"/>
      <c r="C1612" s="13"/>
      <c r="D1612" s="13"/>
      <c r="E1612" s="13"/>
      <c r="F1612" s="13"/>
      <c r="G1612" s="13"/>
      <c r="H1612" s="63"/>
      <c r="I1612" s="13"/>
      <c r="J1612" s="31"/>
      <c r="K1612" s="31"/>
      <c r="L1612" s="31"/>
      <c r="M1612" s="31"/>
      <c r="N1612" s="31"/>
      <c r="O1612" s="31"/>
      <c r="P1612" s="31"/>
      <c r="Q1612" s="31"/>
      <c r="R1612" s="31"/>
      <c r="S1612" s="31"/>
      <c r="T1612" s="31"/>
      <c r="U1612" s="31"/>
      <c r="V1612" s="31"/>
      <c r="W1612" s="31"/>
      <c r="X1612" s="31"/>
      <c r="Y1612" s="31"/>
      <c r="Z1612" s="31"/>
    </row>
    <row r="1613" ht="15.75" customHeight="1">
      <c r="A1613" s="13"/>
      <c r="B1613" s="13"/>
      <c r="C1613" s="13"/>
      <c r="D1613" s="13"/>
      <c r="E1613" s="13"/>
      <c r="F1613" s="13"/>
      <c r="G1613" s="13"/>
      <c r="H1613" s="63"/>
      <c r="I1613" s="13"/>
      <c r="J1613" s="31"/>
      <c r="K1613" s="31"/>
      <c r="L1613" s="31"/>
      <c r="M1613" s="31"/>
      <c r="N1613" s="31"/>
      <c r="O1613" s="31"/>
      <c r="P1613" s="31"/>
      <c r="Q1613" s="31"/>
      <c r="R1613" s="31"/>
      <c r="S1613" s="31"/>
      <c r="T1613" s="31"/>
      <c r="U1613" s="31"/>
      <c r="V1613" s="31"/>
      <c r="W1613" s="31"/>
      <c r="X1613" s="31"/>
      <c r="Y1613" s="31"/>
      <c r="Z1613" s="31"/>
    </row>
    <row r="1614" ht="15.75" customHeight="1">
      <c r="A1614" s="13"/>
      <c r="B1614" s="13"/>
      <c r="C1614" s="13"/>
      <c r="D1614" s="13"/>
      <c r="E1614" s="13"/>
      <c r="F1614" s="13"/>
      <c r="G1614" s="13"/>
      <c r="H1614" s="63"/>
      <c r="I1614" s="13"/>
      <c r="J1614" s="31"/>
      <c r="K1614" s="31"/>
      <c r="L1614" s="31"/>
      <c r="M1614" s="31"/>
      <c r="N1614" s="31"/>
      <c r="O1614" s="31"/>
      <c r="P1614" s="31"/>
      <c r="Q1614" s="31"/>
      <c r="R1614" s="31"/>
      <c r="S1614" s="31"/>
      <c r="T1614" s="31"/>
      <c r="U1614" s="31"/>
      <c r="V1614" s="31"/>
      <c r="W1614" s="31"/>
      <c r="X1614" s="31"/>
      <c r="Y1614" s="31"/>
      <c r="Z1614" s="31"/>
    </row>
    <row r="1615" ht="15.75" customHeight="1">
      <c r="A1615" s="13"/>
      <c r="B1615" s="13"/>
      <c r="C1615" s="13"/>
      <c r="D1615" s="13"/>
      <c r="E1615" s="13"/>
      <c r="F1615" s="13"/>
      <c r="G1615" s="13"/>
      <c r="H1615" s="63"/>
      <c r="I1615" s="13"/>
      <c r="J1615" s="31"/>
      <c r="K1615" s="31"/>
      <c r="L1615" s="31"/>
      <c r="M1615" s="31"/>
      <c r="N1615" s="31"/>
      <c r="O1615" s="31"/>
      <c r="P1615" s="31"/>
      <c r="Q1615" s="31"/>
      <c r="R1615" s="31"/>
      <c r="S1615" s="31"/>
      <c r="T1615" s="31"/>
      <c r="U1615" s="31"/>
      <c r="V1615" s="31"/>
      <c r="W1615" s="31"/>
      <c r="X1615" s="31"/>
      <c r="Y1615" s="31"/>
      <c r="Z1615" s="31"/>
    </row>
    <row r="1616" ht="15.75" customHeight="1">
      <c r="A1616" s="13"/>
      <c r="B1616" s="13"/>
      <c r="C1616" s="13"/>
      <c r="D1616" s="13"/>
      <c r="E1616" s="13"/>
      <c r="F1616" s="13"/>
      <c r="G1616" s="13"/>
      <c r="H1616" s="63"/>
      <c r="I1616" s="13"/>
      <c r="J1616" s="31"/>
      <c r="K1616" s="31"/>
      <c r="L1616" s="31"/>
      <c r="M1616" s="31"/>
      <c r="N1616" s="31"/>
      <c r="O1616" s="31"/>
      <c r="P1616" s="31"/>
      <c r="Q1616" s="31"/>
      <c r="R1616" s="31"/>
      <c r="S1616" s="31"/>
      <c r="T1616" s="31"/>
      <c r="U1616" s="31"/>
      <c r="V1616" s="31"/>
      <c r="W1616" s="31"/>
      <c r="X1616" s="31"/>
      <c r="Y1616" s="31"/>
      <c r="Z1616" s="31"/>
    </row>
    <row r="1617" ht="15.75" customHeight="1">
      <c r="A1617" s="13"/>
      <c r="B1617" s="13"/>
      <c r="C1617" s="13"/>
      <c r="D1617" s="13"/>
      <c r="E1617" s="13"/>
      <c r="F1617" s="13"/>
      <c r="G1617" s="13"/>
      <c r="H1617" s="63"/>
      <c r="I1617" s="13"/>
      <c r="J1617" s="31"/>
      <c r="K1617" s="31"/>
      <c r="L1617" s="31"/>
      <c r="M1617" s="31"/>
      <c r="N1617" s="31"/>
      <c r="O1617" s="31"/>
      <c r="P1617" s="31"/>
      <c r="Q1617" s="31"/>
      <c r="R1617" s="31"/>
      <c r="S1617" s="31"/>
      <c r="T1617" s="31"/>
      <c r="U1617" s="31"/>
      <c r="V1617" s="31"/>
      <c r="W1617" s="31"/>
      <c r="X1617" s="31"/>
      <c r="Y1617" s="31"/>
      <c r="Z1617" s="31"/>
    </row>
    <row r="1618" ht="15.75" customHeight="1">
      <c r="A1618" s="13"/>
      <c r="B1618" s="13"/>
      <c r="C1618" s="13"/>
      <c r="D1618" s="13"/>
      <c r="E1618" s="13"/>
      <c r="F1618" s="13"/>
      <c r="G1618" s="13"/>
      <c r="H1618" s="63"/>
      <c r="I1618" s="13"/>
      <c r="J1618" s="31"/>
      <c r="K1618" s="31"/>
      <c r="L1618" s="31"/>
      <c r="M1618" s="31"/>
      <c r="N1618" s="31"/>
      <c r="O1618" s="31"/>
      <c r="P1618" s="31"/>
      <c r="Q1618" s="31"/>
      <c r="R1618" s="31"/>
      <c r="S1618" s="31"/>
      <c r="T1618" s="31"/>
      <c r="U1618" s="31"/>
      <c r="V1618" s="31"/>
      <c r="W1618" s="31"/>
      <c r="X1618" s="31"/>
      <c r="Y1618" s="31"/>
      <c r="Z1618" s="31"/>
    </row>
    <row r="1619" ht="15.75" customHeight="1">
      <c r="A1619" s="13"/>
      <c r="B1619" s="13"/>
      <c r="C1619" s="13"/>
      <c r="D1619" s="13"/>
      <c r="E1619" s="13"/>
      <c r="F1619" s="13"/>
      <c r="G1619" s="13"/>
      <c r="H1619" s="63"/>
      <c r="I1619" s="13"/>
      <c r="J1619" s="31"/>
      <c r="K1619" s="31"/>
      <c r="L1619" s="31"/>
      <c r="M1619" s="31"/>
      <c r="N1619" s="31"/>
      <c r="O1619" s="31"/>
      <c r="P1619" s="31"/>
      <c r="Q1619" s="31"/>
      <c r="R1619" s="31"/>
      <c r="S1619" s="31"/>
      <c r="T1619" s="31"/>
      <c r="U1619" s="31"/>
      <c r="V1619" s="31"/>
      <c r="W1619" s="31"/>
      <c r="X1619" s="31"/>
      <c r="Y1619" s="31"/>
      <c r="Z1619" s="31"/>
    </row>
    <row r="1620" ht="15.75" customHeight="1">
      <c r="A1620" s="13"/>
      <c r="B1620" s="13"/>
      <c r="C1620" s="13"/>
      <c r="D1620" s="13"/>
      <c r="E1620" s="13"/>
      <c r="F1620" s="13"/>
      <c r="G1620" s="13"/>
      <c r="H1620" s="63"/>
      <c r="I1620" s="13"/>
      <c r="J1620" s="31"/>
      <c r="K1620" s="31"/>
      <c r="L1620" s="31"/>
      <c r="M1620" s="31"/>
      <c r="N1620" s="31"/>
      <c r="O1620" s="31"/>
      <c r="P1620" s="31"/>
      <c r="Q1620" s="31"/>
      <c r="R1620" s="31"/>
      <c r="S1620" s="31"/>
      <c r="T1620" s="31"/>
      <c r="U1620" s="31"/>
      <c r="V1620" s="31"/>
      <c r="W1620" s="31"/>
      <c r="X1620" s="31"/>
      <c r="Y1620" s="31"/>
      <c r="Z1620" s="31"/>
    </row>
    <row r="1621" ht="15.75" customHeight="1">
      <c r="A1621" s="13"/>
      <c r="B1621" s="13"/>
      <c r="C1621" s="13"/>
      <c r="D1621" s="13"/>
      <c r="E1621" s="13"/>
      <c r="F1621" s="13"/>
      <c r="G1621" s="13"/>
      <c r="H1621" s="63"/>
      <c r="I1621" s="13"/>
      <c r="J1621" s="31"/>
      <c r="K1621" s="31"/>
      <c r="L1621" s="31"/>
      <c r="M1621" s="31"/>
      <c r="N1621" s="31"/>
      <c r="O1621" s="31"/>
      <c r="P1621" s="31"/>
      <c r="Q1621" s="31"/>
      <c r="R1621" s="31"/>
      <c r="S1621" s="31"/>
      <c r="T1621" s="31"/>
      <c r="U1621" s="31"/>
      <c r="V1621" s="31"/>
      <c r="W1621" s="31"/>
      <c r="X1621" s="31"/>
      <c r="Y1621" s="31"/>
      <c r="Z1621" s="31"/>
    </row>
    <row r="1622" ht="15.75" customHeight="1">
      <c r="A1622" s="13"/>
      <c r="B1622" s="13"/>
      <c r="C1622" s="13"/>
      <c r="D1622" s="13"/>
      <c r="E1622" s="13"/>
      <c r="F1622" s="13"/>
      <c r="G1622" s="13"/>
      <c r="H1622" s="63"/>
      <c r="I1622" s="13"/>
      <c r="J1622" s="31"/>
      <c r="K1622" s="31"/>
      <c r="L1622" s="31"/>
      <c r="M1622" s="31"/>
      <c r="N1622" s="31"/>
      <c r="O1622" s="31"/>
      <c r="P1622" s="31"/>
      <c r="Q1622" s="31"/>
      <c r="R1622" s="31"/>
      <c r="S1622" s="31"/>
      <c r="T1622" s="31"/>
      <c r="U1622" s="31"/>
      <c r="V1622" s="31"/>
      <c r="W1622" s="31"/>
      <c r="X1622" s="31"/>
      <c r="Y1622" s="31"/>
      <c r="Z1622" s="31"/>
    </row>
    <row r="1623" ht="15.75" customHeight="1">
      <c r="A1623" s="13"/>
      <c r="B1623" s="13"/>
      <c r="C1623" s="13"/>
      <c r="D1623" s="13"/>
      <c r="E1623" s="13"/>
      <c r="F1623" s="13"/>
      <c r="G1623" s="13"/>
      <c r="H1623" s="63"/>
      <c r="I1623" s="13"/>
      <c r="J1623" s="31"/>
      <c r="K1623" s="31"/>
      <c r="L1623" s="31"/>
      <c r="M1623" s="31"/>
      <c r="N1623" s="31"/>
      <c r="O1623" s="31"/>
      <c r="P1623" s="31"/>
      <c r="Q1623" s="31"/>
      <c r="R1623" s="31"/>
      <c r="S1623" s="31"/>
      <c r="T1623" s="31"/>
      <c r="U1623" s="31"/>
      <c r="V1623" s="31"/>
      <c r="W1623" s="31"/>
      <c r="X1623" s="31"/>
      <c r="Y1623" s="31"/>
      <c r="Z1623" s="31"/>
    </row>
    <row r="1624" ht="15.75" customHeight="1">
      <c r="A1624" s="13"/>
      <c r="B1624" s="13"/>
      <c r="C1624" s="13"/>
      <c r="D1624" s="13"/>
      <c r="E1624" s="13"/>
      <c r="F1624" s="13"/>
      <c r="G1624" s="13"/>
      <c r="H1624" s="63"/>
      <c r="I1624" s="13"/>
      <c r="J1624" s="31"/>
      <c r="K1624" s="31"/>
      <c r="L1624" s="31"/>
      <c r="M1624" s="31"/>
      <c r="N1624" s="31"/>
      <c r="O1624" s="31"/>
      <c r="P1624" s="31"/>
      <c r="Q1624" s="31"/>
      <c r="R1624" s="31"/>
      <c r="S1624" s="31"/>
      <c r="T1624" s="31"/>
      <c r="U1624" s="31"/>
      <c r="V1624" s="31"/>
      <c r="W1624" s="31"/>
      <c r="X1624" s="31"/>
      <c r="Y1624" s="31"/>
      <c r="Z1624" s="31"/>
    </row>
    <row r="1625" ht="15.75" customHeight="1">
      <c r="A1625" s="13"/>
      <c r="B1625" s="13"/>
      <c r="C1625" s="13"/>
      <c r="D1625" s="13"/>
      <c r="E1625" s="13"/>
      <c r="F1625" s="13"/>
      <c r="G1625" s="13"/>
      <c r="H1625" s="63"/>
      <c r="I1625" s="13"/>
      <c r="J1625" s="31"/>
      <c r="K1625" s="31"/>
      <c r="L1625" s="31"/>
      <c r="M1625" s="31"/>
      <c r="N1625" s="31"/>
      <c r="O1625" s="31"/>
      <c r="P1625" s="31"/>
      <c r="Q1625" s="31"/>
      <c r="R1625" s="31"/>
      <c r="S1625" s="31"/>
      <c r="T1625" s="31"/>
      <c r="U1625" s="31"/>
      <c r="V1625" s="31"/>
      <c r="W1625" s="31"/>
      <c r="X1625" s="31"/>
      <c r="Y1625" s="31"/>
      <c r="Z1625" s="31"/>
    </row>
    <row r="1626" ht="15.75" customHeight="1">
      <c r="A1626" s="13"/>
      <c r="B1626" s="13"/>
      <c r="C1626" s="13"/>
      <c r="D1626" s="13"/>
      <c r="E1626" s="13"/>
      <c r="F1626" s="13"/>
      <c r="G1626" s="13"/>
      <c r="H1626" s="63"/>
      <c r="I1626" s="13"/>
      <c r="J1626" s="31"/>
      <c r="K1626" s="31"/>
      <c r="L1626" s="31"/>
      <c r="M1626" s="31"/>
      <c r="N1626" s="31"/>
      <c r="O1626" s="31"/>
      <c r="P1626" s="31"/>
      <c r="Q1626" s="31"/>
      <c r="R1626" s="31"/>
      <c r="S1626" s="31"/>
      <c r="T1626" s="31"/>
      <c r="U1626" s="31"/>
      <c r="V1626" s="31"/>
      <c r="W1626" s="31"/>
      <c r="X1626" s="31"/>
      <c r="Y1626" s="31"/>
      <c r="Z1626" s="31"/>
    </row>
    <row r="1627" ht="15.75" customHeight="1">
      <c r="A1627" s="13"/>
      <c r="B1627" s="13"/>
      <c r="C1627" s="13"/>
      <c r="D1627" s="13"/>
      <c r="E1627" s="13"/>
      <c r="F1627" s="13"/>
      <c r="G1627" s="13"/>
      <c r="H1627" s="63"/>
      <c r="I1627" s="13"/>
      <c r="J1627" s="31"/>
      <c r="K1627" s="31"/>
      <c r="L1627" s="31"/>
      <c r="M1627" s="31"/>
      <c r="N1627" s="31"/>
      <c r="O1627" s="31"/>
      <c r="P1627" s="31"/>
      <c r="Q1627" s="31"/>
      <c r="R1627" s="31"/>
      <c r="S1627" s="31"/>
      <c r="T1627" s="31"/>
      <c r="U1627" s="31"/>
      <c r="V1627" s="31"/>
      <c r="W1627" s="31"/>
      <c r="X1627" s="31"/>
      <c r="Y1627" s="31"/>
      <c r="Z1627" s="31"/>
    </row>
    <row r="1628" ht="15.75" customHeight="1">
      <c r="A1628" s="13"/>
      <c r="B1628" s="13"/>
      <c r="C1628" s="13"/>
      <c r="D1628" s="13"/>
      <c r="E1628" s="13"/>
      <c r="F1628" s="13"/>
      <c r="G1628" s="13"/>
      <c r="H1628" s="63"/>
      <c r="I1628" s="13"/>
      <c r="J1628" s="31"/>
      <c r="K1628" s="31"/>
      <c r="L1628" s="31"/>
      <c r="M1628" s="31"/>
      <c r="N1628" s="31"/>
      <c r="O1628" s="31"/>
      <c r="P1628" s="31"/>
      <c r="Q1628" s="31"/>
      <c r="R1628" s="31"/>
      <c r="S1628" s="31"/>
      <c r="T1628" s="31"/>
      <c r="U1628" s="31"/>
      <c r="V1628" s="31"/>
      <c r="W1628" s="31"/>
      <c r="X1628" s="31"/>
      <c r="Y1628" s="31"/>
      <c r="Z1628" s="31"/>
    </row>
    <row r="1629" ht="15.75" customHeight="1">
      <c r="A1629" s="13"/>
      <c r="B1629" s="13"/>
      <c r="C1629" s="13"/>
      <c r="D1629" s="13"/>
      <c r="E1629" s="13"/>
      <c r="F1629" s="13"/>
      <c r="G1629" s="13"/>
      <c r="H1629" s="63"/>
      <c r="I1629" s="13"/>
      <c r="J1629" s="31"/>
      <c r="K1629" s="31"/>
      <c r="L1629" s="31"/>
      <c r="M1629" s="31"/>
      <c r="N1629" s="31"/>
      <c r="O1629" s="31"/>
      <c r="P1629" s="31"/>
      <c r="Q1629" s="31"/>
      <c r="R1629" s="31"/>
      <c r="S1629" s="31"/>
      <c r="T1629" s="31"/>
      <c r="U1629" s="31"/>
      <c r="V1629" s="31"/>
      <c r="W1629" s="31"/>
      <c r="X1629" s="31"/>
      <c r="Y1629" s="31"/>
      <c r="Z1629" s="31"/>
    </row>
    <row r="1630" ht="15.75" customHeight="1">
      <c r="A1630" s="13"/>
      <c r="B1630" s="13"/>
      <c r="C1630" s="13"/>
      <c r="D1630" s="13"/>
      <c r="E1630" s="13"/>
      <c r="F1630" s="13"/>
      <c r="G1630" s="13"/>
      <c r="H1630" s="63"/>
      <c r="I1630" s="13"/>
      <c r="J1630" s="31"/>
      <c r="K1630" s="31"/>
      <c r="L1630" s="31"/>
      <c r="M1630" s="31"/>
      <c r="N1630" s="31"/>
      <c r="O1630" s="31"/>
      <c r="P1630" s="31"/>
      <c r="Q1630" s="31"/>
      <c r="R1630" s="31"/>
      <c r="S1630" s="31"/>
      <c r="T1630" s="31"/>
      <c r="U1630" s="31"/>
      <c r="V1630" s="31"/>
      <c r="W1630" s="31"/>
      <c r="X1630" s="31"/>
      <c r="Y1630" s="31"/>
      <c r="Z1630" s="31"/>
    </row>
    <row r="1631" ht="15.75" customHeight="1">
      <c r="A1631" s="13"/>
      <c r="B1631" s="13"/>
      <c r="C1631" s="13"/>
      <c r="D1631" s="13"/>
      <c r="E1631" s="13"/>
      <c r="F1631" s="13"/>
      <c r="G1631" s="13"/>
      <c r="H1631" s="63"/>
      <c r="I1631" s="13"/>
      <c r="J1631" s="31"/>
      <c r="K1631" s="31"/>
      <c r="L1631" s="31"/>
      <c r="M1631" s="31"/>
      <c r="N1631" s="31"/>
      <c r="O1631" s="31"/>
      <c r="P1631" s="31"/>
      <c r="Q1631" s="31"/>
      <c r="R1631" s="31"/>
      <c r="S1631" s="31"/>
      <c r="T1631" s="31"/>
      <c r="U1631" s="31"/>
      <c r="V1631" s="31"/>
      <c r="W1631" s="31"/>
      <c r="X1631" s="31"/>
      <c r="Y1631" s="31"/>
      <c r="Z1631" s="31"/>
    </row>
    <row r="1632" ht="15.75" customHeight="1">
      <c r="A1632" s="13"/>
      <c r="B1632" s="13"/>
      <c r="C1632" s="13"/>
      <c r="D1632" s="13"/>
      <c r="E1632" s="13"/>
      <c r="F1632" s="13"/>
      <c r="G1632" s="13"/>
      <c r="H1632" s="63"/>
      <c r="I1632" s="13"/>
      <c r="J1632" s="31"/>
      <c r="K1632" s="31"/>
      <c r="L1632" s="31"/>
      <c r="M1632" s="31"/>
      <c r="N1632" s="31"/>
      <c r="O1632" s="31"/>
      <c r="P1632" s="31"/>
      <c r="Q1632" s="31"/>
      <c r="R1632" s="31"/>
      <c r="S1632" s="31"/>
      <c r="T1632" s="31"/>
      <c r="U1632" s="31"/>
      <c r="V1632" s="31"/>
      <c r="W1632" s="31"/>
      <c r="X1632" s="31"/>
      <c r="Y1632" s="31"/>
      <c r="Z1632" s="31"/>
    </row>
    <row r="1633" ht="15.75" customHeight="1">
      <c r="A1633" s="13"/>
      <c r="B1633" s="13"/>
      <c r="C1633" s="13"/>
      <c r="D1633" s="13"/>
      <c r="E1633" s="13"/>
      <c r="F1633" s="13"/>
      <c r="G1633" s="13"/>
      <c r="H1633" s="63"/>
      <c r="I1633" s="13"/>
      <c r="J1633" s="31"/>
      <c r="K1633" s="31"/>
      <c r="L1633" s="31"/>
      <c r="M1633" s="31"/>
      <c r="N1633" s="31"/>
      <c r="O1633" s="31"/>
      <c r="P1633" s="31"/>
      <c r="Q1633" s="31"/>
      <c r="R1633" s="31"/>
      <c r="S1633" s="31"/>
      <c r="T1633" s="31"/>
      <c r="U1633" s="31"/>
      <c r="V1633" s="31"/>
      <c r="W1633" s="31"/>
      <c r="X1633" s="31"/>
      <c r="Y1633" s="31"/>
      <c r="Z1633" s="31"/>
    </row>
    <row r="1634" ht="15.75" customHeight="1">
      <c r="A1634" s="13"/>
      <c r="B1634" s="13"/>
      <c r="C1634" s="13"/>
      <c r="D1634" s="13"/>
      <c r="E1634" s="13"/>
      <c r="F1634" s="13"/>
      <c r="G1634" s="13"/>
      <c r="H1634" s="63"/>
      <c r="I1634" s="13"/>
      <c r="J1634" s="31"/>
      <c r="K1634" s="31"/>
      <c r="L1634" s="31"/>
      <c r="M1634" s="31"/>
      <c r="N1634" s="31"/>
      <c r="O1634" s="31"/>
      <c r="P1634" s="31"/>
      <c r="Q1634" s="31"/>
      <c r="R1634" s="31"/>
      <c r="S1634" s="31"/>
      <c r="T1634" s="31"/>
      <c r="U1634" s="31"/>
      <c r="V1634" s="31"/>
      <c r="W1634" s="31"/>
      <c r="X1634" s="31"/>
      <c r="Y1634" s="31"/>
      <c r="Z1634" s="31"/>
    </row>
    <row r="1635" ht="15.75" customHeight="1">
      <c r="A1635" s="13"/>
      <c r="B1635" s="13"/>
      <c r="C1635" s="13"/>
      <c r="D1635" s="13"/>
      <c r="E1635" s="13"/>
      <c r="F1635" s="13"/>
      <c r="G1635" s="13"/>
      <c r="H1635" s="63"/>
      <c r="I1635" s="13"/>
      <c r="J1635" s="31"/>
      <c r="K1635" s="31"/>
      <c r="L1635" s="31"/>
      <c r="M1635" s="31"/>
      <c r="N1635" s="31"/>
      <c r="O1635" s="31"/>
      <c r="P1635" s="31"/>
      <c r="Q1635" s="31"/>
      <c r="R1635" s="31"/>
      <c r="S1635" s="31"/>
      <c r="T1635" s="31"/>
      <c r="U1635" s="31"/>
      <c r="V1635" s="31"/>
      <c r="W1635" s="31"/>
      <c r="X1635" s="31"/>
      <c r="Y1635" s="31"/>
      <c r="Z1635" s="31"/>
    </row>
    <row r="1636" ht="15.75" customHeight="1">
      <c r="A1636" s="13"/>
      <c r="B1636" s="13"/>
      <c r="C1636" s="13"/>
      <c r="D1636" s="13"/>
      <c r="E1636" s="13"/>
      <c r="F1636" s="13"/>
      <c r="G1636" s="13"/>
      <c r="H1636" s="63"/>
      <c r="I1636" s="13"/>
      <c r="J1636" s="31"/>
      <c r="K1636" s="31"/>
      <c r="L1636" s="31"/>
      <c r="M1636" s="31"/>
      <c r="N1636" s="31"/>
      <c r="O1636" s="31"/>
      <c r="P1636" s="31"/>
      <c r="Q1636" s="31"/>
      <c r="R1636" s="31"/>
      <c r="S1636" s="31"/>
      <c r="T1636" s="31"/>
      <c r="U1636" s="31"/>
      <c r="V1636" s="31"/>
      <c r="W1636" s="31"/>
      <c r="X1636" s="31"/>
      <c r="Y1636" s="31"/>
      <c r="Z1636" s="31"/>
    </row>
    <row r="1637" ht="15.75" customHeight="1">
      <c r="A1637" s="13"/>
      <c r="B1637" s="13"/>
      <c r="C1637" s="13"/>
      <c r="D1637" s="13"/>
      <c r="E1637" s="13"/>
      <c r="F1637" s="13"/>
      <c r="G1637" s="13"/>
      <c r="H1637" s="63"/>
      <c r="I1637" s="13"/>
      <c r="J1637" s="31"/>
      <c r="K1637" s="31"/>
      <c r="L1637" s="31"/>
      <c r="M1637" s="31"/>
      <c r="N1637" s="31"/>
      <c r="O1637" s="31"/>
      <c r="P1637" s="31"/>
      <c r="Q1637" s="31"/>
      <c r="R1637" s="31"/>
      <c r="S1637" s="31"/>
      <c r="T1637" s="31"/>
      <c r="U1637" s="31"/>
      <c r="V1637" s="31"/>
      <c r="W1637" s="31"/>
      <c r="X1637" s="31"/>
      <c r="Y1637" s="31"/>
      <c r="Z1637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24.75"/>
    <col customWidth="1" min="5" max="5" width="65.88"/>
    <col customWidth="1" min="6" max="6" width="12.63"/>
  </cols>
  <sheetData>
    <row r="1" ht="15.75" customHeight="1">
      <c r="A1" s="57" t="s">
        <v>1801</v>
      </c>
      <c r="B1" s="57" t="s">
        <v>1802</v>
      </c>
      <c r="C1" s="57" t="s">
        <v>1803</v>
      </c>
      <c r="D1" s="57" t="s">
        <v>1804</v>
      </c>
      <c r="E1" s="57" t="s">
        <v>1805</v>
      </c>
    </row>
    <row r="2" ht="15.75" customHeight="1">
      <c r="A2" s="30">
        <v>1.0</v>
      </c>
      <c r="B2" s="30">
        <v>8.0304999E7</v>
      </c>
      <c r="C2" s="30">
        <v>8.0355E7</v>
      </c>
      <c r="D2" s="64" t="s">
        <v>1806</v>
      </c>
      <c r="E2" s="65" t="s">
        <v>1807</v>
      </c>
    </row>
    <row r="3" ht="15.75" customHeight="1">
      <c r="A3" s="30">
        <v>1.0</v>
      </c>
      <c r="B3" s="30">
        <v>9.4074999E7</v>
      </c>
      <c r="C3" s="30">
        <v>9.4075E7</v>
      </c>
      <c r="D3" s="65" t="s">
        <v>1808</v>
      </c>
      <c r="E3" s="28"/>
    </row>
    <row r="4" ht="15.75" customHeight="1">
      <c r="A4" s="30">
        <v>1.0</v>
      </c>
      <c r="B4" s="30">
        <v>1.03144999E8</v>
      </c>
      <c r="C4" s="30">
        <v>1.03265E8</v>
      </c>
      <c r="D4" s="64" t="s">
        <v>1809</v>
      </c>
      <c r="E4" s="28"/>
    </row>
    <row r="5" ht="15.75" customHeight="1">
      <c r="A5" s="30">
        <v>1.0</v>
      </c>
      <c r="B5" s="30">
        <v>1.03594999E8</v>
      </c>
      <c r="C5" s="30">
        <v>1.03615E8</v>
      </c>
      <c r="D5" s="64" t="s">
        <v>1809</v>
      </c>
      <c r="E5" s="28"/>
    </row>
    <row r="6" ht="15.75" customHeight="1">
      <c r="A6" s="30">
        <v>1.0</v>
      </c>
      <c r="B6" s="30">
        <v>1.06674999E8</v>
      </c>
      <c r="C6" s="30">
        <v>1.06745E8</v>
      </c>
      <c r="D6" s="65" t="s">
        <v>1810</v>
      </c>
      <c r="E6" s="65" t="s">
        <v>1811</v>
      </c>
    </row>
    <row r="7" ht="15.75" customHeight="1">
      <c r="A7" s="30">
        <v>1.0</v>
      </c>
      <c r="B7" s="30">
        <v>1.32164999E8</v>
      </c>
      <c r="C7" s="30">
        <v>1.32175E8</v>
      </c>
      <c r="D7" s="65" t="s">
        <v>1812</v>
      </c>
      <c r="E7" s="65" t="s">
        <v>1813</v>
      </c>
    </row>
    <row r="8" ht="15.75" customHeight="1">
      <c r="A8" s="30">
        <v>1.0</v>
      </c>
      <c r="B8" s="30">
        <v>1.43274999E8</v>
      </c>
      <c r="C8" s="30">
        <v>1.43285E8</v>
      </c>
      <c r="D8" s="28"/>
      <c r="E8" s="65" t="s">
        <v>1814</v>
      </c>
    </row>
    <row r="9" ht="15.75" customHeight="1">
      <c r="A9" s="30">
        <v>2.0</v>
      </c>
      <c r="B9" s="30">
        <v>4644999.0</v>
      </c>
      <c r="C9" s="30">
        <v>4645000.0</v>
      </c>
      <c r="D9" s="28"/>
      <c r="E9" s="66" t="s">
        <v>1815</v>
      </c>
    </row>
    <row r="10" ht="15.75" customHeight="1">
      <c r="A10" s="30">
        <v>2.0</v>
      </c>
      <c r="B10" s="30">
        <v>3.8384999E7</v>
      </c>
      <c r="C10" s="30">
        <v>3.8395E7</v>
      </c>
      <c r="D10" s="28"/>
      <c r="E10" s="65" t="s">
        <v>1816</v>
      </c>
    </row>
    <row r="11" ht="15.75" customHeight="1">
      <c r="A11" s="30">
        <v>2.0</v>
      </c>
      <c r="B11" s="30">
        <v>3.9814999E7</v>
      </c>
      <c r="C11" s="30">
        <v>3.9855E7</v>
      </c>
      <c r="D11" s="28"/>
      <c r="E11" s="67" t="s">
        <v>1817</v>
      </c>
    </row>
    <row r="12" ht="15.75" customHeight="1">
      <c r="A12" s="30">
        <v>2.0</v>
      </c>
      <c r="B12" s="30">
        <v>7.1094999E7</v>
      </c>
      <c r="C12" s="30">
        <v>7.1185E7</v>
      </c>
      <c r="D12" s="65" t="s">
        <v>1818</v>
      </c>
      <c r="E12" s="66" t="s">
        <v>1819</v>
      </c>
    </row>
    <row r="13" ht="15.75" customHeight="1">
      <c r="A13" s="30">
        <v>3.0</v>
      </c>
      <c r="B13" s="30">
        <v>5.5714999E7</v>
      </c>
      <c r="C13" s="30">
        <v>5.5795E7</v>
      </c>
      <c r="D13" s="28"/>
      <c r="E13" s="28"/>
    </row>
    <row r="14" ht="15.75" customHeight="1">
      <c r="A14" s="30">
        <v>4.0</v>
      </c>
      <c r="B14" s="30">
        <v>1.2324999E7</v>
      </c>
      <c r="C14" s="30">
        <v>1.2345E7</v>
      </c>
      <c r="D14" s="65" t="s">
        <v>1820</v>
      </c>
      <c r="E14" s="28"/>
    </row>
    <row r="15" ht="15.75" customHeight="1">
      <c r="A15" s="30">
        <v>4.0</v>
      </c>
      <c r="B15" s="30">
        <v>6.7904999E7</v>
      </c>
      <c r="C15" s="30">
        <v>6.7945E7</v>
      </c>
      <c r="D15" s="28"/>
      <c r="E15" s="65" t="s">
        <v>1821</v>
      </c>
    </row>
    <row r="16" ht="15.75" customHeight="1">
      <c r="A16" s="30">
        <v>4.0</v>
      </c>
      <c r="B16" s="30">
        <v>1.18144999E8</v>
      </c>
      <c r="C16" s="30">
        <v>1.18155E8</v>
      </c>
      <c r="D16" s="65" t="s">
        <v>1822</v>
      </c>
      <c r="E16" s="65" t="s">
        <v>1823</v>
      </c>
    </row>
    <row r="17" ht="15.75" customHeight="1">
      <c r="A17" s="30">
        <v>5.0</v>
      </c>
      <c r="B17" s="30">
        <v>1.12744999E8</v>
      </c>
      <c r="C17" s="30">
        <v>1.12775E8</v>
      </c>
      <c r="D17" s="65" t="s">
        <v>1824</v>
      </c>
      <c r="E17" s="65" t="s">
        <v>1825</v>
      </c>
    </row>
    <row r="18" ht="15.75" customHeight="1">
      <c r="A18" s="30">
        <v>5.0</v>
      </c>
      <c r="B18" s="30">
        <v>2.3664999E7</v>
      </c>
      <c r="C18" s="30">
        <v>2.3695E7</v>
      </c>
      <c r="D18" s="28"/>
      <c r="E18" s="28"/>
    </row>
    <row r="19" ht="15.75" customHeight="1">
      <c r="A19" s="30">
        <v>5.0</v>
      </c>
      <c r="B19" s="30">
        <v>4.1264999E7</v>
      </c>
      <c r="C19" s="30">
        <v>4.1275E7</v>
      </c>
      <c r="D19" s="65" t="s">
        <v>1826</v>
      </c>
      <c r="E19" s="28"/>
    </row>
    <row r="20" ht="15.75" customHeight="1">
      <c r="A20" s="30">
        <v>5.0</v>
      </c>
      <c r="B20" s="30">
        <v>1.06434999E8</v>
      </c>
      <c r="C20" s="30">
        <v>1.06455E8</v>
      </c>
      <c r="D20" s="65" t="s">
        <v>1827</v>
      </c>
      <c r="E20" s="65" t="s">
        <v>1828</v>
      </c>
    </row>
    <row r="21" ht="15.75" customHeight="1">
      <c r="A21" s="30">
        <v>6.0</v>
      </c>
      <c r="B21" s="30">
        <v>5214999.0</v>
      </c>
      <c r="C21" s="30">
        <v>5535000.0</v>
      </c>
      <c r="D21" s="65" t="s">
        <v>1829</v>
      </c>
      <c r="E21" s="28"/>
    </row>
    <row r="22" ht="15.75" customHeight="1">
      <c r="A22" s="30">
        <v>6.0</v>
      </c>
      <c r="B22" s="30">
        <v>7.8724999E7</v>
      </c>
      <c r="C22" s="30">
        <v>7.8765E7</v>
      </c>
      <c r="D22" s="28"/>
      <c r="E22" s="28"/>
    </row>
    <row r="23" ht="15.75" customHeight="1">
      <c r="A23" s="30">
        <v>7.0</v>
      </c>
      <c r="B23" s="30">
        <v>5.2934999E7</v>
      </c>
      <c r="C23" s="30">
        <v>5.2965E7</v>
      </c>
      <c r="D23" s="66" t="s">
        <v>1830</v>
      </c>
      <c r="E23" s="65" t="s">
        <v>1831</v>
      </c>
    </row>
    <row r="24" ht="15.75" customHeight="1">
      <c r="A24" s="30">
        <v>8.0</v>
      </c>
      <c r="B24" s="30">
        <v>3.7634999E7</v>
      </c>
      <c r="C24" s="30">
        <v>3.7675E7</v>
      </c>
      <c r="D24" s="28"/>
      <c r="E24" s="65" t="s">
        <v>1832</v>
      </c>
    </row>
    <row r="25" ht="15.75" customHeight="1">
      <c r="A25" s="30">
        <v>9.0</v>
      </c>
      <c r="B25" s="30">
        <v>8.8514999E7</v>
      </c>
      <c r="C25" s="30">
        <v>8.8595E7</v>
      </c>
      <c r="D25" s="65" t="s">
        <v>1833</v>
      </c>
      <c r="E25" s="65" t="s">
        <v>1834</v>
      </c>
    </row>
    <row r="26" ht="15.75" customHeight="1">
      <c r="A26" s="30">
        <v>9.0</v>
      </c>
      <c r="B26" s="30">
        <v>1.2134999E7</v>
      </c>
      <c r="C26" s="30">
        <v>1.2155E7</v>
      </c>
      <c r="D26" s="65" t="s">
        <v>1835</v>
      </c>
      <c r="E26" s="65" t="s">
        <v>1836</v>
      </c>
    </row>
    <row r="27" ht="15.75" customHeight="1">
      <c r="A27" s="30">
        <v>9.0</v>
      </c>
      <c r="B27" s="30">
        <v>3.0514999E7</v>
      </c>
      <c r="C27" s="30">
        <v>3.0555E7</v>
      </c>
      <c r="D27" s="28"/>
      <c r="E27" s="28"/>
    </row>
    <row r="28" ht="15.75" customHeight="1">
      <c r="A28" s="30">
        <v>9.0</v>
      </c>
      <c r="B28" s="30">
        <v>4.9374999E7</v>
      </c>
      <c r="C28" s="30">
        <v>4.9415E7</v>
      </c>
      <c r="D28" s="28"/>
      <c r="E28" s="65" t="s">
        <v>1837</v>
      </c>
    </row>
    <row r="29" ht="15.75" customHeight="1">
      <c r="A29" s="30">
        <v>10.0</v>
      </c>
      <c r="B29" s="30">
        <v>1.8944999E7</v>
      </c>
      <c r="C29" s="30">
        <v>1.8955E7</v>
      </c>
      <c r="D29" s="65" t="s">
        <v>1838</v>
      </c>
      <c r="E29" s="28"/>
    </row>
    <row r="30" ht="15.75" customHeight="1">
      <c r="A30" s="30">
        <v>10.0</v>
      </c>
      <c r="B30" s="30">
        <v>5.9034999E7</v>
      </c>
      <c r="C30" s="30">
        <v>5.9065E7</v>
      </c>
      <c r="D30" s="65" t="s">
        <v>1839</v>
      </c>
      <c r="E30" s="65" t="s">
        <v>1840</v>
      </c>
    </row>
    <row r="31" ht="15.75" customHeight="1">
      <c r="A31" s="30">
        <v>11.0</v>
      </c>
      <c r="B31" s="30">
        <v>2.5864999E7</v>
      </c>
      <c r="C31" s="30">
        <v>2.5885E7</v>
      </c>
      <c r="D31" s="65" t="s">
        <v>1841</v>
      </c>
      <c r="E31" s="28"/>
    </row>
    <row r="32" ht="15.75" customHeight="1">
      <c r="A32" s="30">
        <v>11.0</v>
      </c>
      <c r="B32" s="30">
        <v>2.6504999E7</v>
      </c>
      <c r="C32" s="30">
        <v>2.6505E7</v>
      </c>
      <c r="D32" s="65" t="s">
        <v>1842</v>
      </c>
      <c r="E32" s="65" t="s">
        <v>1843</v>
      </c>
    </row>
    <row r="33" ht="15.75" customHeight="1">
      <c r="A33" s="30">
        <v>11.0</v>
      </c>
      <c r="B33" s="30">
        <v>5.8014999E7</v>
      </c>
      <c r="C33" s="30">
        <v>5.8045E7</v>
      </c>
      <c r="D33" s="28"/>
      <c r="E33" s="28"/>
    </row>
    <row r="34" ht="15.75" customHeight="1">
      <c r="A34" s="30">
        <v>11.0</v>
      </c>
      <c r="B34" s="30">
        <v>7.7114999E7</v>
      </c>
      <c r="C34" s="30">
        <v>7.7155E7</v>
      </c>
      <c r="D34" s="28"/>
      <c r="E34" s="28"/>
    </row>
    <row r="35" ht="15.75" customHeight="1">
      <c r="A35" s="30">
        <v>12.0</v>
      </c>
      <c r="B35" s="30">
        <v>3.3274999E7</v>
      </c>
      <c r="C35" s="30">
        <v>3.3375E7</v>
      </c>
      <c r="D35" s="65" t="s">
        <v>1844</v>
      </c>
      <c r="E35" s="65" t="s">
        <v>1845</v>
      </c>
    </row>
    <row r="36" ht="15.75" customHeight="1">
      <c r="A36" s="30">
        <v>12.0</v>
      </c>
      <c r="B36" s="30">
        <v>7.6854999E7</v>
      </c>
      <c r="C36" s="30">
        <v>7.6875E7</v>
      </c>
      <c r="D36" s="65" t="s">
        <v>1846</v>
      </c>
      <c r="E36" s="65" t="s">
        <v>1847</v>
      </c>
    </row>
    <row r="37" ht="15.75" customHeight="1">
      <c r="A37" s="30">
        <v>13.0</v>
      </c>
      <c r="B37" s="30">
        <v>1.5624999E7</v>
      </c>
      <c r="C37" s="30">
        <v>1.5665E7</v>
      </c>
      <c r="D37" s="65" t="s">
        <v>1848</v>
      </c>
      <c r="E37" s="65" t="s">
        <v>1849</v>
      </c>
    </row>
    <row r="38" ht="15.75" customHeight="1">
      <c r="A38" s="30">
        <v>14.0</v>
      </c>
      <c r="B38" s="30">
        <v>3.5184999E7</v>
      </c>
      <c r="C38" s="30">
        <v>3.5205E7</v>
      </c>
      <c r="D38" s="28"/>
      <c r="E38" s="28"/>
    </row>
    <row r="39" ht="15.75" customHeight="1">
      <c r="A39" s="30">
        <v>15.0</v>
      </c>
      <c r="B39" s="30">
        <v>1.0904999E7</v>
      </c>
      <c r="C39" s="30">
        <v>1.0905E7</v>
      </c>
      <c r="D39" s="28"/>
      <c r="E39" s="65" t="s">
        <v>1850</v>
      </c>
    </row>
    <row r="40" ht="15.75" customHeight="1">
      <c r="A40" s="30">
        <v>15.0</v>
      </c>
      <c r="B40" s="30">
        <v>3.7794999E7</v>
      </c>
      <c r="C40" s="30">
        <v>3.7885E7</v>
      </c>
      <c r="D40" s="65" t="s">
        <v>1851</v>
      </c>
      <c r="E40" s="65" t="s">
        <v>1852</v>
      </c>
    </row>
    <row r="41" ht="15.75" customHeight="1">
      <c r="A41" s="30">
        <v>16.0</v>
      </c>
      <c r="B41" s="30">
        <v>1.8434999E7</v>
      </c>
      <c r="C41" s="30">
        <v>1.8475E7</v>
      </c>
      <c r="D41" s="65" t="s">
        <v>1853</v>
      </c>
      <c r="E41" s="65" t="s">
        <v>1854</v>
      </c>
    </row>
    <row r="42" ht="15.75" customHeight="1">
      <c r="A42" s="30">
        <v>16.0</v>
      </c>
      <c r="B42" s="30">
        <v>4.3024999E7</v>
      </c>
      <c r="C42" s="30">
        <v>4.3075E7</v>
      </c>
      <c r="D42" s="66" t="s">
        <v>1855</v>
      </c>
      <c r="E42" s="65" t="s">
        <v>1856</v>
      </c>
    </row>
    <row r="43" ht="15.75" customHeight="1">
      <c r="A43" s="30">
        <v>16.0</v>
      </c>
      <c r="B43" s="30">
        <v>4.4684999E7</v>
      </c>
      <c r="C43" s="30">
        <v>4.4685E7</v>
      </c>
      <c r="D43" s="65" t="s">
        <v>1857</v>
      </c>
      <c r="E43" s="28"/>
    </row>
    <row r="44" ht="15.75" customHeight="1">
      <c r="A44" s="30">
        <v>16.0</v>
      </c>
      <c r="B44" s="30">
        <v>2.1324999E7</v>
      </c>
      <c r="C44" s="30">
        <v>2.1355E7</v>
      </c>
      <c r="D44" s="28"/>
      <c r="E44" s="28"/>
    </row>
    <row r="45" ht="15.75" customHeight="1">
      <c r="A45" s="30">
        <v>16.0</v>
      </c>
      <c r="B45" s="30">
        <v>3.7984999E7</v>
      </c>
      <c r="C45" s="30">
        <v>3.8025E7</v>
      </c>
      <c r="D45" s="28"/>
      <c r="E45" s="65" t="s">
        <v>1858</v>
      </c>
    </row>
    <row r="46" ht="15.75" customHeight="1">
      <c r="A46" s="30">
        <v>16.0</v>
      </c>
      <c r="B46" s="30">
        <v>3.8484999E7</v>
      </c>
      <c r="C46" s="30">
        <v>3.8485E7</v>
      </c>
      <c r="D46" s="28"/>
      <c r="E46" s="65" t="s">
        <v>1859</v>
      </c>
    </row>
    <row r="47" ht="15.75" customHeight="1">
      <c r="A47" s="30">
        <v>16.0</v>
      </c>
      <c r="B47" s="30">
        <v>4.4564999E7</v>
      </c>
      <c r="C47" s="30">
        <v>4.4605E7</v>
      </c>
      <c r="D47" s="65" t="s">
        <v>1860</v>
      </c>
      <c r="E47" s="65" t="s">
        <v>1861</v>
      </c>
    </row>
    <row r="48" ht="15.75" customHeight="1">
      <c r="A48" s="30">
        <v>16.0</v>
      </c>
      <c r="B48" s="30">
        <v>4.5884999E7</v>
      </c>
      <c r="C48" s="30">
        <v>4.5895E7</v>
      </c>
      <c r="D48" s="65" t="s">
        <v>1862</v>
      </c>
      <c r="E48" s="65" t="s">
        <v>1863</v>
      </c>
    </row>
    <row r="49" ht="15.75" customHeight="1">
      <c r="A49" s="30">
        <v>17.0</v>
      </c>
      <c r="B49" s="30">
        <v>2.0764999E7</v>
      </c>
      <c r="C49" s="30">
        <v>2.0765E7</v>
      </c>
      <c r="D49" s="28"/>
      <c r="E49" s="28"/>
    </row>
    <row r="50" ht="15.75" customHeight="1">
      <c r="A50" s="30">
        <v>17.0</v>
      </c>
      <c r="B50" s="30">
        <v>2.0864999E7</v>
      </c>
      <c r="C50" s="30">
        <v>2.0875E7</v>
      </c>
      <c r="D50" s="28"/>
      <c r="E50" s="28"/>
    </row>
    <row r="51" ht="15.75" customHeight="1">
      <c r="A51" s="30">
        <v>18.0</v>
      </c>
      <c r="B51" s="30">
        <v>5.8434999E7</v>
      </c>
      <c r="C51" s="30">
        <v>5.8435E7</v>
      </c>
      <c r="D51" s="65" t="s">
        <v>1864</v>
      </c>
      <c r="E51" s="65" t="s">
        <v>1865</v>
      </c>
    </row>
    <row r="52" ht="15.75" customHeight="1">
      <c r="A52" s="30">
        <v>20.0</v>
      </c>
      <c r="B52" s="30">
        <v>5834999.0</v>
      </c>
      <c r="C52" s="30">
        <v>5845000.0</v>
      </c>
      <c r="D52" s="28"/>
      <c r="E52" s="65" t="s">
        <v>1866</v>
      </c>
    </row>
    <row r="53" ht="15.75" customHeight="1">
      <c r="A53" s="30">
        <v>21.0</v>
      </c>
      <c r="B53" s="30">
        <v>6.6934999E7</v>
      </c>
      <c r="C53" s="30">
        <v>6.6945E7</v>
      </c>
      <c r="D53" s="65" t="s">
        <v>1867</v>
      </c>
      <c r="E53" s="65" t="s">
        <v>1868</v>
      </c>
    </row>
    <row r="54" ht="15.75" customHeight="1">
      <c r="A54" s="30">
        <v>21.0</v>
      </c>
      <c r="B54" s="30">
        <v>1.1524999E7</v>
      </c>
      <c r="C54" s="30">
        <v>1.1525E7</v>
      </c>
      <c r="D54" s="28"/>
      <c r="E54" s="65" t="s">
        <v>1869</v>
      </c>
    </row>
    <row r="55" ht="15.75" customHeight="1">
      <c r="A55" s="30">
        <v>21.0</v>
      </c>
      <c r="B55" s="30">
        <v>3.2004999E7</v>
      </c>
      <c r="C55" s="30">
        <v>3.2035E7</v>
      </c>
      <c r="D55" s="65" t="s">
        <v>1870</v>
      </c>
      <c r="E55" s="65" t="s">
        <v>1871</v>
      </c>
    </row>
    <row r="56" ht="15.75" customHeight="1">
      <c r="A56" s="30">
        <v>22.0</v>
      </c>
      <c r="B56" s="30">
        <v>3.2614999E7</v>
      </c>
      <c r="C56" s="30">
        <v>3.2625E7</v>
      </c>
      <c r="D56" s="65" t="s">
        <v>1872</v>
      </c>
      <c r="E56" s="65" t="s">
        <v>1873</v>
      </c>
    </row>
    <row r="57" ht="15.75" customHeight="1">
      <c r="A57" s="30">
        <v>24.0</v>
      </c>
      <c r="B57" s="30">
        <v>4644999.0</v>
      </c>
      <c r="C57" s="30">
        <v>4645000.0</v>
      </c>
      <c r="D57" s="28"/>
      <c r="E57" s="28"/>
    </row>
    <row r="58" ht="15.75" customHeight="1">
      <c r="A58" s="30">
        <v>24.0</v>
      </c>
      <c r="B58" s="30">
        <v>3.0944999E7</v>
      </c>
      <c r="C58" s="30">
        <v>3.0945E7</v>
      </c>
      <c r="D58" s="28"/>
      <c r="E58" s="28"/>
    </row>
    <row r="59" ht="15.75" customHeight="1">
      <c r="A59" s="30">
        <v>26.0</v>
      </c>
      <c r="B59" s="30">
        <v>1.5144999E7</v>
      </c>
      <c r="C59" s="30">
        <v>1.5145E7</v>
      </c>
      <c r="D59" s="28"/>
      <c r="E59" s="65" t="s">
        <v>1874</v>
      </c>
    </row>
    <row r="60" ht="15.75" customHeight="1">
      <c r="A60" s="30">
        <v>26.0</v>
      </c>
      <c r="B60" s="30">
        <v>4.2974999E7</v>
      </c>
      <c r="C60" s="30">
        <v>4.3005E7</v>
      </c>
      <c r="D60" s="65" t="s">
        <v>1875</v>
      </c>
      <c r="E60" s="65" t="s">
        <v>1876</v>
      </c>
    </row>
    <row r="61" ht="15.75" customHeight="1">
      <c r="A61" s="30">
        <v>27.0</v>
      </c>
      <c r="B61" s="30">
        <v>2.0924999E7</v>
      </c>
      <c r="C61" s="30">
        <v>2.0925E7</v>
      </c>
      <c r="D61" s="65" t="s">
        <v>1877</v>
      </c>
      <c r="E61" s="28"/>
    </row>
    <row r="62" ht="15.75" customHeight="1">
      <c r="A62" s="30">
        <v>27.0</v>
      </c>
      <c r="B62" s="30">
        <v>3.8054999E7</v>
      </c>
      <c r="C62" s="30">
        <v>3.8085E7</v>
      </c>
      <c r="D62" s="65" t="s">
        <v>1878</v>
      </c>
      <c r="E62" s="28"/>
    </row>
    <row r="63" ht="15.75" customHeight="1">
      <c r="A63" s="30">
        <v>29.0</v>
      </c>
      <c r="B63" s="30">
        <v>5.0394999E7</v>
      </c>
      <c r="C63" s="30">
        <v>5.0405E7</v>
      </c>
      <c r="D63" s="65" t="s">
        <v>1879</v>
      </c>
      <c r="E63" s="65" t="s">
        <v>1880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