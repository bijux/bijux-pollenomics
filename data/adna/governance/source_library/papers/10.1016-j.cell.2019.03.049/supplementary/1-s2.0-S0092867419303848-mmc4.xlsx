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28209"/>
  <workbookPr/>
  <mc:AlternateContent xmlns:mc="http://schemas.openxmlformats.org/markup-compatibility/2006">
    <mc:Choice Requires="x15">
      <x15ac:absPath xmlns:x15ac="http://schemas.microsoft.com/office/spreadsheetml/2010/11/ac" url="/Users/antoine/Desktop/CELL_Resub_Feb2019/"/>
    </mc:Choice>
  </mc:AlternateContent>
  <bookViews>
    <workbookView xWindow="26240" yWindow="520" windowWidth="49680" windowHeight="27680" tabRatio="500"/>
  </bookViews>
  <sheets>
    <sheet name="Sheet1" sheetId="1" r:id="rId1"/>
  </sheets>
  <calcPr calcId="150000" concurrentCalc="0"/>
  <extLst>
    <ext xmlns:x14="http://schemas.microsoft.com/office/spreadsheetml/2009/9/main" uri="{79F54976-1DA5-4618-B147-4CDE4B953A38}">
      <x14:workbookPr defaultImageDpi="32767"/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AG312" i="1" l="1"/>
  <c r="AF312" i="1"/>
  <c r="AG307" i="1"/>
  <c r="AF307" i="1"/>
  <c r="AG306" i="1"/>
  <c r="AF306" i="1"/>
  <c r="AG305" i="1"/>
  <c r="AF305" i="1"/>
  <c r="AG304" i="1"/>
  <c r="AF304" i="1"/>
  <c r="AG303" i="1"/>
  <c r="AF303" i="1"/>
  <c r="AG302" i="1"/>
  <c r="AF302" i="1"/>
  <c r="AG301" i="1"/>
  <c r="AF301" i="1"/>
  <c r="AG294" i="1"/>
  <c r="AF294" i="1"/>
  <c r="AG69" i="1"/>
  <c r="AF69" i="1"/>
  <c r="AG68" i="1"/>
  <c r="AF68" i="1"/>
  <c r="AG67" i="1"/>
  <c r="AF67" i="1"/>
  <c r="AG66" i="1"/>
  <c r="AF66" i="1"/>
  <c r="AG65" i="1"/>
  <c r="AF65" i="1"/>
  <c r="AG64" i="1"/>
  <c r="AF64" i="1"/>
  <c r="AG63" i="1"/>
  <c r="AF63" i="1"/>
  <c r="AG62" i="1"/>
  <c r="AF62" i="1"/>
  <c r="AG61" i="1"/>
  <c r="AF61" i="1"/>
  <c r="AG51" i="1"/>
  <c r="AF51" i="1"/>
  <c r="AG50" i="1"/>
  <c r="AF50" i="1"/>
  <c r="AG49" i="1"/>
  <c r="AF49" i="1"/>
  <c r="AG48" i="1"/>
  <c r="AF48" i="1"/>
  <c r="AG47" i="1"/>
  <c r="AF47" i="1"/>
</calcChain>
</file>

<file path=xl/sharedStrings.xml><?xml version="1.0" encoding="utf-8"?>
<sst xmlns="http://schemas.openxmlformats.org/spreadsheetml/2006/main" count="3244" uniqueCount="1154">
  <si>
    <t>Sample name</t>
  </si>
  <si>
    <t>Registration number</t>
  </si>
  <si>
    <t>Bone powder (mg)</t>
  </si>
  <si>
    <t>Extraction method</t>
  </si>
  <si>
    <t>Digestion fraction</t>
  </si>
  <si>
    <t>USER treatment</t>
  </si>
  <si>
    <t>Library method</t>
  </si>
  <si>
    <t>DNA polymerase</t>
  </si>
  <si>
    <t>Amplification cycles</t>
  </si>
  <si>
    <t>Independent libraries</t>
  </si>
  <si>
    <t>Index 1</t>
  </si>
  <si>
    <t xml:space="preserve">Index 2 </t>
  </si>
  <si>
    <t>Index 3</t>
  </si>
  <si>
    <t>Index 4</t>
  </si>
  <si>
    <t>Index 5</t>
  </si>
  <si>
    <t>Index 6</t>
  </si>
  <si>
    <t>Index 7</t>
  </si>
  <si>
    <t>Index adapter P5</t>
  </si>
  <si>
    <t>Index adapter P7</t>
  </si>
  <si>
    <t>Sequencing platform</t>
  </si>
  <si>
    <t>Actiparc_GVA124_2143</t>
  </si>
  <si>
    <t>CGG_1_019382</t>
  </si>
  <si>
    <t>Yang et al (1998), modified by Gamba et al (2015)</t>
  </si>
  <si>
    <t>2nd</t>
  </si>
  <si>
    <t>yes</t>
  </si>
  <si>
    <t>method (A)</t>
  </si>
  <si>
    <t>AccuPrime Polymerase</t>
  </si>
  <si>
    <t>5</t>
  </si>
  <si>
    <t>GTGGGG</t>
  </si>
  <si>
    <t>ATTAAA</t>
  </si>
  <si>
    <t>HiSeq2500</t>
  </si>
  <si>
    <t>Actiparc_GVA307_2127</t>
  </si>
  <si>
    <t>CGG_1_019857</t>
  </si>
  <si>
    <t>7</t>
  </si>
  <si>
    <t>ACCATC</t>
  </si>
  <si>
    <t>TGTGAC</t>
  </si>
  <si>
    <t>TGCATA</t>
  </si>
  <si>
    <t>Actiparc_GVA308_2312</t>
  </si>
  <si>
    <t>CGG_1_019858</t>
  </si>
  <si>
    <t>10</t>
  </si>
  <si>
    <t>CTCTAG</t>
  </si>
  <si>
    <t>TAGCTT</t>
  </si>
  <si>
    <t>GATCAG</t>
  </si>
  <si>
    <t>Actiparc_GVA309_2302</t>
  </si>
  <si>
    <t>CGG_1_019859</t>
  </si>
  <si>
    <t>GGGCCG</t>
  </si>
  <si>
    <t>TAGTAA</t>
  </si>
  <si>
    <t>TCAGCT</t>
  </si>
  <si>
    <t>Actiparc_GVA311_2253</t>
  </si>
  <si>
    <t>CGG_1_019861</t>
  </si>
  <si>
    <t>ATGAGC</t>
  </si>
  <si>
    <t>CAGATC</t>
  </si>
  <si>
    <t>ACTTGA</t>
  </si>
  <si>
    <t>ArzhanII_Rus9_2500</t>
  </si>
  <si>
    <t>CGG_1_019160</t>
  </si>
  <si>
    <t>12</t>
  </si>
  <si>
    <t>ATTCTC</t>
  </si>
  <si>
    <t>CGATGT</t>
  </si>
  <si>
    <t>ATCACG</t>
  </si>
  <si>
    <t>AugustaRaurica_JG160_1817</t>
  </si>
  <si>
    <t>CGG_1_019246</t>
  </si>
  <si>
    <t>9</t>
  </si>
  <si>
    <t>GGCTAC</t>
  </si>
  <si>
    <t>TCCCGG</t>
  </si>
  <si>
    <t>TCCTTT</t>
  </si>
  <si>
    <t>Bateni_Rus16_3350</t>
  </si>
  <si>
    <t>CGG_1_019166</t>
  </si>
  <si>
    <t>13</t>
  </si>
  <si>
    <t>CAAAAT</t>
  </si>
  <si>
    <t>ACATAC</t>
  </si>
  <si>
    <t>ACGCAT</t>
  </si>
  <si>
    <t>TTAGGC</t>
  </si>
  <si>
    <t>TGACCA</t>
  </si>
  <si>
    <t>Beauvais_GVA122_417</t>
  </si>
  <si>
    <t>CGG_1_019380</t>
  </si>
  <si>
    <t>Beauvais_GVA375_467</t>
  </si>
  <si>
    <t>CGG_1_019925</t>
  </si>
  <si>
    <t>8, 11</t>
  </si>
  <si>
    <t>CAACTG</t>
  </si>
  <si>
    <t>Belgheis_TrBWBX116_485</t>
  </si>
  <si>
    <t>CGG_1_019521</t>
  </si>
  <si>
    <t>6</t>
  </si>
  <si>
    <t>CATCGT</t>
  </si>
  <si>
    <t>Boves_GVA191_1717</t>
  </si>
  <si>
    <t>CGG_1_019765</t>
  </si>
  <si>
    <t>8</t>
  </si>
  <si>
    <t>CATAGA</t>
  </si>
  <si>
    <t>CTATCA</t>
  </si>
  <si>
    <t>BozAdyr_KYRH10_1267</t>
  </si>
  <si>
    <t>CGG_1_018031</t>
  </si>
  <si>
    <t>BozAdyr_KYRH8_1267</t>
  </si>
  <si>
    <t>CGG_1_018029</t>
  </si>
  <si>
    <t>CTTGTA</t>
  </si>
  <si>
    <t>CGG_1_020949</t>
  </si>
  <si>
    <t>NA</t>
  </si>
  <si>
    <t>13, 14</t>
  </si>
  <si>
    <t>CGG_1_020950</t>
  </si>
  <si>
    <t>9, 11</t>
  </si>
  <si>
    <t>CGG_1_020959</t>
  </si>
  <si>
    <t>CaminoDeLasYeseras_CdY2_4678</t>
  </si>
  <si>
    <t>CGG_1_018391</t>
  </si>
  <si>
    <t>ACAGTG</t>
  </si>
  <si>
    <t>GCCAAT</t>
  </si>
  <si>
    <t>Cantorella_UE2275x2_4791</t>
  </si>
  <si>
    <t>CGG_1_020989</t>
  </si>
  <si>
    <t>method (B)</t>
  </si>
  <si>
    <t>GCTAGC</t>
  </si>
  <si>
    <t>GTGTAT</t>
  </si>
  <si>
    <t>CTCAAGG</t>
  </si>
  <si>
    <t>HiSeq4000</t>
  </si>
  <si>
    <t>Chartres_GVA26_1917</t>
  </si>
  <si>
    <t>CGG_1_019284</t>
  </si>
  <si>
    <t>ATGGTT</t>
  </si>
  <si>
    <t>TCTCAA</t>
  </si>
  <si>
    <t>Chartres_GVA28_1917</t>
  </si>
  <si>
    <t>CGG_1_019286</t>
  </si>
  <si>
    <t>Chartres_GVA36_1917</t>
  </si>
  <si>
    <t>CGG_1_019294</t>
  </si>
  <si>
    <t>GCACTA</t>
  </si>
  <si>
    <t>Chartres_GVA4_1917</t>
  </si>
  <si>
    <t>CGG_1_019262</t>
  </si>
  <si>
    <t>Chartres_GVA43_1917</t>
  </si>
  <si>
    <t>CGG_1_019301</t>
  </si>
  <si>
    <t>Chartres_GVA56_1917</t>
  </si>
  <si>
    <t>CGG_1_019314</t>
  </si>
  <si>
    <t>Chartres_GVA81_1917</t>
  </si>
  <si>
    <t>CGG_1_019339</t>
  </si>
  <si>
    <t>ACTGCC</t>
  </si>
  <si>
    <t>ATACCT</t>
  </si>
  <si>
    <t>ElAcequion_Spain38_4058</t>
  </si>
  <si>
    <t>CGG_1_020484</t>
  </si>
  <si>
    <t>11, 12</t>
  </si>
  <si>
    <t>GCAACG</t>
  </si>
  <si>
    <t>ACAGCTC, CCGTGAC</t>
  </si>
  <si>
    <t>ElAcequion_Spain39_3993</t>
  </si>
  <si>
    <t>CGG_1_020485</t>
  </si>
  <si>
    <t>TTCTACG</t>
  </si>
  <si>
    <t>ElsVilars_UE4618_2672</t>
  </si>
  <si>
    <t>CGG_1_020962</t>
  </si>
  <si>
    <t>GATGCA</t>
  </si>
  <si>
    <t>TGTCTG</t>
  </si>
  <si>
    <t>TAGGCCA</t>
  </si>
  <si>
    <t>Evreux_GVA133_1817</t>
  </si>
  <si>
    <t>CGG_1_019707</t>
  </si>
  <si>
    <t>Evreux_GVA135_1817</t>
  </si>
  <si>
    <t>CGG_1_019709</t>
  </si>
  <si>
    <t>Evreux_GVA140_1817</t>
  </si>
  <si>
    <t>CGG_1_019714</t>
  </si>
  <si>
    <t>CACGAA</t>
  </si>
  <si>
    <t>FrankfurtHeddernheim_Fr1_1863</t>
  </si>
  <si>
    <t>CGG_1_018151</t>
  </si>
  <si>
    <t>9, 12</t>
  </si>
  <si>
    <t>GolModII_Mon23_2007</t>
  </si>
  <si>
    <t>CGG_1_018059</t>
  </si>
  <si>
    <t>GolModII_Mon24_1993 1st extraction</t>
  </si>
  <si>
    <t>CGG_1_018060</t>
  </si>
  <si>
    <t>TCTCGC</t>
  </si>
  <si>
    <t>GolModII_Mon24_1993 2nd extraction</t>
  </si>
  <si>
    <t>GolModII_Mon25_2011</t>
  </si>
  <si>
    <t>CGG_1_018061</t>
  </si>
  <si>
    <t>GolModII_Mon26_1999</t>
  </si>
  <si>
    <t>CGG_1_018062</t>
  </si>
  <si>
    <t>GolModII_Mon27_2011</t>
  </si>
  <si>
    <t>CGG_1_018063</t>
  </si>
  <si>
    <t>Goyet_Vert311_35870</t>
  </si>
  <si>
    <t>CGG_1_018540</t>
  </si>
  <si>
    <t>11</t>
  </si>
  <si>
    <t>AATATG</t>
  </si>
  <si>
    <t>Halvai_KSH4_4017</t>
  </si>
  <si>
    <t>CGG_1_017098</t>
  </si>
  <si>
    <t xml:space="preserve"> 9, 10</t>
  </si>
  <si>
    <t>AAACAA</t>
  </si>
  <si>
    <t>AGGGGA</t>
  </si>
  <si>
    <t>Khatuu_Kha2_t1_2312 1st extraction</t>
  </si>
  <si>
    <t>CGG_1_018909</t>
  </si>
  <si>
    <t>Khatuu_Kha2_t1_2312 2nd extraction</t>
  </si>
  <si>
    <t>no</t>
  </si>
  <si>
    <t>15</t>
  </si>
  <si>
    <t>Khotont_UCIE2012x85_1291</t>
  </si>
  <si>
    <t>CGG_1_018038</t>
  </si>
  <si>
    <t>yes and no</t>
  </si>
  <si>
    <t>Macon_GVA201_1767</t>
  </si>
  <si>
    <t>CGG_1_019775</t>
  </si>
  <si>
    <t>Mainz_Mzr1_1373</t>
  </si>
  <si>
    <t>CGG_1_018150</t>
  </si>
  <si>
    <t>Marvele_01_1138</t>
  </si>
  <si>
    <t>CGG_1_019388</t>
  </si>
  <si>
    <t>Marvele_18_1189</t>
  </si>
  <si>
    <t>CGG_1_019405</t>
  </si>
  <si>
    <t>Marvele_21_1087</t>
  </si>
  <si>
    <t>CGG_1_019408</t>
  </si>
  <si>
    <t>Marvele_32_1144</t>
  </si>
  <si>
    <t>CGG_1_019419</t>
  </si>
  <si>
    <t>GTAAAC</t>
  </si>
  <si>
    <t>MerzlyYar_Rus45_23789</t>
  </si>
  <si>
    <t>CGG_1_019192</t>
  </si>
  <si>
    <t>10, 13</t>
  </si>
  <si>
    <t>Museum_Earb6_89</t>
  </si>
  <si>
    <t>CGG_1_018495</t>
  </si>
  <si>
    <t>Noyon_GVA123_717</t>
  </si>
  <si>
    <t>CGG_1_019381</t>
  </si>
  <si>
    <t>Nustar_5_1187</t>
  </si>
  <si>
    <t>CGG_1_020439</t>
  </si>
  <si>
    <t>Oktyabrsky_Rus37_830</t>
  </si>
  <si>
    <t>CGG_1_019185</t>
  </si>
  <si>
    <t>11,12</t>
  </si>
  <si>
    <t>CCGAGT</t>
  </si>
  <si>
    <t>OlonKurinGol_OKG2_2367</t>
  </si>
  <si>
    <t>CGG_1_018398</t>
  </si>
  <si>
    <t>Otepaa_Ote2_1184</t>
  </si>
  <si>
    <t>CGG_1_018473</t>
  </si>
  <si>
    <t>CGG_1_020952</t>
  </si>
  <si>
    <t>12, 14</t>
  </si>
  <si>
    <t>Ridala_Rid2_2717</t>
  </si>
  <si>
    <t>CGG_1_018469</t>
  </si>
  <si>
    <t>14, 9</t>
  </si>
  <si>
    <t>Saadjarve_Saa1_1117</t>
  </si>
  <si>
    <t>CGG_1_018474</t>
  </si>
  <si>
    <t>7, 9</t>
  </si>
  <si>
    <t>TTTTGG</t>
  </si>
  <si>
    <t>Sagzabad_SAGS27_3117</t>
  </si>
  <si>
    <t>CGG_1_019559</t>
  </si>
  <si>
    <t>SaintJust_GVA242_2250</t>
  </si>
  <si>
    <t>CGG_1_019816</t>
  </si>
  <si>
    <t>Sayangorsk_Rus41_2677</t>
  </si>
  <si>
    <t>CGG_1_019189</t>
  </si>
  <si>
    <t>CGGCAC</t>
  </si>
  <si>
    <t>SharIQumis_AM115_1557</t>
  </si>
  <si>
    <t>CGG_1_018579</t>
  </si>
  <si>
    <t>9, 10, 12</t>
  </si>
  <si>
    <t>AGATCG</t>
  </si>
  <si>
    <t>TavanTolgoi_GEP13_730 2nd digestion</t>
  </si>
  <si>
    <t>CGG_1_018049</t>
  </si>
  <si>
    <t>TavanTolgoi_GEP13_730 3rd digestion</t>
  </si>
  <si>
    <t>3rd</t>
  </si>
  <si>
    <t>TavanTolgoi_GEP14_730</t>
  </si>
  <si>
    <t>CGG_1_018050</t>
  </si>
  <si>
    <t>TavanTolgoi_GEP21_730 2nd digestion</t>
  </si>
  <si>
    <t>CGG_1_018057</t>
  </si>
  <si>
    <t>TavanTolgoi_GEP21_730 3rd digestion</t>
  </si>
  <si>
    <t>14</t>
  </si>
  <si>
    <t>UushgiinUvur_Mon37_3085</t>
  </si>
  <si>
    <t>CGG_1_018073</t>
  </si>
  <si>
    <t>UushgiinUvur_Mon39_3085</t>
  </si>
  <si>
    <t>CGG_1_018075</t>
  </si>
  <si>
    <t>UushgiinUvur_Mon40_3085</t>
  </si>
  <si>
    <t>CGG_1_018076</t>
  </si>
  <si>
    <t>UushgiinUvur_Mon41_3085</t>
  </si>
  <si>
    <t>CGG_1_018077</t>
  </si>
  <si>
    <t>UushgiinUvur_Mon42_3130</t>
  </si>
  <si>
    <t>CGG_1_018078</t>
  </si>
  <si>
    <t>UushgiinUvur_Mon43_3120</t>
  </si>
  <si>
    <t>CGG_1_018079</t>
  </si>
  <si>
    <t>UushgiinUvur_Mon44_3085</t>
  </si>
  <si>
    <t>CGG_1_018080</t>
  </si>
  <si>
    <t>UushgiinUvur_Mon45_3080</t>
  </si>
  <si>
    <t>CGG_1_018081</t>
  </si>
  <si>
    <t>UushgiinUvur_Mon79_3085</t>
  </si>
  <si>
    <t>CGG_1_018115</t>
  </si>
  <si>
    <t>CAACGG</t>
  </si>
  <si>
    <t>UushgiinUvur_Mon87_3117</t>
  </si>
  <si>
    <t>CGG_1_018123</t>
  </si>
  <si>
    <t>Vermand_GVA199_1742</t>
  </si>
  <si>
    <t>CGG_1_019773</t>
  </si>
  <si>
    <t>WitterPlace_UK15_217</t>
  </si>
  <si>
    <t>CGG_1_019442</t>
  </si>
  <si>
    <t>WitterPlace_UK16_217</t>
  </si>
  <si>
    <t>CGG_1_019443</t>
  </si>
  <si>
    <t>WitterPlace_UK17_267</t>
  </si>
  <si>
    <t>CGG_1_019444</t>
  </si>
  <si>
    <t>CTCGGT</t>
  </si>
  <si>
    <t>WitterPlace_UK18_267</t>
  </si>
  <si>
    <t>CGG_1_019445</t>
  </si>
  <si>
    <t>GACCCC</t>
  </si>
  <si>
    <t>WitterPlace_UK19_267</t>
  </si>
  <si>
    <t>CGG_1_019446</t>
  </si>
  <si>
    <t>Yenikapi_Tur140_1289</t>
  </si>
  <si>
    <t>CGG_1_018706</t>
  </si>
  <si>
    <t>7, 8</t>
  </si>
  <si>
    <t>Yenikapi_Tur141_1430</t>
  </si>
  <si>
    <t>CGG_1_018707</t>
  </si>
  <si>
    <t>6, 7</t>
  </si>
  <si>
    <t>Yenikapi_Tur142_1396</t>
  </si>
  <si>
    <t>CGG_1_018708</t>
  </si>
  <si>
    <t>Yenikapi_Tur145_1156</t>
  </si>
  <si>
    <t>CGG_1_018711</t>
  </si>
  <si>
    <t>Yenikapi_Tur146_1730</t>
  </si>
  <si>
    <t>CGG_1_018712</t>
  </si>
  <si>
    <t>5, 6</t>
  </si>
  <si>
    <t>Yenikapi_Tur150_1443</t>
  </si>
  <si>
    <t>CGG_1_018716</t>
  </si>
  <si>
    <t>9, 10</t>
  </si>
  <si>
    <t>Yenikapi_Tur170_1443</t>
  </si>
  <si>
    <t>CGG_1_018736</t>
  </si>
  <si>
    <t>Yenikapi_Tur171_1689</t>
  </si>
  <si>
    <t>CGG_1_018737</t>
  </si>
  <si>
    <t>Yenikapi_Tur173_1443</t>
  </si>
  <si>
    <t>CGG_1_018739</t>
  </si>
  <si>
    <t>Yenikapi_Tur175_1443</t>
  </si>
  <si>
    <t>CGG_1_018741</t>
  </si>
  <si>
    <t>Yenikapi_Tur176_1443</t>
  </si>
  <si>
    <t>CGG_1_018742</t>
  </si>
  <si>
    <t>Yenikapi_Tur181_1443</t>
  </si>
  <si>
    <t>CGG_1_018747</t>
  </si>
  <si>
    <t>Yenikapi_Tur193_1443</t>
  </si>
  <si>
    <t>CGG_1_018759</t>
  </si>
  <si>
    <t>Yenikapi_Tur194_1360</t>
  </si>
  <si>
    <t>CGG_1_018760</t>
  </si>
  <si>
    <t>8, 9</t>
  </si>
  <si>
    <t>Yenikapi_Tur229_1443 2nd digestion</t>
  </si>
  <si>
    <t>CGG_1_018795</t>
  </si>
  <si>
    <t>10, 11</t>
  </si>
  <si>
    <t>Yenikapi_Tur229_1443 3rd digestion</t>
  </si>
  <si>
    <t>Yenikapi_Tur243_1443</t>
  </si>
  <si>
    <t>CGG_1_018809</t>
  </si>
  <si>
    <t>Yerqorqan_YER28_2853</t>
  </si>
  <si>
    <t>CGG_1_020254</t>
  </si>
  <si>
    <t>7, 13</t>
  </si>
  <si>
    <t>Chartres_GVA111_1917</t>
  </si>
  <si>
    <t>Chartres_GVA112_1917</t>
  </si>
  <si>
    <t>Chartres_GVA115_1917</t>
  </si>
  <si>
    <t>Chartres_GVA47_1917</t>
  </si>
  <si>
    <t>Chartres_GVA48_1917</t>
  </si>
  <si>
    <t>Chartres_GVA53_1917</t>
  </si>
  <si>
    <t>Chartres_GVA60_1917</t>
  </si>
  <si>
    <t>Chartres_GVA75_1917</t>
  </si>
  <si>
    <t>Chartres_GVA9_1917</t>
  </si>
  <si>
    <t>Marvele_02_1138</t>
  </si>
  <si>
    <t>Marvele_05_1138</t>
  </si>
  <si>
    <t>Marvele_16_1138</t>
  </si>
  <si>
    <t>Marvele_22_1138</t>
  </si>
  <si>
    <t>Marvele_27_1138</t>
  </si>
  <si>
    <t>Nustar_4_1187</t>
  </si>
  <si>
    <t>OlonKurinGol_OKG1_2367</t>
  </si>
  <si>
    <t>SaintQuentin_GVA237_1917</t>
  </si>
  <si>
    <t>CGG_1_019369</t>
  </si>
  <si>
    <t>CGG_1_019370</t>
  </si>
  <si>
    <t>CGG_1_019373</t>
  </si>
  <si>
    <t>CGG_1_019305</t>
  </si>
  <si>
    <t>CGG_1_019306</t>
  </si>
  <si>
    <t>CGG_1_019311</t>
  </si>
  <si>
    <t>CGG_1_019318</t>
  </si>
  <si>
    <t>CGG_1_019333</t>
  </si>
  <si>
    <t>CGG_1_019267</t>
  </si>
  <si>
    <t>CGG_1_019389</t>
  </si>
  <si>
    <t>CGG_1_019392</t>
  </si>
  <si>
    <t>CGG_1_019403</t>
  </si>
  <si>
    <t>CGG_1_019409</t>
  </si>
  <si>
    <t>CGG_1_019414</t>
  </si>
  <si>
    <t>CGG_1_020438</t>
  </si>
  <si>
    <t>CGG_1_018397</t>
  </si>
  <si>
    <t>CGG_1_019877</t>
  </si>
  <si>
    <t>UushgiinUvur_Mon89_3085</t>
  </si>
  <si>
    <t>CGG_1_018125</t>
  </si>
  <si>
    <t>Quoygrew_VHR017_1117</t>
  </si>
  <si>
    <t>BroughOfDeerness_VHR010_1417</t>
  </si>
  <si>
    <t>BroughOfDeerness_VHR062_1417</t>
  </si>
  <si>
    <t>BroughOfDeerness_VHR037_1417</t>
  </si>
  <si>
    <t>CGG_1_020957</t>
  </si>
  <si>
    <t>CGG_1_020961</t>
  </si>
  <si>
    <t>Granastadir_VHR031_1067</t>
  </si>
  <si>
    <t>CGG_1_020955</t>
  </si>
  <si>
    <t>BroughOfDeerness_VHR011_1367</t>
  </si>
  <si>
    <t>Unique reads</t>
  </si>
  <si>
    <t>Clonality</t>
  </si>
  <si>
    <t>Coverage</t>
  </si>
  <si>
    <t>Endogenous content - unique</t>
  </si>
  <si>
    <t>Library ID</t>
  </si>
  <si>
    <t>External index</t>
  </si>
  <si>
    <t>type of data</t>
  </si>
  <si>
    <t>Retained reads</t>
  </si>
  <si>
    <t>nuDNA</t>
  </si>
  <si>
    <t>mtDNA</t>
  </si>
  <si>
    <t>shotgun</t>
  </si>
  <si>
    <t>60730386</t>
  </si>
  <si>
    <t>42740076</t>
  </si>
  <si>
    <t>12374</t>
  </si>
  <si>
    <t>74421285</t>
  </si>
  <si>
    <t>52336957</t>
  </si>
  <si>
    <t>13789</t>
  </si>
  <si>
    <t>51167423</t>
  </si>
  <si>
    <t>23274481</t>
  </si>
  <si>
    <t>5293</t>
  </si>
  <si>
    <t>80935859</t>
  </si>
  <si>
    <t>36715198</t>
  </si>
  <si>
    <t>7609</t>
  </si>
  <si>
    <t>10564618</t>
  </si>
  <si>
    <t>4857901</t>
  </si>
  <si>
    <t>1281</t>
  </si>
  <si>
    <t>61275577</t>
  </si>
  <si>
    <t>34472196</t>
  </si>
  <si>
    <t>8530</t>
  </si>
  <si>
    <t>110933752</t>
  </si>
  <si>
    <t>60752616</t>
  </si>
  <si>
    <t>12602</t>
  </si>
  <si>
    <t>94890860</t>
  </si>
  <si>
    <t>52357864</t>
  </si>
  <si>
    <t>11407</t>
  </si>
  <si>
    <t>25931494</t>
  </si>
  <si>
    <t>17606459</t>
  </si>
  <si>
    <t>3136</t>
  </si>
  <si>
    <t>54367007</t>
  </si>
  <si>
    <t>36985086</t>
  </si>
  <si>
    <t>5889</t>
  </si>
  <si>
    <t>50025511</t>
  </si>
  <si>
    <t>34045554</t>
  </si>
  <si>
    <t>5609</t>
  </si>
  <si>
    <t>72576415</t>
  </si>
  <si>
    <t>22277014</t>
  </si>
  <si>
    <t>22412</t>
  </si>
  <si>
    <t>83105855</t>
  </si>
  <si>
    <t>24476612</t>
  </si>
  <si>
    <t>23113</t>
  </si>
  <si>
    <t>127397546</t>
  </si>
  <si>
    <t>47452975</t>
  </si>
  <si>
    <t>26648</t>
  </si>
  <si>
    <t>140436452</t>
  </si>
  <si>
    <t>50199670</t>
  </si>
  <si>
    <t>14483</t>
  </si>
  <si>
    <t>50199975</t>
  </si>
  <si>
    <t>17840925</t>
  </si>
  <si>
    <t>6945</t>
  </si>
  <si>
    <t>70494949</t>
  </si>
  <si>
    <t>24440914</t>
  </si>
  <si>
    <t>8883</t>
  </si>
  <si>
    <t>86110182</t>
  </si>
  <si>
    <t>22534924</t>
  </si>
  <si>
    <t>16348</t>
  </si>
  <si>
    <t>88102375</t>
  </si>
  <si>
    <t>24482117</t>
  </si>
  <si>
    <t>17396</t>
  </si>
  <si>
    <t>78369628</t>
  </si>
  <si>
    <t>22545592</t>
  </si>
  <si>
    <t>16523</t>
  </si>
  <si>
    <t>85379593</t>
  </si>
  <si>
    <t>22218293</t>
  </si>
  <si>
    <t>16309</t>
  </si>
  <si>
    <t>69311035</t>
  </si>
  <si>
    <t>22763427</t>
  </si>
  <si>
    <t>16207</t>
  </si>
  <si>
    <t>90429214</t>
  </si>
  <si>
    <t>25356435</t>
  </si>
  <si>
    <t>17220</t>
  </si>
  <si>
    <t>129462141</t>
  </si>
  <si>
    <t>54597171</t>
  </si>
  <si>
    <t>25486</t>
  </si>
  <si>
    <t>68845671</t>
  </si>
  <si>
    <t>51429025</t>
  </si>
  <si>
    <t>12265</t>
  </si>
  <si>
    <t>7368033</t>
  </si>
  <si>
    <t>5462445</t>
  </si>
  <si>
    <t>1323</t>
  </si>
  <si>
    <t>279595922</t>
  </si>
  <si>
    <t>199379956</t>
  </si>
  <si>
    <t>20267</t>
  </si>
  <si>
    <t>214652919</t>
  </si>
  <si>
    <t>154777103</t>
  </si>
  <si>
    <t>18012</t>
  </si>
  <si>
    <t>55867712</t>
  </si>
  <si>
    <t>36679993</t>
  </si>
  <si>
    <t>11161</t>
  </si>
  <si>
    <t>38878565</t>
  </si>
  <si>
    <t>25800320</t>
  </si>
  <si>
    <t>8573</t>
  </si>
  <si>
    <t>62239396</t>
  </si>
  <si>
    <t>40801761</t>
  </si>
  <si>
    <t>11975</t>
  </si>
  <si>
    <t>43916498</t>
  </si>
  <si>
    <t>30388788</t>
  </si>
  <si>
    <t>7213</t>
  </si>
  <si>
    <t>43893380</t>
  </si>
  <si>
    <t>30506682</t>
  </si>
  <si>
    <t>7100</t>
  </si>
  <si>
    <t>49611716</t>
  </si>
  <si>
    <t>34591334</t>
  </si>
  <si>
    <t>7827</t>
  </si>
  <si>
    <t>276546617</t>
  </si>
  <si>
    <t>189777543</t>
  </si>
  <si>
    <t>25671</t>
  </si>
  <si>
    <t>229403568</t>
  </si>
  <si>
    <t>163465938</t>
  </si>
  <si>
    <t>27517</t>
  </si>
  <si>
    <t>214713837</t>
  </si>
  <si>
    <t>38193630</t>
  </si>
  <si>
    <t>1459</t>
  </si>
  <si>
    <t>150527465</t>
  </si>
  <si>
    <t>29421147</t>
  </si>
  <si>
    <t>1074</t>
  </si>
  <si>
    <t>181737902</t>
  </si>
  <si>
    <t>33460181</t>
  </si>
  <si>
    <t>1256</t>
  </si>
  <si>
    <t>199842840</t>
  </si>
  <si>
    <t>37846552</t>
  </si>
  <si>
    <t>1375</t>
  </si>
  <si>
    <t>206241866</t>
  </si>
  <si>
    <t>40070505</t>
  </si>
  <si>
    <t>1555</t>
  </si>
  <si>
    <t>3427135</t>
  </si>
  <si>
    <t>1086</t>
  </si>
  <si>
    <t>58501403</t>
  </si>
  <si>
    <t>17904</t>
  </si>
  <si>
    <t>62522350</t>
  </si>
  <si>
    <t>19062</t>
  </si>
  <si>
    <t>1495861</t>
  </si>
  <si>
    <t>448</t>
  </si>
  <si>
    <t>61748426</t>
  </si>
  <si>
    <t>18713</t>
  </si>
  <si>
    <t>258914341</t>
  </si>
  <si>
    <t>165827328</t>
  </si>
  <si>
    <t>19774</t>
  </si>
  <si>
    <t>146518389</t>
  </si>
  <si>
    <t>93016048</t>
  </si>
  <si>
    <t>14166</t>
  </si>
  <si>
    <t>199513216</t>
  </si>
  <si>
    <t>141100678</t>
  </si>
  <si>
    <t>19134</t>
  </si>
  <si>
    <t>320169660</t>
  </si>
  <si>
    <t>216038066</t>
  </si>
  <si>
    <t>23969</t>
  </si>
  <si>
    <t>205941997</t>
  </si>
  <si>
    <t>121023310</t>
  </si>
  <si>
    <t>20437</t>
  </si>
  <si>
    <t>17646957</t>
  </si>
  <si>
    <t>12455390</t>
  </si>
  <si>
    <t>4424</t>
  </si>
  <si>
    <t>20011155</t>
  </si>
  <si>
    <t>14221621</t>
  </si>
  <si>
    <t>4937</t>
  </si>
  <si>
    <t>163538936</t>
  </si>
  <si>
    <t>114279059</t>
  </si>
  <si>
    <t>19882</t>
  </si>
  <si>
    <t>2293094</t>
  </si>
  <si>
    <t>1485</t>
  </si>
  <si>
    <t>682326</t>
  </si>
  <si>
    <t>476</t>
  </si>
  <si>
    <t>22856715</t>
  </si>
  <si>
    <t>14838</t>
  </si>
  <si>
    <t>22169448</t>
  </si>
  <si>
    <t>14387</t>
  </si>
  <si>
    <t>19620871</t>
  </si>
  <si>
    <t>12981</t>
  </si>
  <si>
    <t>35365344</t>
  </si>
  <si>
    <t>18026</t>
  </si>
  <si>
    <t>34120619</t>
  </si>
  <si>
    <t>17468</t>
  </si>
  <si>
    <t>48320515</t>
  </si>
  <si>
    <t>24225</t>
  </si>
  <si>
    <t>5722112</t>
  </si>
  <si>
    <t>3081</t>
  </si>
  <si>
    <t>31665354</t>
  </si>
  <si>
    <t>22775769</t>
  </si>
  <si>
    <t>6265</t>
  </si>
  <si>
    <t>67258117</t>
  </si>
  <si>
    <t>47973906</t>
  </si>
  <si>
    <t>10844</t>
  </si>
  <si>
    <t>13043153</t>
  </si>
  <si>
    <t>9269994</t>
  </si>
  <si>
    <t>2889</t>
  </si>
  <si>
    <t>5497081</t>
  </si>
  <si>
    <t>3029853</t>
  </si>
  <si>
    <t>829</t>
  </si>
  <si>
    <t>123517065</t>
  </si>
  <si>
    <t>83817375</t>
  </si>
  <si>
    <t>14958</t>
  </si>
  <si>
    <t>55550955</t>
  </si>
  <si>
    <t>35257659</t>
  </si>
  <si>
    <t>8277</t>
  </si>
  <si>
    <t>60839689</t>
  </si>
  <si>
    <t>37988843</t>
  </si>
  <si>
    <t>8481</t>
  </si>
  <si>
    <t>94567947</t>
  </si>
  <si>
    <t>65633162</t>
  </si>
  <si>
    <t>26569</t>
  </si>
  <si>
    <t>103188390</t>
  </si>
  <si>
    <t>71438862</t>
  </si>
  <si>
    <t>28907</t>
  </si>
  <si>
    <t>77939002</t>
  </si>
  <si>
    <t>54462588</t>
  </si>
  <si>
    <t>23352</t>
  </si>
  <si>
    <t>60476816</t>
  </si>
  <si>
    <t>42282870</t>
  </si>
  <si>
    <t>18529</t>
  </si>
  <si>
    <t>37058934</t>
  </si>
  <si>
    <t>26407232</t>
  </si>
  <si>
    <t>10302</t>
  </si>
  <si>
    <t>16138412</t>
  </si>
  <si>
    <t>11192112</t>
  </si>
  <si>
    <t>3923</t>
  </si>
  <si>
    <t>51261155</t>
  </si>
  <si>
    <t>35082237</t>
  </si>
  <si>
    <t>10109</t>
  </si>
  <si>
    <t>66693770</t>
  </si>
  <si>
    <t>45479537</t>
  </si>
  <si>
    <t>12110</t>
  </si>
  <si>
    <t>24635260</t>
  </si>
  <si>
    <t>17156765</t>
  </si>
  <si>
    <t>5841</t>
  </si>
  <si>
    <t>70488031</t>
  </si>
  <si>
    <t>48025616</t>
  </si>
  <si>
    <t>12667</t>
  </si>
  <si>
    <t>57548855</t>
  </si>
  <si>
    <t>38936124</t>
  </si>
  <si>
    <t>11147</t>
  </si>
  <si>
    <t>74476180</t>
  </si>
  <si>
    <t>47863297</t>
  </si>
  <si>
    <t>11014</t>
  </si>
  <si>
    <t>17870062</t>
  </si>
  <si>
    <t>7534722</t>
  </si>
  <si>
    <t>2014</t>
  </si>
  <si>
    <t>190929997</t>
  </si>
  <si>
    <t>77894060</t>
  </si>
  <si>
    <t>14927</t>
  </si>
  <si>
    <t>169013757</t>
  </si>
  <si>
    <t>68828556</t>
  </si>
  <si>
    <t>13696</t>
  </si>
  <si>
    <t>190848507</t>
  </si>
  <si>
    <t>77304542</t>
  </si>
  <si>
    <t>14715</t>
  </si>
  <si>
    <t>20601288</t>
  </si>
  <si>
    <t>8544968</t>
  </si>
  <si>
    <t>2419</t>
  </si>
  <si>
    <t>76170847</t>
  </si>
  <si>
    <t>52099272</t>
  </si>
  <si>
    <t>14264</t>
  </si>
  <si>
    <t>14878447</t>
  </si>
  <si>
    <t>10561776</t>
  </si>
  <si>
    <t>4168</t>
  </si>
  <si>
    <t>48956462</t>
  </si>
  <si>
    <t>33785678</t>
  </si>
  <si>
    <t>10613</t>
  </si>
  <si>
    <t>131301632</t>
  </si>
  <si>
    <t>85956659</t>
  </si>
  <si>
    <t>18896</t>
  </si>
  <si>
    <t>79752651</t>
  </si>
  <si>
    <t>44090523</t>
  </si>
  <si>
    <t>10403</t>
  </si>
  <si>
    <t>39660542</t>
  </si>
  <si>
    <t>24616241</t>
  </si>
  <si>
    <t>6649</t>
  </si>
  <si>
    <t>94959943</t>
  </si>
  <si>
    <t>42425437</t>
  </si>
  <si>
    <t>10095</t>
  </si>
  <si>
    <t>55236579</t>
  </si>
  <si>
    <t>38058205</t>
  </si>
  <si>
    <t>9345</t>
  </si>
  <si>
    <t>98071477</t>
  </si>
  <si>
    <t>37048051</t>
  </si>
  <si>
    <t>9123</t>
  </si>
  <si>
    <t>5665171</t>
  </si>
  <si>
    <t>2231495</t>
  </si>
  <si>
    <t>604</t>
  </si>
  <si>
    <t>106970947</t>
  </si>
  <si>
    <t>39201120</t>
  </si>
  <si>
    <t>8176</t>
  </si>
  <si>
    <t>110427071</t>
  </si>
  <si>
    <t>40180931</t>
  </si>
  <si>
    <t>8191</t>
  </si>
  <si>
    <t>151649481</t>
  </si>
  <si>
    <t>53958215</t>
  </si>
  <si>
    <t>10230</t>
  </si>
  <si>
    <t>9815161</t>
  </si>
  <si>
    <t>3714641</t>
  </si>
  <si>
    <t>1028</t>
  </si>
  <si>
    <t>6618756</t>
  </si>
  <si>
    <t>1610726</t>
  </si>
  <si>
    <t>654</t>
  </si>
  <si>
    <t>298955963</t>
  </si>
  <si>
    <t>39568970</t>
  </si>
  <si>
    <t>14874</t>
  </si>
  <si>
    <t>245611947</t>
  </si>
  <si>
    <t>176583967</t>
  </si>
  <si>
    <t>22966</t>
  </si>
  <si>
    <t>39023390</t>
  </si>
  <si>
    <t>27376254</t>
  </si>
  <si>
    <t>6808</t>
  </si>
  <si>
    <t>37798893</t>
  </si>
  <si>
    <t>26558882</t>
  </si>
  <si>
    <t>6874</t>
  </si>
  <si>
    <t>57803834</t>
  </si>
  <si>
    <t>40002320</t>
  </si>
  <si>
    <t>9222</t>
  </si>
  <si>
    <t>5196618</t>
  </si>
  <si>
    <t>2949889</t>
  </si>
  <si>
    <t>975</t>
  </si>
  <si>
    <t>138793332</t>
  </si>
  <si>
    <t>92885665</t>
  </si>
  <si>
    <t>16285</t>
  </si>
  <si>
    <t>57674722</t>
  </si>
  <si>
    <t>32607255</t>
  </si>
  <si>
    <t>8137</t>
  </si>
  <si>
    <t>222334903</t>
  </si>
  <si>
    <t>112538121</t>
  </si>
  <si>
    <t>17937</t>
  </si>
  <si>
    <t>285453624</t>
  </si>
  <si>
    <t>147806615</t>
  </si>
  <si>
    <t>21430</t>
  </si>
  <si>
    <t>80568697</t>
  </si>
  <si>
    <t>57161230</t>
  </si>
  <si>
    <t>11476</t>
  </si>
  <si>
    <t>112643526</t>
  </si>
  <si>
    <t>44969366</t>
  </si>
  <si>
    <t>10164</t>
  </si>
  <si>
    <t>245925848</t>
  </si>
  <si>
    <t>167731021</t>
  </si>
  <si>
    <t>23468</t>
  </si>
  <si>
    <t>109281220</t>
  </si>
  <si>
    <t>72879408</t>
  </si>
  <si>
    <t>13876</t>
  </si>
  <si>
    <t>132193172</t>
  </si>
  <si>
    <t>85909014</t>
  </si>
  <si>
    <t>15235</t>
  </si>
  <si>
    <t>13552482</t>
  </si>
  <si>
    <t>9407574</t>
  </si>
  <si>
    <t>2701</t>
  </si>
  <si>
    <t>50095274</t>
  </si>
  <si>
    <t>12454981</t>
  </si>
  <si>
    <t>12686</t>
  </si>
  <si>
    <t>38402126</t>
  </si>
  <si>
    <t>11266618</t>
  </si>
  <si>
    <t>11667</t>
  </si>
  <si>
    <t>51181728</t>
  </si>
  <si>
    <t>13619824</t>
  </si>
  <si>
    <t>13360</t>
  </si>
  <si>
    <t>CATCAG</t>
  </si>
  <si>
    <t>67952439</t>
  </si>
  <si>
    <t>18464591</t>
  </si>
  <si>
    <t>16235</t>
  </si>
  <si>
    <t>108427501</t>
  </si>
  <si>
    <t>37906339</t>
  </si>
  <si>
    <t>9124</t>
  </si>
  <si>
    <t>129662272</t>
  </si>
  <si>
    <t>43946893</t>
  </si>
  <si>
    <t>10304</t>
  </si>
  <si>
    <t>9165275</t>
  </si>
  <si>
    <t>3347282</t>
  </si>
  <si>
    <t>944</t>
  </si>
  <si>
    <t>143880229</t>
  </si>
  <si>
    <t>49288908</t>
  </si>
  <si>
    <t>11292</t>
  </si>
  <si>
    <t>5031713</t>
  </si>
  <si>
    <t>616973</t>
  </si>
  <si>
    <t>724</t>
  </si>
  <si>
    <t>5365627</t>
  </si>
  <si>
    <t>620683</t>
  </si>
  <si>
    <t>735</t>
  </si>
  <si>
    <t>4993726</t>
  </si>
  <si>
    <t>584150</t>
  </si>
  <si>
    <t>718</t>
  </si>
  <si>
    <t>5698226</t>
  </si>
  <si>
    <t>635937</t>
  </si>
  <si>
    <t>749</t>
  </si>
  <si>
    <t>406533890</t>
  </si>
  <si>
    <t>48428361</t>
  </si>
  <si>
    <t>24426</t>
  </si>
  <si>
    <t>174248490</t>
  </si>
  <si>
    <t>49443183</t>
  </si>
  <si>
    <t>20600</t>
  </si>
  <si>
    <t>397845908</t>
  </si>
  <si>
    <t>162147996</t>
  </si>
  <si>
    <t>29944</t>
  </si>
  <si>
    <t>205900499</t>
  </si>
  <si>
    <t>57801996</t>
  </si>
  <si>
    <t>12607</t>
  </si>
  <si>
    <t>156779424</t>
  </si>
  <si>
    <t>75913635</t>
  </si>
  <si>
    <t>14899</t>
  </si>
  <si>
    <t>114935917</t>
  </si>
  <si>
    <t>31534823</t>
  </si>
  <si>
    <t>6832</t>
  </si>
  <si>
    <t>68981080</t>
  </si>
  <si>
    <t>20351665</t>
  </si>
  <si>
    <t>4710</t>
  </si>
  <si>
    <t>84230048</t>
  </si>
  <si>
    <t>24564782</t>
  </si>
  <si>
    <t>5494</t>
  </si>
  <si>
    <t>65571148</t>
  </si>
  <si>
    <t>43790886</t>
  </si>
  <si>
    <t>9419</t>
  </si>
  <si>
    <t>75559852</t>
  </si>
  <si>
    <t>51051927</t>
  </si>
  <si>
    <t>10700</t>
  </si>
  <si>
    <t>61235361</t>
  </si>
  <si>
    <t>41215602</t>
  </si>
  <si>
    <t>9273</t>
  </si>
  <si>
    <t>227935865</t>
  </si>
  <si>
    <t>11134108</t>
  </si>
  <si>
    <t>11478</t>
  </si>
  <si>
    <t>55332922</t>
  </si>
  <si>
    <t>25745819</t>
  </si>
  <si>
    <t>19170</t>
  </si>
  <si>
    <t>122935312</t>
  </si>
  <si>
    <t>10023498</t>
  </si>
  <si>
    <t>10699</t>
  </si>
  <si>
    <t>11918258</t>
  </si>
  <si>
    <t>6920785</t>
  </si>
  <si>
    <t>2732</t>
  </si>
  <si>
    <t>176550701</t>
  </si>
  <si>
    <t>105670011</t>
  </si>
  <si>
    <t>20837</t>
  </si>
  <si>
    <t>292342003</t>
  </si>
  <si>
    <t>186571105</t>
  </si>
  <si>
    <t>25710</t>
  </si>
  <si>
    <t>77198643</t>
  </si>
  <si>
    <t>45762210</t>
  </si>
  <si>
    <t>12751</t>
  </si>
  <si>
    <t>74974170</t>
  </si>
  <si>
    <t>36632330</t>
  </si>
  <si>
    <t>18984</t>
  </si>
  <si>
    <t>105401835</t>
  </si>
  <si>
    <t>46810072</t>
  </si>
  <si>
    <t>21552</t>
  </si>
  <si>
    <t>79983352</t>
  </si>
  <si>
    <t>39845762</t>
  </si>
  <si>
    <t>19885</t>
  </si>
  <si>
    <t>90229930</t>
  </si>
  <si>
    <t>42513165</t>
  </si>
  <si>
    <t>20697</t>
  </si>
  <si>
    <t>171524528</t>
  </si>
  <si>
    <t>83656815</t>
  </si>
  <si>
    <t>31020</t>
  </si>
  <si>
    <t>56148184</t>
  </si>
  <si>
    <t>15034199</t>
  </si>
  <si>
    <t>17936</t>
  </si>
  <si>
    <t>85779657</t>
  </si>
  <si>
    <t>32769824</t>
  </si>
  <si>
    <t>20072</t>
  </si>
  <si>
    <t>129328589</t>
  </si>
  <si>
    <t>46540263</t>
  </si>
  <si>
    <t>23546</t>
  </si>
  <si>
    <t>92806614</t>
  </si>
  <si>
    <t>35080138</t>
  </si>
  <si>
    <t>20811</t>
  </si>
  <si>
    <t>97338274</t>
  </si>
  <si>
    <t>36044851</t>
  </si>
  <si>
    <t>20943</t>
  </si>
  <si>
    <t>70735198</t>
  </si>
  <si>
    <t>28502410</t>
  </si>
  <si>
    <t>23588</t>
  </si>
  <si>
    <t>60583926</t>
  </si>
  <si>
    <t>45084220</t>
  </si>
  <si>
    <t>10719</t>
  </si>
  <si>
    <t>67731838</t>
  </si>
  <si>
    <t>50276704</t>
  </si>
  <si>
    <t>11752</t>
  </si>
  <si>
    <t>53882080</t>
  </si>
  <si>
    <t>40125610</t>
  </si>
  <si>
    <t>10059</t>
  </si>
  <si>
    <t>68160243</t>
  </si>
  <si>
    <t>51697678</t>
  </si>
  <si>
    <t>13327</t>
  </si>
  <si>
    <t>12728233</t>
  </si>
  <si>
    <t>9679634</t>
  </si>
  <si>
    <t>3264</t>
  </si>
  <si>
    <t>6730287</t>
  </si>
  <si>
    <t>4968141</t>
  </si>
  <si>
    <t>1191</t>
  </si>
  <si>
    <t>47225739</t>
  </si>
  <si>
    <t>33813866</t>
  </si>
  <si>
    <t>9020</t>
  </si>
  <si>
    <t>26880240</t>
  </si>
  <si>
    <t>19390834</t>
  </si>
  <si>
    <t>5223</t>
  </si>
  <si>
    <t>19638402</t>
  </si>
  <si>
    <t>14156441</t>
  </si>
  <si>
    <t>3902</t>
  </si>
  <si>
    <t>39540327</t>
  </si>
  <si>
    <t>28460161</t>
  </si>
  <si>
    <t>7722</t>
  </si>
  <si>
    <t>43341783</t>
  </si>
  <si>
    <t>31429345</t>
  </si>
  <si>
    <t>7541</t>
  </si>
  <si>
    <t>352685935</t>
  </si>
  <si>
    <t>164988482</t>
  </si>
  <si>
    <t>32938</t>
  </si>
  <si>
    <t>179717831</t>
  </si>
  <si>
    <t>125856692</t>
  </si>
  <si>
    <t>16551</t>
  </si>
  <si>
    <t>101011171</t>
  </si>
  <si>
    <t>72057533</t>
  </si>
  <si>
    <t>11629</t>
  </si>
  <si>
    <t>97863279</t>
  </si>
  <si>
    <t>69718192</t>
  </si>
  <si>
    <t>11252</t>
  </si>
  <si>
    <t>16186544</t>
  </si>
  <si>
    <t>11855770</t>
  </si>
  <si>
    <t>2646</t>
  </si>
  <si>
    <t>111265655</t>
  </si>
  <si>
    <t>52468620</t>
  </si>
  <si>
    <t>13019</t>
  </si>
  <si>
    <t>91197070</t>
  </si>
  <si>
    <t>45463510</t>
  </si>
  <si>
    <t>11811</t>
  </si>
  <si>
    <t>58316341</t>
  </si>
  <si>
    <t>31761157</t>
  </si>
  <si>
    <t>9115</t>
  </si>
  <si>
    <t>187586467</t>
  </si>
  <si>
    <t>109895202</t>
  </si>
  <si>
    <t>20019</t>
  </si>
  <si>
    <t>164980113</t>
  </si>
  <si>
    <t>109162534</t>
  </si>
  <si>
    <t>18279</t>
  </si>
  <si>
    <t>89541054</t>
  </si>
  <si>
    <t>61662287</t>
  </si>
  <si>
    <t>13302</t>
  </si>
  <si>
    <t>94276255</t>
  </si>
  <si>
    <t>64961534</t>
  </si>
  <si>
    <t>13642</t>
  </si>
  <si>
    <t>59450403</t>
  </si>
  <si>
    <t>41745941</t>
  </si>
  <si>
    <t>10347</t>
  </si>
  <si>
    <t>15075739</t>
  </si>
  <si>
    <t>10528035</t>
  </si>
  <si>
    <t>3413</t>
  </si>
  <si>
    <t>38679392</t>
  </si>
  <si>
    <t>25200714</t>
  </si>
  <si>
    <t>8117</t>
  </si>
  <si>
    <t>38737321</t>
  </si>
  <si>
    <t>25385362</t>
  </si>
  <si>
    <t>8296</t>
  </si>
  <si>
    <t>42088857</t>
  </si>
  <si>
    <t>27307984</t>
  </si>
  <si>
    <t>8719</t>
  </si>
  <si>
    <t>33310348</t>
  </si>
  <si>
    <t>21959708</t>
  </si>
  <si>
    <t>7255</t>
  </si>
  <si>
    <t>57079986</t>
  </si>
  <si>
    <t>37081107</t>
  </si>
  <si>
    <t>10578</t>
  </si>
  <si>
    <t>135401513</t>
  </si>
  <si>
    <t>99887333</t>
  </si>
  <si>
    <t>16259</t>
  </si>
  <si>
    <t>174085004</t>
  </si>
  <si>
    <t>122590518</t>
  </si>
  <si>
    <t>19289</t>
  </si>
  <si>
    <t>116842682</t>
  </si>
  <si>
    <t>84995814</t>
  </si>
  <si>
    <t>14529</t>
  </si>
  <si>
    <t>72405007</t>
  </si>
  <si>
    <t>51985072</t>
  </si>
  <si>
    <t>8960</t>
  </si>
  <si>
    <t>85032594</t>
  </si>
  <si>
    <t>60843269</t>
  </si>
  <si>
    <t>64593208</t>
  </si>
  <si>
    <t>46344269</t>
  </si>
  <si>
    <t>8470</t>
  </si>
  <si>
    <t>64591915</t>
  </si>
  <si>
    <t>46529955</t>
  </si>
  <si>
    <t>8371</t>
  </si>
  <si>
    <t>71499288</t>
  </si>
  <si>
    <t>51701159</t>
  </si>
  <si>
    <t>8962</t>
  </si>
  <si>
    <t>46461535</t>
  </si>
  <si>
    <t>34271748</t>
  </si>
  <si>
    <t>10803</t>
  </si>
  <si>
    <t>56100381</t>
  </si>
  <si>
    <t>41246567</t>
  </si>
  <si>
    <t>12095</t>
  </si>
  <si>
    <t>49506752</t>
  </si>
  <si>
    <t>36474078</t>
  </si>
  <si>
    <t>11203</t>
  </si>
  <si>
    <t>70201520</t>
  </si>
  <si>
    <t>51469964</t>
  </si>
  <si>
    <t>13980</t>
  </si>
  <si>
    <t>64652388</t>
  </si>
  <si>
    <t>47340773</t>
  </si>
  <si>
    <t>13741</t>
  </si>
  <si>
    <t>89126999</t>
  </si>
  <si>
    <t>63313973</t>
  </si>
  <si>
    <t>10898</t>
  </si>
  <si>
    <t>137668799</t>
  </si>
  <si>
    <t>95813338</t>
  </si>
  <si>
    <t>14422</t>
  </si>
  <si>
    <t>72401999</t>
  </si>
  <si>
    <t>51684504</t>
  </si>
  <si>
    <t>9430</t>
  </si>
  <si>
    <t>68696113</t>
  </si>
  <si>
    <t>49010283</t>
  </si>
  <si>
    <t>9048</t>
  </si>
  <si>
    <t>119180323</t>
  </si>
  <si>
    <t>84243800</t>
  </si>
  <si>
    <t>13141</t>
  </si>
  <si>
    <t>182286414</t>
  </si>
  <si>
    <t>128565890</t>
  </si>
  <si>
    <t>34888</t>
  </si>
  <si>
    <t>85084160</t>
  </si>
  <si>
    <t>60390752</t>
  </si>
  <si>
    <t>18164</t>
  </si>
  <si>
    <t>97606999</t>
  </si>
  <si>
    <t>69560880</t>
  </si>
  <si>
    <t>20520</t>
  </si>
  <si>
    <t>71748930</t>
  </si>
  <si>
    <t>50964870</t>
  </si>
  <si>
    <t>15606</t>
  </si>
  <si>
    <t>7701192</t>
  </si>
  <si>
    <t>5560529</t>
  </si>
  <si>
    <t>1732</t>
  </si>
  <si>
    <t>61009426</t>
  </si>
  <si>
    <t>44492718</t>
  </si>
  <si>
    <t>13903</t>
  </si>
  <si>
    <t>78092556</t>
  </si>
  <si>
    <t>56757344</t>
  </si>
  <si>
    <t>17400</t>
  </si>
  <si>
    <t>72299053</t>
  </si>
  <si>
    <t>52582413</t>
  </si>
  <si>
    <t>15941</t>
  </si>
  <si>
    <t>61052579</t>
  </si>
  <si>
    <t>44398731</t>
  </si>
  <si>
    <t>14186</t>
  </si>
  <si>
    <t>11227407</t>
  </si>
  <si>
    <t>8220919</t>
  </si>
  <si>
    <t>2521</t>
  </si>
  <si>
    <t>58175046</t>
  </si>
  <si>
    <t>41414701</t>
  </si>
  <si>
    <t>10793</t>
  </si>
  <si>
    <t>18739087</t>
  </si>
  <si>
    <t>13609227</t>
  </si>
  <si>
    <t>4409</t>
  </si>
  <si>
    <t>62734572</t>
  </si>
  <si>
    <t>43297264</t>
  </si>
  <si>
    <t>11046</t>
  </si>
  <si>
    <t>64799949</t>
  </si>
  <si>
    <t>45064187</t>
  </si>
  <si>
    <t>11297</t>
  </si>
  <si>
    <t>58674950</t>
  </si>
  <si>
    <t>40537187</t>
  </si>
  <si>
    <t>10505</t>
  </si>
  <si>
    <t>21771592</t>
  </si>
  <si>
    <t>15638776</t>
  </si>
  <si>
    <t>5050</t>
  </si>
  <si>
    <t>46021920</t>
  </si>
  <si>
    <t>32738866</t>
  </si>
  <si>
    <t>10987</t>
  </si>
  <si>
    <t>49789112</t>
  </si>
  <si>
    <t>35506019</t>
  </si>
  <si>
    <t>11764</t>
  </si>
  <si>
    <t>36428437</t>
  </si>
  <si>
    <t>26003938</t>
  </si>
  <si>
    <t>8728</t>
  </si>
  <si>
    <t>53484732</t>
  </si>
  <si>
    <t>38116391</t>
  </si>
  <si>
    <t>12425</t>
  </si>
  <si>
    <t>74204689</t>
  </si>
  <si>
    <t>52633181</t>
  </si>
  <si>
    <t>15987</t>
  </si>
  <si>
    <t>103574194</t>
  </si>
  <si>
    <t>66735118</t>
  </si>
  <si>
    <t>22434</t>
  </si>
  <si>
    <t>109149668</t>
  </si>
  <si>
    <t>70689540</t>
  </si>
  <si>
    <t>23570</t>
  </si>
  <si>
    <t>184793470</t>
  </si>
  <si>
    <t>119046850</t>
  </si>
  <si>
    <t>36946</t>
  </si>
  <si>
    <t>66253962</t>
  </si>
  <si>
    <t>42976223</t>
  </si>
  <si>
    <t>15105</t>
  </si>
  <si>
    <t>18573600</t>
  </si>
  <si>
    <t>12153143</t>
  </si>
  <si>
    <t>4216</t>
  </si>
  <si>
    <t>84623591</t>
  </si>
  <si>
    <t>42067372</t>
  </si>
  <si>
    <t>7597</t>
  </si>
  <si>
    <t>78287522</t>
  </si>
  <si>
    <t>38986013</t>
  </si>
  <si>
    <t>7218</t>
  </si>
  <si>
    <t>120705868</t>
  </si>
  <si>
    <t>53955101</t>
  </si>
  <si>
    <t>9307</t>
  </si>
  <si>
    <t>24481717</t>
  </si>
  <si>
    <t>17629814</t>
  </si>
  <si>
    <t>3701</t>
  </si>
  <si>
    <t>89924659</t>
  </si>
  <si>
    <t>61917583</t>
  </si>
  <si>
    <t>19054</t>
  </si>
  <si>
    <t>120318602</t>
  </si>
  <si>
    <t>82317296</t>
  </si>
  <si>
    <t>23838</t>
  </si>
  <si>
    <t>110545415</t>
  </si>
  <si>
    <t>75442800</t>
  </si>
  <si>
    <t>22145</t>
  </si>
  <si>
    <t>155403509</t>
  </si>
  <si>
    <t>104397790</t>
  </si>
  <si>
    <t>28915</t>
  </si>
  <si>
    <t>24415336</t>
  </si>
  <si>
    <t>17160014</t>
  </si>
  <si>
    <t>5376</t>
  </si>
  <si>
    <t>53145859</t>
  </si>
  <si>
    <t>35600329</t>
  </si>
  <si>
    <t>8549</t>
  </si>
  <si>
    <t>65397228</t>
  </si>
  <si>
    <t>44032144</t>
  </si>
  <si>
    <t>10374</t>
  </si>
  <si>
    <t>88799609</t>
  </si>
  <si>
    <t>58550412</t>
  </si>
  <si>
    <t>12572</t>
  </si>
  <si>
    <t>54548421</t>
  </si>
  <si>
    <t>36731945</t>
  </si>
  <si>
    <t>9017</t>
  </si>
  <si>
    <t>22904506</t>
  </si>
  <si>
    <t>15870026</t>
  </si>
  <si>
    <t>4648</t>
  </si>
  <si>
    <t>10989628</t>
  </si>
  <si>
    <t>8176382</t>
  </si>
  <si>
    <t>2671</t>
  </si>
  <si>
    <t>42941312</t>
  </si>
  <si>
    <t>11213140</t>
  </si>
  <si>
    <t>3789</t>
  </si>
  <si>
    <t>90059850</t>
  </si>
  <si>
    <t>21411397</t>
  </si>
  <si>
    <t>6794</t>
  </si>
  <si>
    <t>46503070</t>
  </si>
  <si>
    <t>12024444</t>
  </si>
  <si>
    <t>4025</t>
  </si>
  <si>
    <t>31433379</t>
  </si>
  <si>
    <t>20023406</t>
  </si>
  <si>
    <t>6993</t>
  </si>
  <si>
    <t>26296462</t>
  </si>
  <si>
    <t>18965250</t>
  </si>
  <si>
    <t>8718</t>
  </si>
  <si>
    <t>69560279</t>
  </si>
  <si>
    <t>18742684</t>
  </si>
  <si>
    <t>7878</t>
  </si>
  <si>
    <t>10436888</t>
  </si>
  <si>
    <t>7790494</t>
  </si>
  <si>
    <t>2530</t>
  </si>
  <si>
    <t>159268104</t>
  </si>
  <si>
    <t>50610</t>
  </si>
  <si>
    <t>9157046</t>
  </si>
  <si>
    <t>40091</t>
  </si>
  <si>
    <t>7145221</t>
  </si>
  <si>
    <t>31298</t>
  </si>
  <si>
    <t>2230278</t>
  </si>
  <si>
    <t>10295</t>
  </si>
  <si>
    <t>2971087</t>
  </si>
  <si>
    <t>13250</t>
  </si>
  <si>
    <t>2388466</t>
  </si>
  <si>
    <t>10798</t>
  </si>
  <si>
    <t>2985140</t>
  </si>
  <si>
    <t>13402</t>
  </si>
  <si>
    <t>3666822</t>
  </si>
  <si>
    <t>16468</t>
  </si>
  <si>
    <t>2270620</t>
  </si>
  <si>
    <t>758</t>
  </si>
  <si>
    <t>4007973</t>
  </si>
  <si>
    <t>1410106</t>
  </si>
  <si>
    <t>428</t>
  </si>
  <si>
    <t>91741225</t>
  </si>
  <si>
    <t>22347763</t>
  </si>
  <si>
    <t>6022</t>
  </si>
  <si>
    <t>39993581</t>
  </si>
  <si>
    <t>28205451</t>
  </si>
  <si>
    <t>9497</t>
  </si>
  <si>
    <t> 44743559</t>
  </si>
  <si>
    <t>Berufjordur_VHR102_1057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</si>
</sst>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164" formatCode="d\,\ m"/>
    <numFmt numFmtId="165" formatCode="#,##0.000"/>
    <numFmt numFmtId="166" formatCode="0.000"/>
    <numFmt numFmtId="167" formatCode="0.0000"/>
  </numFmts>
  <fonts count="8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9"/>
      <color rgb="FF000000"/>
      <name val="Helvetica"/>
    </font>
    <font>
      <b/>
      <sz val="9"/>
      <color theme="1"/>
      <name val="Helvetica"/>
    </font>
    <font>
      <sz val="9"/>
      <color rgb="FF000000"/>
      <name val="Helvetica"/>
    </font>
    <font>
      <sz val="9"/>
      <color theme="1"/>
      <name val="Helvetica"/>
    </font>
    <font>
      <i/>
      <sz val="9"/>
      <color theme="1"/>
      <name val="Helvetica"/>
    </font>
    <font>
      <sz val="9"/>
      <name val="Helvetica"/>
    </font>
  </fonts>
  <fills count="2">
    <fill>
      <patternFill patternType="none"/>
    </fill>
    <fill>
      <patternFill patternType="gray125"/>
    </fill>
  </fills>
  <borders count="44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/>
      <top style="thin">
        <color auto="1"/>
      </top>
      <bottom style="thin">
        <color rgb="FF000000"/>
      </bottom>
      <diagonal/>
    </border>
    <border>
      <left/>
      <right/>
      <top/>
      <bottom style="thin">
        <color auto="1"/>
      </bottom>
      <diagonal/>
    </border>
    <border>
      <left/>
      <right style="thin">
        <color rgb="FF000000"/>
      </right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rgb="FF000000"/>
      </left>
      <right/>
      <top style="thin">
        <color auto="1"/>
      </top>
      <bottom/>
      <diagonal/>
    </border>
    <border>
      <left/>
      <right style="thin">
        <color rgb="FF000000"/>
      </right>
      <top style="thin">
        <color auto="1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 style="thin">
        <color rgb="FF000000"/>
      </bottom>
      <diagonal/>
    </border>
    <border>
      <left style="thin">
        <color auto="1"/>
      </left>
      <right/>
      <top style="thin">
        <color rgb="FF000000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auto="1"/>
      </right>
      <top style="thin">
        <color rgb="FF000000"/>
      </top>
      <bottom style="thin">
        <color rgb="FF000000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rgb="FF000000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rgb="FF000000"/>
      </left>
      <right/>
      <top/>
      <bottom style="thin">
        <color auto="1"/>
      </bottom>
      <diagonal/>
    </border>
    <border>
      <left/>
      <right style="thin">
        <color rgb="FF000000"/>
      </right>
      <top style="thin">
        <color auto="1"/>
      </top>
      <bottom style="thin">
        <color auto="1"/>
      </bottom>
      <diagonal/>
    </border>
    <border>
      <left/>
      <right/>
      <top style="medium">
        <color auto="1"/>
      </top>
      <bottom/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 style="thin">
        <color rgb="FF000000"/>
      </right>
      <top style="medium">
        <color auto="1"/>
      </top>
      <bottom style="thin">
        <color auto="1"/>
      </bottom>
      <diagonal/>
    </border>
    <border>
      <left style="thin">
        <color rgb="FF000000"/>
      </left>
      <right/>
      <top style="medium">
        <color auto="1"/>
      </top>
      <bottom style="thin">
        <color rgb="FF000000"/>
      </bottom>
      <diagonal/>
    </border>
    <border>
      <left/>
      <right/>
      <top style="medium">
        <color auto="1"/>
      </top>
      <bottom style="thin">
        <color rgb="FF000000"/>
      </bottom>
      <diagonal/>
    </border>
    <border>
      <left style="thin">
        <color auto="1"/>
      </left>
      <right/>
      <top style="medium">
        <color auto="1"/>
      </top>
      <bottom style="thin">
        <color rgb="FF000000"/>
      </bottom>
      <diagonal/>
    </border>
    <border>
      <left/>
      <right style="thin">
        <color auto="1"/>
      </right>
      <top style="medium">
        <color auto="1"/>
      </top>
      <bottom style="thin">
        <color rgb="FF000000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210">
    <xf numFmtId="0" fontId="0" fillId="0" borderId="0" xfId="0"/>
    <xf numFmtId="0" fontId="4" fillId="0" borderId="0" xfId="0" applyFont="1" applyAlignment="1">
      <alignment horizontal="left"/>
    </xf>
    <xf numFmtId="0" fontId="5" fillId="0" borderId="0" xfId="0" applyFont="1" applyFill="1" applyAlignment="1">
      <alignment horizontal="left"/>
    </xf>
    <xf numFmtId="0" fontId="5" fillId="0" borderId="3" xfId="0" applyFont="1" applyFill="1" applyBorder="1" applyAlignment="1">
      <alignment horizontal="left"/>
    </xf>
    <xf numFmtId="49" fontId="5" fillId="0" borderId="0" xfId="0" applyNumberFormat="1" applyFont="1" applyFill="1" applyAlignment="1">
      <alignment horizontal="left"/>
    </xf>
    <xf numFmtId="1" fontId="5" fillId="0" borderId="0" xfId="0" applyNumberFormat="1" applyFont="1" applyFill="1" applyAlignment="1">
      <alignment horizontal="left"/>
    </xf>
    <xf numFmtId="0" fontId="6" fillId="0" borderId="0" xfId="0" applyFont="1" applyFill="1" applyAlignment="1">
      <alignment horizontal="left"/>
    </xf>
    <xf numFmtId="164" fontId="5" fillId="0" borderId="0" xfId="0" applyNumberFormat="1" applyFont="1" applyFill="1" applyAlignment="1">
      <alignment horizontal="left"/>
    </xf>
    <xf numFmtId="0" fontId="5" fillId="0" borderId="1" xfId="0" applyFont="1" applyFill="1" applyBorder="1" applyAlignment="1">
      <alignment horizontal="left"/>
    </xf>
    <xf numFmtId="0" fontId="4" fillId="0" borderId="0" xfId="0" applyFont="1" applyBorder="1" applyAlignment="1">
      <alignment horizontal="left"/>
    </xf>
    <xf numFmtId="49" fontId="5" fillId="0" borderId="0" xfId="0" applyNumberFormat="1" applyFont="1" applyFill="1" applyBorder="1" applyAlignment="1">
      <alignment horizontal="left"/>
    </xf>
    <xf numFmtId="0" fontId="5" fillId="0" borderId="0" xfId="0" applyFont="1" applyFill="1" applyBorder="1" applyAlignment="1">
      <alignment horizontal="left"/>
    </xf>
    <xf numFmtId="0" fontId="5" fillId="0" borderId="0" xfId="0" applyFont="1" applyAlignment="1">
      <alignment horizontal="left"/>
    </xf>
    <xf numFmtId="0" fontId="4" fillId="0" borderId="5" xfId="0" applyFont="1" applyBorder="1" applyAlignment="1">
      <alignment horizontal="left"/>
    </xf>
    <xf numFmtId="0" fontId="5" fillId="0" borderId="5" xfId="0" applyFont="1" applyFill="1" applyBorder="1" applyAlignment="1">
      <alignment horizontal="left"/>
    </xf>
    <xf numFmtId="0" fontId="5" fillId="0" borderId="6" xfId="0" applyFont="1" applyFill="1" applyBorder="1" applyAlignment="1">
      <alignment horizontal="left"/>
    </xf>
    <xf numFmtId="0" fontId="2" fillId="0" borderId="1" xfId="0" applyFont="1" applyBorder="1" applyAlignment="1">
      <alignment horizontal="left"/>
    </xf>
    <xf numFmtId="0" fontId="3" fillId="0" borderId="1" xfId="0" applyFont="1" applyFill="1" applyBorder="1" applyAlignment="1">
      <alignment horizontal="left"/>
    </xf>
    <xf numFmtId="49" fontId="3" fillId="0" borderId="1" xfId="0" applyNumberFormat="1" applyFont="1" applyFill="1" applyBorder="1" applyAlignment="1">
      <alignment horizontal="left"/>
    </xf>
    <xf numFmtId="0" fontId="5" fillId="0" borderId="7" xfId="0" applyFont="1" applyBorder="1" applyAlignment="1">
      <alignment horizontal="left"/>
    </xf>
    <xf numFmtId="0" fontId="5" fillId="0" borderId="7" xfId="0" applyFont="1" applyFill="1" applyBorder="1" applyAlignment="1">
      <alignment horizontal="left"/>
    </xf>
    <xf numFmtId="0" fontId="5" fillId="0" borderId="8" xfId="0" applyFont="1" applyFill="1" applyBorder="1" applyAlignment="1">
      <alignment horizontal="left"/>
    </xf>
    <xf numFmtId="1" fontId="5" fillId="0" borderId="7" xfId="0" applyNumberFormat="1" applyFont="1" applyFill="1" applyBorder="1" applyAlignment="1">
      <alignment horizontal="left"/>
    </xf>
    <xf numFmtId="0" fontId="3" fillId="0" borderId="10" xfId="0" applyFont="1" applyFill="1" applyBorder="1" applyAlignment="1">
      <alignment horizontal="left"/>
    </xf>
    <xf numFmtId="1" fontId="3" fillId="0" borderId="2" xfId="0" applyNumberFormat="1" applyFont="1" applyFill="1" applyBorder="1" applyAlignment="1">
      <alignment horizontal="left"/>
    </xf>
    <xf numFmtId="1" fontId="3" fillId="0" borderId="10" xfId="0" applyNumberFormat="1" applyFont="1" applyFill="1" applyBorder="1" applyAlignment="1">
      <alignment horizontal="left"/>
    </xf>
    <xf numFmtId="10" fontId="3" fillId="0" borderId="1" xfId="1" applyNumberFormat="1" applyFont="1" applyFill="1" applyBorder="1" applyAlignment="1">
      <alignment horizontal="left"/>
    </xf>
    <xf numFmtId="10" fontId="3" fillId="0" borderId="2" xfId="1" applyNumberFormat="1" applyFont="1" applyFill="1" applyBorder="1" applyAlignment="1">
      <alignment horizontal="left"/>
    </xf>
    <xf numFmtId="165" fontId="3" fillId="0" borderId="10" xfId="0" applyNumberFormat="1" applyFont="1" applyFill="1" applyBorder="1" applyAlignment="1">
      <alignment horizontal="left"/>
    </xf>
    <xf numFmtId="165" fontId="3" fillId="0" borderId="2" xfId="0" applyNumberFormat="1" applyFont="1" applyFill="1" applyBorder="1" applyAlignment="1">
      <alignment horizontal="left"/>
    </xf>
    <xf numFmtId="0" fontId="5" fillId="0" borderId="11" xfId="0" applyFont="1" applyFill="1" applyBorder="1" applyAlignment="1">
      <alignment horizontal="left"/>
    </xf>
    <xf numFmtId="0" fontId="3" fillId="0" borderId="12" xfId="0" applyFont="1" applyFill="1" applyBorder="1" applyAlignment="1">
      <alignment horizontal="left"/>
    </xf>
    <xf numFmtId="0" fontId="5" fillId="0" borderId="13" xfId="0" applyFont="1" applyFill="1" applyBorder="1" applyAlignment="1">
      <alignment horizontal="left"/>
    </xf>
    <xf numFmtId="0" fontId="5" fillId="0" borderId="14" xfId="0" applyFont="1" applyFill="1" applyBorder="1" applyAlignment="1">
      <alignment horizontal="left"/>
    </xf>
    <xf numFmtId="0" fontId="5" fillId="0" borderId="15" xfId="0" applyFont="1" applyFill="1" applyBorder="1" applyAlignment="1">
      <alignment horizontal="left"/>
    </xf>
    <xf numFmtId="0" fontId="5" fillId="0" borderId="16" xfId="0" applyFont="1" applyFill="1" applyBorder="1" applyAlignment="1">
      <alignment horizontal="left"/>
    </xf>
    <xf numFmtId="0" fontId="5" fillId="0" borderId="17" xfId="0" applyFont="1" applyFill="1" applyBorder="1" applyAlignment="1">
      <alignment horizontal="left"/>
    </xf>
    <xf numFmtId="1" fontId="5" fillId="0" borderId="18" xfId="0" applyNumberFormat="1" applyFont="1" applyFill="1" applyBorder="1" applyAlignment="1">
      <alignment horizontal="left"/>
    </xf>
    <xf numFmtId="1" fontId="5" fillId="0" borderId="16" xfId="0" applyNumberFormat="1" applyFont="1" applyFill="1" applyBorder="1" applyAlignment="1">
      <alignment horizontal="left"/>
    </xf>
    <xf numFmtId="10" fontId="5" fillId="0" borderId="17" xfId="1" applyNumberFormat="1" applyFont="1" applyFill="1" applyBorder="1" applyAlignment="1">
      <alignment horizontal="left"/>
    </xf>
    <xf numFmtId="10" fontId="5" fillId="0" borderId="18" xfId="1" applyNumberFormat="1" applyFont="1" applyFill="1" applyBorder="1" applyAlignment="1">
      <alignment horizontal="left"/>
    </xf>
    <xf numFmtId="165" fontId="5" fillId="0" borderId="16" xfId="0" applyNumberFormat="1" applyFont="1" applyFill="1" applyBorder="1" applyAlignment="1">
      <alignment horizontal="left"/>
    </xf>
    <xf numFmtId="165" fontId="5" fillId="0" borderId="18" xfId="0" applyNumberFormat="1" applyFont="1" applyFill="1" applyBorder="1" applyAlignment="1">
      <alignment horizontal="left"/>
    </xf>
    <xf numFmtId="0" fontId="5" fillId="0" borderId="19" xfId="0" applyFont="1" applyFill="1" applyBorder="1" applyAlignment="1">
      <alignment horizontal="left"/>
    </xf>
    <xf numFmtId="1" fontId="5" fillId="0" borderId="3" xfId="0" applyNumberFormat="1" applyFont="1" applyFill="1" applyBorder="1" applyAlignment="1">
      <alignment horizontal="left"/>
    </xf>
    <xf numFmtId="1" fontId="5" fillId="0" borderId="19" xfId="0" applyNumberFormat="1" applyFont="1" applyFill="1" applyBorder="1" applyAlignment="1">
      <alignment horizontal="left"/>
    </xf>
    <xf numFmtId="10" fontId="5" fillId="0" borderId="0" xfId="1" applyNumberFormat="1" applyFont="1" applyFill="1" applyAlignment="1">
      <alignment horizontal="left"/>
    </xf>
    <xf numFmtId="10" fontId="5" fillId="0" borderId="3" xfId="1" applyNumberFormat="1" applyFont="1" applyFill="1" applyBorder="1" applyAlignment="1">
      <alignment horizontal="left"/>
    </xf>
    <xf numFmtId="165" fontId="5" fillId="0" borderId="19" xfId="0" applyNumberFormat="1" applyFont="1" applyFill="1" applyBorder="1" applyAlignment="1">
      <alignment horizontal="left"/>
    </xf>
    <xf numFmtId="165" fontId="5" fillId="0" borderId="3" xfId="0" applyNumberFormat="1" applyFont="1" applyFill="1" applyBorder="1" applyAlignment="1">
      <alignment horizontal="left"/>
    </xf>
    <xf numFmtId="0" fontId="5" fillId="0" borderId="10" xfId="0" applyFont="1" applyFill="1" applyBorder="1" applyAlignment="1">
      <alignment horizontal="left"/>
    </xf>
    <xf numFmtId="1" fontId="5" fillId="0" borderId="2" xfId="0" applyNumberFormat="1" applyFont="1" applyFill="1" applyBorder="1" applyAlignment="1">
      <alignment horizontal="left"/>
    </xf>
    <xf numFmtId="1" fontId="5" fillId="0" borderId="10" xfId="0" applyNumberFormat="1" applyFont="1" applyFill="1" applyBorder="1" applyAlignment="1">
      <alignment horizontal="left"/>
    </xf>
    <xf numFmtId="10" fontId="5" fillId="0" borderId="1" xfId="1" applyNumberFormat="1" applyFont="1" applyFill="1" applyBorder="1" applyAlignment="1">
      <alignment horizontal="left"/>
    </xf>
    <xf numFmtId="10" fontId="5" fillId="0" borderId="2" xfId="1" applyNumberFormat="1" applyFont="1" applyFill="1" applyBorder="1" applyAlignment="1">
      <alignment horizontal="left"/>
    </xf>
    <xf numFmtId="165" fontId="5" fillId="0" borderId="10" xfId="0" applyNumberFormat="1" applyFont="1" applyFill="1" applyBorder="1" applyAlignment="1">
      <alignment horizontal="left"/>
    </xf>
    <xf numFmtId="165" fontId="5" fillId="0" borderId="2" xfId="0" applyNumberFormat="1" applyFont="1" applyFill="1" applyBorder="1" applyAlignment="1">
      <alignment horizontal="left"/>
    </xf>
    <xf numFmtId="1" fontId="5" fillId="0" borderId="0" xfId="0" applyNumberFormat="1" applyFont="1" applyFill="1" applyBorder="1" applyAlignment="1">
      <alignment horizontal="left"/>
    </xf>
    <xf numFmtId="10" fontId="5" fillId="0" borderId="0" xfId="1" applyNumberFormat="1" applyFont="1" applyFill="1" applyBorder="1" applyAlignment="1">
      <alignment horizontal="left"/>
    </xf>
    <xf numFmtId="1" fontId="5" fillId="0" borderId="5" xfId="0" applyNumberFormat="1" applyFont="1" applyFill="1" applyBorder="1" applyAlignment="1">
      <alignment horizontal="left"/>
    </xf>
    <xf numFmtId="10" fontId="5" fillId="0" borderId="5" xfId="1" applyNumberFormat="1" applyFont="1" applyFill="1" applyBorder="1" applyAlignment="1">
      <alignment horizontal="left"/>
    </xf>
    <xf numFmtId="1" fontId="5" fillId="0" borderId="20" xfId="0" applyNumberFormat="1" applyFont="1" applyFill="1" applyBorder="1" applyAlignment="1">
      <alignment horizontal="left"/>
    </xf>
    <xf numFmtId="1" fontId="5" fillId="0" borderId="15" xfId="0" applyNumberFormat="1" applyFont="1" applyFill="1" applyBorder="1" applyAlignment="1">
      <alignment horizontal="left"/>
    </xf>
    <xf numFmtId="165" fontId="5" fillId="0" borderId="15" xfId="0" applyNumberFormat="1" applyFont="1" applyFill="1" applyBorder="1" applyAlignment="1">
      <alignment horizontal="left"/>
    </xf>
    <xf numFmtId="165" fontId="5" fillId="0" borderId="20" xfId="0" applyNumberFormat="1" applyFont="1" applyFill="1" applyBorder="1" applyAlignment="1">
      <alignment horizontal="left"/>
    </xf>
    <xf numFmtId="1" fontId="5" fillId="0" borderId="17" xfId="0" applyNumberFormat="1" applyFont="1" applyFill="1" applyBorder="1" applyAlignment="1">
      <alignment horizontal="left"/>
    </xf>
    <xf numFmtId="1" fontId="5" fillId="0" borderId="1" xfId="0" applyNumberFormat="1" applyFont="1" applyFill="1" applyBorder="1" applyAlignment="1">
      <alignment horizontal="left"/>
    </xf>
    <xf numFmtId="0" fontId="5" fillId="0" borderId="21" xfId="0" applyFont="1" applyFill="1" applyBorder="1" applyAlignment="1">
      <alignment horizontal="left"/>
    </xf>
    <xf numFmtId="0" fontId="5" fillId="0" borderId="22" xfId="0" applyFont="1" applyFill="1" applyBorder="1" applyAlignment="1">
      <alignment horizontal="left"/>
    </xf>
    <xf numFmtId="1" fontId="5" fillId="0" borderId="22" xfId="0" applyNumberFormat="1" applyFont="1" applyFill="1" applyBorder="1" applyAlignment="1">
      <alignment horizontal="left"/>
    </xf>
    <xf numFmtId="1" fontId="5" fillId="0" borderId="21" xfId="0" applyNumberFormat="1" applyFont="1" applyFill="1" applyBorder="1" applyAlignment="1">
      <alignment horizontal="left"/>
    </xf>
    <xf numFmtId="1" fontId="5" fillId="0" borderId="23" xfId="0" applyNumberFormat="1" applyFont="1" applyFill="1" applyBorder="1" applyAlignment="1">
      <alignment horizontal="left"/>
    </xf>
    <xf numFmtId="10" fontId="5" fillId="0" borderId="22" xfId="1" applyNumberFormat="1" applyFont="1" applyFill="1" applyBorder="1" applyAlignment="1">
      <alignment horizontal="left"/>
    </xf>
    <xf numFmtId="165" fontId="5" fillId="0" borderId="21" xfId="0" applyNumberFormat="1" applyFont="1" applyFill="1" applyBorder="1" applyAlignment="1">
      <alignment horizontal="left"/>
    </xf>
    <xf numFmtId="165" fontId="5" fillId="0" borderId="23" xfId="0" applyNumberFormat="1" applyFont="1" applyFill="1" applyBorder="1" applyAlignment="1">
      <alignment horizontal="left"/>
    </xf>
    <xf numFmtId="10" fontId="5" fillId="0" borderId="10" xfId="1" applyNumberFormat="1" applyFont="1" applyFill="1" applyBorder="1" applyAlignment="1">
      <alignment horizontal="left"/>
    </xf>
    <xf numFmtId="165" fontId="5" fillId="0" borderId="1" xfId="0" applyNumberFormat="1" applyFont="1" applyFill="1" applyBorder="1" applyAlignment="1">
      <alignment horizontal="left"/>
    </xf>
    <xf numFmtId="10" fontId="5" fillId="0" borderId="1" xfId="0" applyNumberFormat="1" applyFont="1" applyFill="1" applyBorder="1" applyAlignment="1">
      <alignment horizontal="left"/>
    </xf>
    <xf numFmtId="1" fontId="5" fillId="0" borderId="8" xfId="0" applyNumberFormat="1" applyFont="1" applyFill="1" applyBorder="1" applyAlignment="1">
      <alignment horizontal="left"/>
    </xf>
    <xf numFmtId="1" fontId="5" fillId="0" borderId="9" xfId="0" applyNumberFormat="1" applyFont="1" applyFill="1" applyBorder="1" applyAlignment="1">
      <alignment horizontal="left"/>
    </xf>
    <xf numFmtId="10" fontId="5" fillId="0" borderId="7" xfId="1" applyNumberFormat="1" applyFont="1" applyFill="1" applyBorder="1" applyAlignment="1">
      <alignment horizontal="left"/>
    </xf>
    <xf numFmtId="165" fontId="5" fillId="0" borderId="8" xfId="0" applyNumberFormat="1" applyFont="1" applyFill="1" applyBorder="1" applyAlignment="1">
      <alignment horizontal="left"/>
    </xf>
    <xf numFmtId="165" fontId="5" fillId="0" borderId="9" xfId="0" applyNumberFormat="1" applyFont="1" applyFill="1" applyBorder="1" applyAlignment="1">
      <alignment horizontal="left"/>
    </xf>
    <xf numFmtId="165" fontId="5" fillId="0" borderId="24" xfId="0" applyNumberFormat="1" applyFont="1" applyFill="1" applyBorder="1" applyAlignment="1">
      <alignment horizontal="left"/>
    </xf>
    <xf numFmtId="165" fontId="5" fillId="0" borderId="25" xfId="0" applyNumberFormat="1" applyFont="1" applyFill="1" applyBorder="1" applyAlignment="1">
      <alignment horizontal="left"/>
    </xf>
    <xf numFmtId="165" fontId="5" fillId="0" borderId="14" xfId="0" applyNumberFormat="1" applyFont="1" applyFill="1" applyBorder="1" applyAlignment="1">
      <alignment horizontal="left"/>
    </xf>
    <xf numFmtId="165" fontId="5" fillId="0" borderId="26" xfId="0" applyNumberFormat="1" applyFont="1" applyFill="1" applyBorder="1" applyAlignment="1">
      <alignment horizontal="left"/>
    </xf>
    <xf numFmtId="1" fontId="5" fillId="0" borderId="14" xfId="0" applyNumberFormat="1" applyFont="1" applyFill="1" applyBorder="1" applyAlignment="1">
      <alignment horizontal="left"/>
    </xf>
    <xf numFmtId="1" fontId="5" fillId="0" borderId="26" xfId="0" applyNumberFormat="1" applyFont="1" applyFill="1" applyBorder="1" applyAlignment="1">
      <alignment horizontal="left"/>
    </xf>
    <xf numFmtId="1" fontId="5" fillId="0" borderId="12" xfId="0" applyNumberFormat="1" applyFont="1" applyFill="1" applyBorder="1" applyAlignment="1">
      <alignment horizontal="left"/>
    </xf>
    <xf numFmtId="1" fontId="5" fillId="0" borderId="27" xfId="0" applyNumberFormat="1" applyFont="1" applyFill="1" applyBorder="1" applyAlignment="1">
      <alignment horizontal="left"/>
    </xf>
    <xf numFmtId="165" fontId="5" fillId="0" borderId="12" xfId="0" applyNumberFormat="1" applyFont="1" applyFill="1" applyBorder="1" applyAlignment="1">
      <alignment horizontal="left"/>
    </xf>
    <xf numFmtId="165" fontId="5" fillId="0" borderId="27" xfId="0" applyNumberFormat="1" applyFont="1" applyFill="1" applyBorder="1" applyAlignment="1">
      <alignment horizontal="left"/>
    </xf>
    <xf numFmtId="0" fontId="5" fillId="0" borderId="24" xfId="0" applyFont="1" applyBorder="1" applyAlignment="1">
      <alignment horizontal="left"/>
    </xf>
    <xf numFmtId="10" fontId="5" fillId="0" borderId="0" xfId="1" applyNumberFormat="1" applyFont="1" applyAlignment="1">
      <alignment horizontal="left"/>
    </xf>
    <xf numFmtId="1" fontId="5" fillId="0" borderId="24" xfId="0" applyNumberFormat="1" applyFont="1" applyFill="1" applyBorder="1" applyAlignment="1">
      <alignment horizontal="left"/>
    </xf>
    <xf numFmtId="1" fontId="5" fillId="0" borderId="25" xfId="0" applyNumberFormat="1" applyFont="1" applyFill="1" applyBorder="1" applyAlignment="1">
      <alignment horizontal="left"/>
    </xf>
    <xf numFmtId="0" fontId="5" fillId="0" borderId="4" xfId="0" applyFont="1" applyFill="1" applyBorder="1" applyAlignment="1">
      <alignment horizontal="left"/>
    </xf>
    <xf numFmtId="10" fontId="5" fillId="0" borderId="24" xfId="1" applyNumberFormat="1" applyFont="1" applyBorder="1" applyAlignment="1">
      <alignment horizontal="left"/>
    </xf>
    <xf numFmtId="10" fontId="5" fillId="0" borderId="25" xfId="1" applyNumberFormat="1" applyFont="1" applyBorder="1" applyAlignment="1">
      <alignment horizontal="left"/>
    </xf>
    <xf numFmtId="1" fontId="5" fillId="0" borderId="0" xfId="0" applyNumberFormat="1" applyFont="1" applyAlignment="1">
      <alignment horizontal="left"/>
    </xf>
    <xf numFmtId="1" fontId="5" fillId="0" borderId="14" xfId="0" applyNumberFormat="1" applyFont="1" applyBorder="1" applyAlignment="1">
      <alignment horizontal="left"/>
    </xf>
    <xf numFmtId="1" fontId="5" fillId="0" borderId="26" xfId="0" applyNumberFormat="1" applyFont="1" applyBorder="1" applyAlignment="1">
      <alignment horizontal="left"/>
    </xf>
    <xf numFmtId="165" fontId="5" fillId="0" borderId="14" xfId="0" applyNumberFormat="1" applyFont="1" applyBorder="1" applyAlignment="1">
      <alignment horizontal="left"/>
    </xf>
    <xf numFmtId="165" fontId="5" fillId="0" borderId="26" xfId="0" applyNumberFormat="1" applyFont="1" applyBorder="1" applyAlignment="1">
      <alignment horizontal="left"/>
    </xf>
    <xf numFmtId="0" fontId="5" fillId="0" borderId="28" xfId="0" applyFont="1" applyFill="1" applyBorder="1" applyAlignment="1">
      <alignment horizontal="left"/>
    </xf>
    <xf numFmtId="0" fontId="4" fillId="0" borderId="29" xfId="0" applyFont="1" applyBorder="1" applyAlignment="1">
      <alignment horizontal="left"/>
    </xf>
    <xf numFmtId="0" fontId="5" fillId="0" borderId="29" xfId="0" applyFont="1" applyFill="1" applyBorder="1" applyAlignment="1">
      <alignment horizontal="left"/>
    </xf>
    <xf numFmtId="1" fontId="5" fillId="0" borderId="29" xfId="0" applyNumberFormat="1" applyFont="1" applyBorder="1" applyAlignment="1">
      <alignment horizontal="left"/>
    </xf>
    <xf numFmtId="1" fontId="5" fillId="0" borderId="30" xfId="0" applyNumberFormat="1" applyFont="1" applyBorder="1" applyAlignment="1">
      <alignment horizontal="left"/>
    </xf>
    <xf numFmtId="1" fontId="5" fillId="0" borderId="31" xfId="0" applyNumberFormat="1" applyFont="1" applyBorder="1" applyAlignment="1">
      <alignment horizontal="left"/>
    </xf>
    <xf numFmtId="10" fontId="5" fillId="0" borderId="29" xfId="1" applyNumberFormat="1" applyFont="1" applyBorder="1" applyAlignment="1">
      <alignment horizontal="left"/>
    </xf>
    <xf numFmtId="165" fontId="5" fillId="0" borderId="30" xfId="0" applyNumberFormat="1" applyFont="1" applyBorder="1" applyAlignment="1">
      <alignment horizontal="left"/>
    </xf>
    <xf numFmtId="165" fontId="5" fillId="0" borderId="31" xfId="0" applyNumberFormat="1" applyFont="1" applyBorder="1" applyAlignment="1">
      <alignment horizontal="left"/>
    </xf>
    <xf numFmtId="1" fontId="5" fillId="0" borderId="13" xfId="0" applyNumberFormat="1" applyFont="1" applyFill="1" applyBorder="1" applyAlignment="1">
      <alignment horizontal="left"/>
    </xf>
    <xf numFmtId="1" fontId="5" fillId="0" borderId="32" xfId="0" applyNumberFormat="1" applyFont="1" applyFill="1" applyBorder="1" applyAlignment="1">
      <alignment horizontal="left"/>
    </xf>
    <xf numFmtId="165" fontId="5" fillId="0" borderId="13" xfId="0" applyNumberFormat="1" applyFont="1" applyFill="1" applyBorder="1" applyAlignment="1">
      <alignment horizontal="left"/>
    </xf>
    <xf numFmtId="165" fontId="5" fillId="0" borderId="32" xfId="0" applyNumberFormat="1" applyFont="1" applyFill="1" applyBorder="1" applyAlignment="1">
      <alignment horizontal="left"/>
    </xf>
    <xf numFmtId="0" fontId="5" fillId="0" borderId="29" xfId="0" applyFont="1" applyBorder="1" applyAlignment="1">
      <alignment horizontal="left"/>
    </xf>
    <xf numFmtId="1" fontId="5" fillId="0" borderId="11" xfId="0" applyNumberFormat="1" applyFont="1" applyFill="1" applyBorder="1" applyAlignment="1">
      <alignment horizontal="left"/>
    </xf>
    <xf numFmtId="1" fontId="5" fillId="0" borderId="33" xfId="0" applyNumberFormat="1" applyFont="1" applyFill="1" applyBorder="1" applyAlignment="1">
      <alignment horizontal="left"/>
    </xf>
    <xf numFmtId="165" fontId="5" fillId="0" borderId="11" xfId="0" applyNumberFormat="1" applyFont="1" applyFill="1" applyBorder="1" applyAlignment="1">
      <alignment horizontal="left"/>
    </xf>
    <xf numFmtId="165" fontId="5" fillId="0" borderId="33" xfId="0" applyNumberFormat="1" applyFont="1" applyFill="1" applyBorder="1" applyAlignment="1">
      <alignment horizontal="left"/>
    </xf>
    <xf numFmtId="0" fontId="5" fillId="0" borderId="30" xfId="0" applyFont="1" applyBorder="1" applyAlignment="1">
      <alignment horizontal="left"/>
    </xf>
    <xf numFmtId="0" fontId="5" fillId="0" borderId="31" xfId="0" applyFont="1" applyBorder="1" applyAlignment="1">
      <alignment horizontal="left"/>
    </xf>
    <xf numFmtId="0" fontId="4" fillId="0" borderId="7" xfId="0" applyFont="1" applyBorder="1" applyAlignment="1">
      <alignment horizontal="left"/>
    </xf>
    <xf numFmtId="1" fontId="5" fillId="0" borderId="7" xfId="0" applyNumberFormat="1" applyFont="1" applyBorder="1" applyAlignment="1">
      <alignment horizontal="left"/>
    </xf>
    <xf numFmtId="1" fontId="5" fillId="0" borderId="11" xfId="0" applyNumberFormat="1" applyFont="1" applyBorder="1" applyAlignment="1">
      <alignment horizontal="left"/>
    </xf>
    <xf numFmtId="1" fontId="5" fillId="0" borderId="33" xfId="0" applyNumberFormat="1" applyFont="1" applyBorder="1" applyAlignment="1">
      <alignment horizontal="left"/>
    </xf>
    <xf numFmtId="10" fontId="5" fillId="0" borderId="7" xfId="1" applyNumberFormat="1" applyFont="1" applyBorder="1" applyAlignment="1">
      <alignment horizontal="left"/>
    </xf>
    <xf numFmtId="165" fontId="5" fillId="0" borderId="11" xfId="0" applyNumberFormat="1" applyFont="1" applyBorder="1" applyAlignment="1">
      <alignment horizontal="left"/>
    </xf>
    <xf numFmtId="165" fontId="5" fillId="0" borderId="33" xfId="0" applyNumberFormat="1" applyFont="1" applyBorder="1" applyAlignment="1">
      <alignment horizontal="left"/>
    </xf>
    <xf numFmtId="1" fontId="5" fillId="0" borderId="0" xfId="0" applyNumberFormat="1" applyFont="1" applyBorder="1" applyAlignment="1">
      <alignment horizontal="left"/>
    </xf>
    <xf numFmtId="10" fontId="5" fillId="0" borderId="0" xfId="1" applyNumberFormat="1" applyFont="1" applyBorder="1" applyAlignment="1">
      <alignment horizontal="left"/>
    </xf>
    <xf numFmtId="1" fontId="5" fillId="0" borderId="29" xfId="0" applyNumberFormat="1" applyFont="1" applyFill="1" applyBorder="1" applyAlignment="1">
      <alignment horizontal="left"/>
    </xf>
    <xf numFmtId="1" fontId="5" fillId="0" borderId="30" xfId="0" applyNumberFormat="1" applyFont="1" applyFill="1" applyBorder="1" applyAlignment="1">
      <alignment horizontal="left"/>
    </xf>
    <xf numFmtId="1" fontId="5" fillId="0" borderId="31" xfId="0" applyNumberFormat="1" applyFont="1" applyFill="1" applyBorder="1" applyAlignment="1">
      <alignment horizontal="left"/>
    </xf>
    <xf numFmtId="10" fontId="5" fillId="0" borderId="29" xfId="1" applyNumberFormat="1" applyFont="1" applyFill="1" applyBorder="1" applyAlignment="1">
      <alignment horizontal="left"/>
    </xf>
    <xf numFmtId="165" fontId="5" fillId="0" borderId="30" xfId="0" applyNumberFormat="1" applyFont="1" applyFill="1" applyBorder="1" applyAlignment="1">
      <alignment horizontal="left"/>
    </xf>
    <xf numFmtId="165" fontId="5" fillId="0" borderId="31" xfId="0" applyNumberFormat="1" applyFont="1" applyFill="1" applyBorder="1" applyAlignment="1">
      <alignment horizontal="left"/>
    </xf>
    <xf numFmtId="0" fontId="5" fillId="0" borderId="34" xfId="0" applyFont="1" applyFill="1" applyBorder="1" applyAlignment="1">
      <alignment horizontal="left"/>
    </xf>
    <xf numFmtId="1" fontId="5" fillId="0" borderId="5" xfId="0" applyNumberFormat="1" applyFont="1" applyBorder="1" applyAlignment="1">
      <alignment horizontal="left"/>
    </xf>
    <xf numFmtId="1" fontId="5" fillId="0" borderId="15" xfId="0" applyNumberFormat="1" applyFont="1" applyBorder="1" applyAlignment="1">
      <alignment horizontal="left"/>
    </xf>
    <xf numFmtId="1" fontId="5" fillId="0" borderId="20" xfId="0" applyNumberFormat="1" applyFont="1" applyBorder="1" applyAlignment="1">
      <alignment horizontal="left"/>
    </xf>
    <xf numFmtId="10" fontId="5" fillId="0" borderId="5" xfId="1" applyNumberFormat="1" applyFont="1" applyBorder="1" applyAlignment="1">
      <alignment horizontal="left"/>
    </xf>
    <xf numFmtId="165" fontId="5" fillId="0" borderId="15" xfId="0" applyNumberFormat="1" applyFont="1" applyBorder="1" applyAlignment="1">
      <alignment horizontal="left"/>
    </xf>
    <xf numFmtId="165" fontId="5" fillId="0" borderId="20" xfId="0" applyNumberFormat="1" applyFont="1" applyBorder="1" applyAlignment="1">
      <alignment horizontal="left"/>
    </xf>
    <xf numFmtId="10" fontId="5" fillId="0" borderId="0" xfId="0" applyNumberFormat="1" applyFont="1" applyFill="1" applyAlignment="1">
      <alignment horizontal="left"/>
    </xf>
    <xf numFmtId="1" fontId="5" fillId="0" borderId="24" xfId="0" applyNumberFormat="1" applyFont="1" applyBorder="1" applyAlignment="1">
      <alignment horizontal="left"/>
    </xf>
    <xf numFmtId="1" fontId="5" fillId="0" borderId="22" xfId="0" applyNumberFormat="1" applyFont="1" applyBorder="1" applyAlignment="1">
      <alignment horizontal="left"/>
    </xf>
    <xf numFmtId="166" fontId="5" fillId="0" borderId="0" xfId="0" applyNumberFormat="1" applyFont="1" applyAlignment="1">
      <alignment horizontal="left"/>
    </xf>
    <xf numFmtId="2" fontId="5" fillId="0" borderId="22" xfId="0" applyNumberFormat="1" applyFont="1" applyFill="1" applyBorder="1" applyAlignment="1">
      <alignment horizontal="left"/>
    </xf>
    <xf numFmtId="2" fontId="5" fillId="0" borderId="24" xfId="0" applyNumberFormat="1" applyFont="1" applyFill="1" applyBorder="1" applyAlignment="1">
      <alignment horizontal="left"/>
    </xf>
    <xf numFmtId="2" fontId="5" fillId="0" borderId="25" xfId="0" applyNumberFormat="1" applyFont="1" applyFill="1" applyBorder="1" applyAlignment="1">
      <alignment horizontal="left"/>
    </xf>
    <xf numFmtId="167" fontId="5" fillId="0" borderId="26" xfId="0" applyNumberFormat="1" applyFont="1" applyFill="1" applyBorder="1" applyAlignment="1">
      <alignment horizontal="left"/>
    </xf>
    <xf numFmtId="167" fontId="5" fillId="0" borderId="14" xfId="0" applyNumberFormat="1" applyFont="1" applyFill="1" applyBorder="1" applyAlignment="1">
      <alignment horizontal="left"/>
    </xf>
    <xf numFmtId="0" fontId="4" fillId="0" borderId="0" xfId="0" applyFont="1" applyFill="1" applyAlignment="1">
      <alignment horizontal="left"/>
    </xf>
    <xf numFmtId="10" fontId="4" fillId="0" borderId="0" xfId="1" applyNumberFormat="1" applyFont="1" applyFill="1" applyAlignment="1">
      <alignment horizontal="left"/>
    </xf>
    <xf numFmtId="0" fontId="0" fillId="0" borderId="0" xfId="0" applyFill="1"/>
    <xf numFmtId="0" fontId="4" fillId="0" borderId="12" xfId="0" applyFont="1" applyFill="1" applyBorder="1" applyAlignment="1">
      <alignment horizontal="left"/>
    </xf>
    <xf numFmtId="0" fontId="4" fillId="0" borderId="27" xfId="0" applyFont="1" applyFill="1" applyBorder="1" applyAlignment="1">
      <alignment horizontal="left"/>
    </xf>
    <xf numFmtId="167" fontId="4" fillId="0" borderId="12" xfId="0" applyNumberFormat="1" applyFont="1" applyFill="1" applyBorder="1" applyAlignment="1">
      <alignment horizontal="left"/>
    </xf>
    <xf numFmtId="167" fontId="4" fillId="0" borderId="27" xfId="0" applyNumberFormat="1" applyFont="1" applyFill="1" applyBorder="1" applyAlignment="1">
      <alignment horizontal="left"/>
    </xf>
    <xf numFmtId="0" fontId="4" fillId="0" borderId="7" xfId="0" applyFont="1" applyFill="1" applyBorder="1" applyAlignment="1">
      <alignment horizontal="left"/>
    </xf>
    <xf numFmtId="0" fontId="4" fillId="0" borderId="11" xfId="0" applyFont="1" applyFill="1" applyBorder="1" applyAlignment="1">
      <alignment horizontal="left"/>
    </xf>
    <xf numFmtId="0" fontId="4" fillId="0" borderId="33" xfId="0" applyFont="1" applyFill="1" applyBorder="1" applyAlignment="1">
      <alignment horizontal="left"/>
    </xf>
    <xf numFmtId="10" fontId="4" fillId="0" borderId="7" xfId="1" applyNumberFormat="1" applyFont="1" applyFill="1" applyBorder="1" applyAlignment="1">
      <alignment horizontal="left"/>
    </xf>
    <xf numFmtId="167" fontId="4" fillId="0" borderId="11" xfId="0" applyNumberFormat="1" applyFont="1" applyFill="1" applyBorder="1" applyAlignment="1">
      <alignment horizontal="left"/>
    </xf>
    <xf numFmtId="167" fontId="4" fillId="0" borderId="33" xfId="0" applyNumberFormat="1" applyFont="1" applyFill="1" applyBorder="1" applyAlignment="1">
      <alignment horizontal="left"/>
    </xf>
    <xf numFmtId="49" fontId="5" fillId="0" borderId="5" xfId="0" applyNumberFormat="1" applyFont="1" applyFill="1" applyBorder="1" applyAlignment="1">
      <alignment horizontal="left"/>
    </xf>
    <xf numFmtId="1" fontId="5" fillId="0" borderId="6" xfId="0" applyNumberFormat="1" applyFont="1" applyFill="1" applyBorder="1" applyAlignment="1">
      <alignment horizontal="left"/>
    </xf>
    <xf numFmtId="1" fontId="5" fillId="0" borderId="34" xfId="0" applyNumberFormat="1" applyFont="1" applyFill="1" applyBorder="1" applyAlignment="1">
      <alignment horizontal="left"/>
    </xf>
    <xf numFmtId="165" fontId="5" fillId="0" borderId="34" xfId="0" applyNumberFormat="1" applyFont="1" applyFill="1" applyBorder="1" applyAlignment="1">
      <alignment horizontal="left"/>
    </xf>
    <xf numFmtId="165" fontId="5" fillId="0" borderId="6" xfId="0" applyNumberFormat="1" applyFont="1" applyFill="1" applyBorder="1" applyAlignment="1">
      <alignment horizontal="left"/>
    </xf>
    <xf numFmtId="0" fontId="5" fillId="0" borderId="20" xfId="0" applyFont="1" applyFill="1" applyBorder="1" applyAlignment="1">
      <alignment horizontal="left"/>
    </xf>
    <xf numFmtId="0" fontId="5" fillId="0" borderId="30" xfId="0" applyFont="1" applyFill="1" applyBorder="1" applyAlignment="1">
      <alignment horizontal="left"/>
    </xf>
    <xf numFmtId="0" fontId="5" fillId="0" borderId="35" xfId="0" applyFont="1" applyFill="1" applyBorder="1" applyAlignment="1">
      <alignment horizontal="left"/>
    </xf>
    <xf numFmtId="49" fontId="5" fillId="0" borderId="29" xfId="0" applyNumberFormat="1" applyFont="1" applyFill="1" applyBorder="1" applyAlignment="1">
      <alignment horizontal="left"/>
    </xf>
    <xf numFmtId="0" fontId="5" fillId="0" borderId="9" xfId="0" applyFont="1" applyFill="1" applyBorder="1" applyAlignment="1">
      <alignment horizontal="left"/>
    </xf>
    <xf numFmtId="0" fontId="4" fillId="0" borderId="0" xfId="0" applyFont="1" applyFill="1" applyBorder="1" applyAlignment="1">
      <alignment horizontal="left"/>
    </xf>
    <xf numFmtId="0" fontId="4" fillId="0" borderId="5" xfId="0" applyFont="1" applyFill="1" applyBorder="1" applyAlignment="1">
      <alignment horizontal="left"/>
    </xf>
    <xf numFmtId="0" fontId="6" fillId="0" borderId="5" xfId="0" applyFont="1" applyFill="1" applyBorder="1" applyAlignment="1">
      <alignment horizontal="left"/>
    </xf>
    <xf numFmtId="164" fontId="5" fillId="0" borderId="5" xfId="0" applyNumberFormat="1" applyFont="1" applyFill="1" applyBorder="1" applyAlignment="1">
      <alignment horizontal="left"/>
    </xf>
    <xf numFmtId="0" fontId="4" fillId="0" borderId="22" xfId="0" applyFont="1" applyBorder="1" applyAlignment="1">
      <alignment horizontal="left"/>
    </xf>
    <xf numFmtId="0" fontId="5" fillId="0" borderId="22" xfId="0" applyFont="1" applyBorder="1" applyAlignment="1">
      <alignment horizontal="left"/>
    </xf>
    <xf numFmtId="0" fontId="5" fillId="0" borderId="23" xfId="0" applyFont="1" applyFill="1" applyBorder="1" applyAlignment="1">
      <alignment horizontal="left"/>
    </xf>
    <xf numFmtId="49" fontId="5" fillId="0" borderId="22" xfId="0" applyNumberFormat="1" applyFont="1" applyFill="1" applyBorder="1" applyAlignment="1">
      <alignment horizontal="left"/>
    </xf>
    <xf numFmtId="0" fontId="5" fillId="0" borderId="24" xfId="0" applyFont="1" applyFill="1" applyBorder="1" applyAlignment="1">
      <alignment horizontal="left"/>
    </xf>
    <xf numFmtId="0" fontId="5" fillId="0" borderId="5" xfId="0" applyFont="1" applyBorder="1" applyAlignment="1">
      <alignment horizontal="left"/>
    </xf>
    <xf numFmtId="0" fontId="4" fillId="0" borderId="5" xfId="0" applyFont="1" applyBorder="1" applyAlignment="1">
      <alignment horizontal="left" vertical="center"/>
    </xf>
    <xf numFmtId="0" fontId="4" fillId="0" borderId="37" xfId="0" applyFont="1" applyBorder="1" applyAlignment="1">
      <alignment horizontal="left"/>
    </xf>
    <xf numFmtId="0" fontId="7" fillId="0" borderId="37" xfId="0" applyFont="1" applyBorder="1" applyAlignment="1">
      <alignment horizontal="left"/>
    </xf>
    <xf numFmtId="0" fontId="5" fillId="0" borderId="38" xfId="0" applyFont="1" applyFill="1" applyBorder="1" applyAlignment="1">
      <alignment horizontal="left"/>
    </xf>
    <xf numFmtId="0" fontId="5" fillId="0" borderId="37" xfId="0" applyFont="1" applyFill="1" applyBorder="1" applyAlignment="1">
      <alignment horizontal="left"/>
    </xf>
    <xf numFmtId="49" fontId="5" fillId="0" borderId="37" xfId="0" applyNumberFormat="1" applyFont="1" applyFill="1" applyBorder="1" applyAlignment="1">
      <alignment horizontal="left"/>
    </xf>
    <xf numFmtId="0" fontId="5" fillId="0" borderId="39" xfId="0" applyFont="1" applyFill="1" applyBorder="1" applyAlignment="1">
      <alignment horizontal="left"/>
    </xf>
    <xf numFmtId="0" fontId="5" fillId="0" borderId="40" xfId="0" applyFont="1" applyFill="1" applyBorder="1" applyAlignment="1">
      <alignment horizontal="left"/>
    </xf>
    <xf numFmtId="0" fontId="5" fillId="0" borderId="36" xfId="0" applyFont="1" applyFill="1" applyBorder="1" applyAlignment="1">
      <alignment horizontal="left"/>
    </xf>
    <xf numFmtId="0" fontId="5" fillId="0" borderId="41" xfId="0" applyFont="1" applyFill="1" applyBorder="1" applyAlignment="1">
      <alignment horizontal="left"/>
    </xf>
    <xf numFmtId="0" fontId="5" fillId="0" borderId="36" xfId="0" applyFont="1" applyBorder="1" applyAlignment="1">
      <alignment horizontal="left"/>
    </xf>
    <xf numFmtId="0" fontId="5" fillId="0" borderId="42" xfId="0" applyFont="1" applyBorder="1" applyAlignment="1">
      <alignment horizontal="left"/>
    </xf>
    <xf numFmtId="0" fontId="5" fillId="0" borderId="43" xfId="0" applyFont="1" applyBorder="1" applyAlignment="1">
      <alignment horizontal="left"/>
    </xf>
    <xf numFmtId="10" fontId="5" fillId="0" borderId="36" xfId="1" applyNumberFormat="1" applyFont="1" applyBorder="1" applyAlignment="1">
      <alignment horizontal="left"/>
    </xf>
    <xf numFmtId="1" fontId="3" fillId="0" borderId="8" xfId="0" applyNumberFormat="1" applyFont="1" applyFill="1" applyBorder="1" applyAlignment="1">
      <alignment horizontal="left"/>
    </xf>
    <xf numFmtId="1" fontId="3" fillId="0" borderId="9" xfId="0" applyNumberFormat="1" applyFont="1" applyFill="1" applyBorder="1" applyAlignment="1">
      <alignment horizontal="left"/>
    </xf>
    <xf numFmtId="10" fontId="3" fillId="0" borderId="8" xfId="1" applyNumberFormat="1" applyFont="1" applyFill="1" applyBorder="1" applyAlignment="1">
      <alignment horizontal="left"/>
    </xf>
    <xf numFmtId="10" fontId="3" fillId="0" borderId="9" xfId="1" applyNumberFormat="1" applyFont="1" applyFill="1" applyBorder="1" applyAlignment="1">
      <alignment horizontal="left"/>
    </xf>
    <xf numFmtId="165" fontId="3" fillId="0" borderId="8" xfId="0" applyNumberFormat="1" applyFont="1" applyFill="1" applyBorder="1" applyAlignment="1">
      <alignment horizontal="left"/>
    </xf>
    <xf numFmtId="165" fontId="3" fillId="0" borderId="9" xfId="0" applyNumberFormat="1" applyFont="1" applyFill="1" applyBorder="1" applyAlignment="1">
      <alignment horizontal="left"/>
    </xf>
    <xf numFmtId="10" fontId="3" fillId="0" borderId="7" xfId="1" applyNumberFormat="1" applyFont="1" applyFill="1" applyBorder="1" applyAlignment="1">
      <alignment horizontal="left"/>
    </xf>
  </cellXfs>
  <cellStyles count="2">
    <cellStyle name="Normal" xfId="0" builtinId="0"/>
    <cellStyle name="Percent" xfId="1" builtinId="5"/>
  </cellStyles>
  <dxfs count="0"/>
  <tableStyles count="0" defaultTableStyle="TableStyleMedium9" defaultPivotStyle="PivotStyleMedium7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5" Type="http://schemas.openxmlformats.org/officeDocument/2006/relationships/calcChain" Target="calcChain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334"/>
  <sheetViews>
    <sheetView tabSelected="1" topLeftCell="A116" zoomScale="89" zoomScaleNormal="89" zoomScalePageLayoutView="89" workbookViewId="0">
      <selection activeCell="T123" sqref="T123"/>
    </sheetView>
  </sheetViews>
  <sheetFormatPr baseColWidth="10" defaultRowHeight="16" x14ac:dyDescent="0.2"/>
  <cols>
    <col min="1" max="1" width="27.6640625" style="12" bestFit="1" customWidth="1"/>
    <col min="2" max="2" width="15.83203125" style="2" bestFit="1" customWidth="1"/>
    <col min="3" max="3" width="14.1640625" style="2" bestFit="1" customWidth="1"/>
    <col min="4" max="4" width="34.5" style="2" bestFit="1" customWidth="1"/>
    <col min="5" max="5" width="13.83203125" style="2" bestFit="1" customWidth="1"/>
    <col min="6" max="6" width="12.5" style="2" bestFit="1" customWidth="1"/>
    <col min="7" max="7" width="12" style="2" bestFit="1" customWidth="1"/>
    <col min="8" max="8" width="16.6640625" style="2" bestFit="1" customWidth="1"/>
    <col min="9" max="9" width="15.6640625" style="2" bestFit="1" customWidth="1"/>
    <col min="10" max="10" width="16.33203125" style="2" bestFit="1" customWidth="1"/>
    <col min="11" max="12" width="8" style="2" bestFit="1" customWidth="1"/>
    <col min="13" max="13" width="7.83203125" style="2" bestFit="1" customWidth="1"/>
    <col min="14" max="14" width="8" style="2" bestFit="1" customWidth="1"/>
    <col min="15" max="16" width="7.5" style="2" bestFit="1" customWidth="1"/>
    <col min="17" max="17" width="7.33203125" style="2" bestFit="1" customWidth="1"/>
    <col min="18" max="19" width="16.83203125" style="2" bestFit="1" customWidth="1"/>
    <col min="20" max="20" width="16" style="2" bestFit="1" customWidth="1"/>
    <col min="25" max="26" width="13.33203125" bestFit="1" customWidth="1"/>
    <col min="27" max="32" width="11" bestFit="1" customWidth="1"/>
    <col min="33" max="33" width="11.83203125" bestFit="1" customWidth="1"/>
  </cols>
  <sheetData>
    <row r="1" spans="1:33" x14ac:dyDescent="0.2">
      <c r="A1" s="19"/>
      <c r="B1" s="20"/>
      <c r="C1" s="30"/>
      <c r="D1" s="20"/>
      <c r="E1" s="20"/>
      <c r="F1" s="20"/>
      <c r="G1" s="20"/>
      <c r="H1" s="30"/>
      <c r="I1" s="20"/>
      <c r="J1" s="20"/>
      <c r="K1" s="20"/>
      <c r="L1" s="20"/>
      <c r="M1" s="20"/>
      <c r="N1" s="20"/>
      <c r="O1" s="20"/>
      <c r="P1" s="20"/>
      <c r="Q1" s="20"/>
      <c r="R1" s="20"/>
      <c r="S1" s="20"/>
      <c r="T1" s="20"/>
      <c r="U1" s="21"/>
      <c r="V1" s="20"/>
      <c r="W1" s="20"/>
      <c r="X1" s="20"/>
      <c r="Y1" s="22"/>
      <c r="Z1" s="203" t="s">
        <v>363</v>
      </c>
      <c r="AA1" s="204"/>
      <c r="AB1" s="205" t="s">
        <v>364</v>
      </c>
      <c r="AC1" s="206"/>
      <c r="AD1" s="207" t="s">
        <v>365</v>
      </c>
      <c r="AE1" s="208"/>
      <c r="AF1" s="205" t="s">
        <v>366</v>
      </c>
      <c r="AG1" s="209"/>
    </row>
    <row r="2" spans="1:33" x14ac:dyDescent="0.2">
      <c r="A2" s="16" t="s">
        <v>0</v>
      </c>
      <c r="B2" s="17" t="s">
        <v>1</v>
      </c>
      <c r="C2" s="31" t="s">
        <v>2</v>
      </c>
      <c r="D2" s="17" t="s">
        <v>3</v>
      </c>
      <c r="E2" s="17" t="s">
        <v>4</v>
      </c>
      <c r="F2" s="17" t="s">
        <v>5</v>
      </c>
      <c r="G2" s="17" t="s">
        <v>6</v>
      </c>
      <c r="H2" s="31" t="s">
        <v>7</v>
      </c>
      <c r="I2" s="18" t="s">
        <v>8</v>
      </c>
      <c r="J2" s="17" t="s">
        <v>9</v>
      </c>
      <c r="K2" s="17" t="s">
        <v>10</v>
      </c>
      <c r="L2" s="17" t="s">
        <v>11</v>
      </c>
      <c r="M2" s="17" t="s">
        <v>12</v>
      </c>
      <c r="N2" s="17" t="s">
        <v>13</v>
      </c>
      <c r="O2" s="17" t="s">
        <v>14</v>
      </c>
      <c r="P2" s="17" t="s">
        <v>15</v>
      </c>
      <c r="Q2" s="17" t="s">
        <v>16</v>
      </c>
      <c r="R2" s="17" t="s">
        <v>17</v>
      </c>
      <c r="S2" s="17" t="s">
        <v>18</v>
      </c>
      <c r="T2" s="17" t="s">
        <v>19</v>
      </c>
      <c r="U2" s="23" t="s">
        <v>367</v>
      </c>
      <c r="V2" s="17" t="s">
        <v>368</v>
      </c>
      <c r="W2" s="17" t="s">
        <v>5</v>
      </c>
      <c r="X2" s="17" t="s">
        <v>369</v>
      </c>
      <c r="Y2" s="24" t="s">
        <v>370</v>
      </c>
      <c r="Z2" s="25" t="s">
        <v>371</v>
      </c>
      <c r="AA2" s="24" t="s">
        <v>372</v>
      </c>
      <c r="AB2" s="26" t="s">
        <v>371</v>
      </c>
      <c r="AC2" s="27" t="s">
        <v>372</v>
      </c>
      <c r="AD2" s="28" t="s">
        <v>371</v>
      </c>
      <c r="AE2" s="29" t="s">
        <v>372</v>
      </c>
      <c r="AF2" s="26" t="s">
        <v>371</v>
      </c>
      <c r="AG2" s="26" t="s">
        <v>372</v>
      </c>
    </row>
    <row r="3" spans="1:33" x14ac:dyDescent="0.2">
      <c r="A3" s="1" t="s">
        <v>20</v>
      </c>
      <c r="B3" s="2" t="s">
        <v>21</v>
      </c>
      <c r="C3" s="32">
        <v>386</v>
      </c>
      <c r="D3" s="2" t="s">
        <v>22</v>
      </c>
      <c r="E3" s="2" t="s">
        <v>23</v>
      </c>
      <c r="F3" s="2" t="s">
        <v>24</v>
      </c>
      <c r="G3" s="3" t="s">
        <v>25</v>
      </c>
      <c r="H3" s="2" t="s">
        <v>26</v>
      </c>
      <c r="I3" s="4" t="s">
        <v>27</v>
      </c>
      <c r="J3" s="2">
        <v>2</v>
      </c>
      <c r="K3" s="2" t="s">
        <v>28</v>
      </c>
      <c r="L3" s="2" t="s">
        <v>29</v>
      </c>
      <c r="T3" s="2" t="s">
        <v>30</v>
      </c>
      <c r="U3" s="35">
        <v>1</v>
      </c>
      <c r="V3" s="36" t="s">
        <v>29</v>
      </c>
      <c r="W3" s="36" t="s">
        <v>24</v>
      </c>
      <c r="X3" s="36" t="s">
        <v>373</v>
      </c>
      <c r="Y3" s="37" t="s">
        <v>374</v>
      </c>
      <c r="Z3" s="38" t="s">
        <v>375</v>
      </c>
      <c r="AA3" s="37" t="s">
        <v>376</v>
      </c>
      <c r="AB3" s="39">
        <v>4.1535869000000003E-2</v>
      </c>
      <c r="AC3" s="40">
        <v>0.42215373099999998</v>
      </c>
      <c r="AD3" s="41">
        <v>1.019740112</v>
      </c>
      <c r="AE3" s="42">
        <v>45.231036549999999</v>
      </c>
      <c r="AF3" s="39">
        <v>0.70376756699999998</v>
      </c>
      <c r="AG3" s="39">
        <v>2.0375300000000001E-4</v>
      </c>
    </row>
    <row r="4" spans="1:33" x14ac:dyDescent="0.2">
      <c r="A4" s="13"/>
      <c r="B4" s="14"/>
      <c r="C4" s="34"/>
      <c r="D4" s="14"/>
      <c r="E4" s="14"/>
      <c r="F4" s="14"/>
      <c r="G4" s="15"/>
      <c r="H4" s="14"/>
      <c r="I4" s="169"/>
      <c r="J4" s="14"/>
      <c r="K4" s="14"/>
      <c r="L4" s="14"/>
      <c r="M4" s="14"/>
      <c r="N4" s="14"/>
      <c r="O4" s="14"/>
      <c r="P4" s="14"/>
      <c r="Q4" s="14"/>
      <c r="R4" s="14"/>
      <c r="S4" s="14"/>
      <c r="T4" s="15"/>
      <c r="U4" s="43">
        <v>2</v>
      </c>
      <c r="V4" s="2" t="s">
        <v>28</v>
      </c>
      <c r="W4" s="2" t="s">
        <v>24</v>
      </c>
      <c r="X4" s="2" t="s">
        <v>373</v>
      </c>
      <c r="Y4" s="44" t="s">
        <v>377</v>
      </c>
      <c r="Z4" s="45" t="s">
        <v>378</v>
      </c>
      <c r="AA4" s="44" t="s">
        <v>379</v>
      </c>
      <c r="AB4" s="46">
        <v>4.0478856000000001E-2</v>
      </c>
      <c r="AC4" s="47">
        <v>0.45763845199999997</v>
      </c>
      <c r="AD4" s="48">
        <v>1.254018984</v>
      </c>
      <c r="AE4" s="49">
        <v>50.967705209999998</v>
      </c>
      <c r="AF4" s="46">
        <v>0.70325253099999996</v>
      </c>
      <c r="AG4" s="46">
        <v>1.8528300000000001E-4</v>
      </c>
    </row>
    <row r="5" spans="1:33" x14ac:dyDescent="0.2">
      <c r="A5" s="1" t="s">
        <v>31</v>
      </c>
      <c r="B5" s="2" t="s">
        <v>32</v>
      </c>
      <c r="C5" s="33">
        <v>538</v>
      </c>
      <c r="D5" s="2" t="s">
        <v>22</v>
      </c>
      <c r="E5" s="2" t="s">
        <v>23</v>
      </c>
      <c r="F5" s="2" t="s">
        <v>24</v>
      </c>
      <c r="G5" s="3" t="s">
        <v>25</v>
      </c>
      <c r="H5" s="2" t="s">
        <v>26</v>
      </c>
      <c r="I5" s="4" t="s">
        <v>33</v>
      </c>
      <c r="J5" s="2">
        <v>3</v>
      </c>
      <c r="K5" s="2" t="s">
        <v>34</v>
      </c>
      <c r="L5" s="2" t="s">
        <v>35</v>
      </c>
      <c r="M5" s="2" t="s">
        <v>36</v>
      </c>
      <c r="T5" s="2" t="s">
        <v>30</v>
      </c>
      <c r="U5" s="35">
        <v>1</v>
      </c>
      <c r="V5" s="36" t="s">
        <v>35</v>
      </c>
      <c r="W5" s="36" t="s">
        <v>24</v>
      </c>
      <c r="X5" s="36" t="s">
        <v>373</v>
      </c>
      <c r="Y5" s="37" t="s">
        <v>380</v>
      </c>
      <c r="Z5" s="38" t="s">
        <v>381</v>
      </c>
      <c r="AA5" s="37" t="s">
        <v>382</v>
      </c>
      <c r="AB5" s="39">
        <v>2.6175929000000001E-2</v>
      </c>
      <c r="AC5" s="40">
        <v>0.18843912900000001</v>
      </c>
      <c r="AD5" s="41">
        <v>0.53506429799999999</v>
      </c>
      <c r="AE5" s="42">
        <v>17.756440980000001</v>
      </c>
      <c r="AF5" s="39">
        <v>0.45486912600000001</v>
      </c>
      <c r="AG5" s="39">
        <v>1.03445E-4</v>
      </c>
    </row>
    <row r="6" spans="1:33" x14ac:dyDescent="0.2">
      <c r="A6" s="1"/>
      <c r="C6" s="33"/>
      <c r="G6" s="3"/>
      <c r="I6" s="4"/>
      <c r="U6" s="43">
        <v>2</v>
      </c>
      <c r="V6" s="11" t="s">
        <v>36</v>
      </c>
      <c r="W6" s="11" t="s">
        <v>24</v>
      </c>
      <c r="X6" s="11" t="s">
        <v>373</v>
      </c>
      <c r="Y6" s="44" t="s">
        <v>383</v>
      </c>
      <c r="Z6" s="45" t="s">
        <v>384</v>
      </c>
      <c r="AA6" s="44" t="s">
        <v>385</v>
      </c>
      <c r="AB6" s="58">
        <v>3.6896414000000002E-2</v>
      </c>
      <c r="AC6" s="47">
        <v>0.26075974000000002</v>
      </c>
      <c r="AD6" s="48">
        <v>0.84571730300000003</v>
      </c>
      <c r="AE6" s="49">
        <v>25.897303770000001</v>
      </c>
      <c r="AF6" s="58">
        <v>0.45363326500000001</v>
      </c>
      <c r="AG6" s="58">
        <v>9.3999999999999994E-5</v>
      </c>
    </row>
    <row r="7" spans="1:33" x14ac:dyDescent="0.2">
      <c r="A7" s="13"/>
      <c r="B7" s="14"/>
      <c r="C7" s="34"/>
      <c r="D7" s="14"/>
      <c r="E7" s="14"/>
      <c r="F7" s="14"/>
      <c r="G7" s="15"/>
      <c r="H7" s="14"/>
      <c r="I7" s="169"/>
      <c r="J7" s="14"/>
      <c r="K7" s="14"/>
      <c r="L7" s="14"/>
      <c r="M7" s="14"/>
      <c r="N7" s="14"/>
      <c r="O7" s="14"/>
      <c r="P7" s="14"/>
      <c r="Q7" s="14"/>
      <c r="R7" s="14"/>
      <c r="S7" s="14"/>
      <c r="T7" s="174"/>
      <c r="U7" s="34">
        <v>3</v>
      </c>
      <c r="V7" s="14" t="s">
        <v>34</v>
      </c>
      <c r="W7" s="14" t="s">
        <v>24</v>
      </c>
      <c r="X7" s="14" t="s">
        <v>373</v>
      </c>
      <c r="Y7" s="59" t="s">
        <v>386</v>
      </c>
      <c r="Z7" s="62" t="s">
        <v>387</v>
      </c>
      <c r="AA7" s="61" t="s">
        <v>388</v>
      </c>
      <c r="AB7" s="60">
        <v>1.8437901999999999E-2</v>
      </c>
      <c r="AC7" s="60">
        <v>6.0850439999999999E-2</v>
      </c>
      <c r="AD7" s="63">
        <v>0.11045738400000001</v>
      </c>
      <c r="AE7" s="64">
        <v>4.0951467939999997</v>
      </c>
      <c r="AF7" s="60">
        <v>0.45982741599999999</v>
      </c>
      <c r="AG7" s="60">
        <v>1.21254E-4</v>
      </c>
    </row>
    <row r="8" spans="1:33" x14ac:dyDescent="0.2">
      <c r="A8" s="1" t="s">
        <v>37</v>
      </c>
      <c r="B8" s="2" t="s">
        <v>38</v>
      </c>
      <c r="C8" s="33">
        <v>345</v>
      </c>
      <c r="D8" s="2" t="s">
        <v>22</v>
      </c>
      <c r="E8" s="2" t="s">
        <v>23</v>
      </c>
      <c r="F8" s="2" t="s">
        <v>24</v>
      </c>
      <c r="G8" s="3" t="s">
        <v>25</v>
      </c>
      <c r="H8" s="2" t="s">
        <v>26</v>
      </c>
      <c r="I8" s="4" t="s">
        <v>39</v>
      </c>
      <c r="J8" s="2">
        <v>3</v>
      </c>
      <c r="K8" s="2" t="s">
        <v>40</v>
      </c>
      <c r="L8" s="2" t="s">
        <v>41</v>
      </c>
      <c r="M8" s="2" t="s">
        <v>42</v>
      </c>
      <c r="T8" s="2" t="s">
        <v>30</v>
      </c>
      <c r="U8" s="35">
        <v>1</v>
      </c>
      <c r="V8" s="36" t="s">
        <v>41</v>
      </c>
      <c r="W8" s="36" t="s">
        <v>24</v>
      </c>
      <c r="X8" s="36" t="s">
        <v>373</v>
      </c>
      <c r="Y8" s="65" t="s">
        <v>389</v>
      </c>
      <c r="Z8" s="38" t="s">
        <v>390</v>
      </c>
      <c r="AA8" s="37" t="s">
        <v>391</v>
      </c>
      <c r="AB8" s="39">
        <v>4.0842963000000003E-2</v>
      </c>
      <c r="AC8" s="39">
        <v>0.28667001199999997</v>
      </c>
      <c r="AD8" s="41">
        <v>0.86068404099999996</v>
      </c>
      <c r="AE8" s="42">
        <v>32.473996409999998</v>
      </c>
      <c r="AF8" s="39">
        <v>0.56257644100000004</v>
      </c>
      <c r="AG8" s="39">
        <v>1.39207E-4</v>
      </c>
    </row>
    <row r="9" spans="1:33" x14ac:dyDescent="0.2">
      <c r="A9" s="1"/>
      <c r="C9" s="33"/>
      <c r="G9" s="3"/>
      <c r="I9" s="4"/>
      <c r="U9" s="43">
        <v>2</v>
      </c>
      <c r="V9" s="2" t="s">
        <v>40</v>
      </c>
      <c r="W9" s="2" t="s">
        <v>24</v>
      </c>
      <c r="X9" s="2" t="s">
        <v>373</v>
      </c>
      <c r="Y9" s="5" t="s">
        <v>392</v>
      </c>
      <c r="Z9" s="45" t="s">
        <v>393</v>
      </c>
      <c r="AA9" s="44" t="s">
        <v>394</v>
      </c>
      <c r="AB9" s="46">
        <v>6.9473673E-2</v>
      </c>
      <c r="AC9" s="46">
        <v>0.41465000699999999</v>
      </c>
      <c r="AD9" s="48">
        <v>1.519481858</v>
      </c>
      <c r="AE9" s="49">
        <v>49.373696819999999</v>
      </c>
      <c r="AF9" s="46">
        <v>0.54764771700000003</v>
      </c>
      <c r="AG9" s="46">
        <v>1.1359899999999999E-4</v>
      </c>
    </row>
    <row r="10" spans="1:33" x14ac:dyDescent="0.2">
      <c r="A10" s="13"/>
      <c r="B10" s="14"/>
      <c r="C10" s="34"/>
      <c r="D10" s="14"/>
      <c r="E10" s="14"/>
      <c r="F10" s="14"/>
      <c r="G10" s="15"/>
      <c r="H10" s="14"/>
      <c r="I10" s="169"/>
      <c r="J10" s="14"/>
      <c r="K10" s="14"/>
      <c r="L10" s="14"/>
      <c r="M10" s="14"/>
      <c r="N10" s="14"/>
      <c r="O10" s="14"/>
      <c r="P10" s="14"/>
      <c r="Q10" s="14"/>
      <c r="R10" s="14"/>
      <c r="S10" s="14"/>
      <c r="T10" s="15"/>
      <c r="U10" s="50">
        <v>3</v>
      </c>
      <c r="V10" s="8" t="s">
        <v>42</v>
      </c>
      <c r="W10" s="8" t="s">
        <v>24</v>
      </c>
      <c r="X10" s="8" t="s">
        <v>373</v>
      </c>
      <c r="Y10" s="66" t="s">
        <v>395</v>
      </c>
      <c r="Z10" s="52" t="s">
        <v>396</v>
      </c>
      <c r="AA10" s="51" t="s">
        <v>397</v>
      </c>
      <c r="AB10" s="53">
        <v>5.2895862000000002E-2</v>
      </c>
      <c r="AC10" s="53">
        <v>0.37598468299999999</v>
      </c>
      <c r="AD10" s="55">
        <v>1.315327025</v>
      </c>
      <c r="AE10" s="56">
        <v>44.511863390000002</v>
      </c>
      <c r="AF10" s="53">
        <v>0.55176930599999996</v>
      </c>
      <c r="AG10" s="53">
        <v>1.2021199999999999E-4</v>
      </c>
    </row>
    <row r="11" spans="1:33" x14ac:dyDescent="0.2">
      <c r="A11" s="1" t="s">
        <v>43</v>
      </c>
      <c r="B11" s="2" t="s">
        <v>44</v>
      </c>
      <c r="C11" s="33">
        <v>535</v>
      </c>
      <c r="D11" s="2" t="s">
        <v>22</v>
      </c>
      <c r="E11" s="2" t="s">
        <v>23</v>
      </c>
      <c r="F11" s="2" t="s">
        <v>24</v>
      </c>
      <c r="G11" s="3" t="s">
        <v>25</v>
      </c>
      <c r="H11" s="2" t="s">
        <v>26</v>
      </c>
      <c r="I11" s="2">
        <v>9</v>
      </c>
      <c r="J11" s="2">
        <v>3</v>
      </c>
      <c r="K11" s="2" t="s">
        <v>45</v>
      </c>
      <c r="L11" s="2" t="s">
        <v>46</v>
      </c>
      <c r="M11" s="2" t="s">
        <v>47</v>
      </c>
      <c r="T11" s="2" t="s">
        <v>30</v>
      </c>
      <c r="U11" s="43">
        <v>1</v>
      </c>
      <c r="V11" s="2" t="s">
        <v>45</v>
      </c>
      <c r="W11" s="2" t="s">
        <v>24</v>
      </c>
      <c r="X11" s="2" t="s">
        <v>373</v>
      </c>
      <c r="Y11" s="5">
        <v>13383183</v>
      </c>
      <c r="Z11" s="45">
        <v>9442496</v>
      </c>
      <c r="AA11" s="44">
        <v>2945</v>
      </c>
      <c r="AB11" s="46">
        <v>3.0656123E-2</v>
      </c>
      <c r="AC11" s="46">
        <v>0.12481426399999999</v>
      </c>
      <c r="AD11" s="48">
        <v>0.209916238</v>
      </c>
      <c r="AE11" s="49">
        <v>9.7159976029999999</v>
      </c>
      <c r="AF11" s="46">
        <v>0.70554934499999999</v>
      </c>
      <c r="AG11" s="46">
        <v>2.2005200000000001E-4</v>
      </c>
    </row>
    <row r="12" spans="1:33" x14ac:dyDescent="0.2">
      <c r="A12" s="1"/>
      <c r="C12" s="33"/>
      <c r="G12" s="3"/>
      <c r="U12" s="43">
        <v>2</v>
      </c>
      <c r="V12" s="2" t="s">
        <v>46</v>
      </c>
      <c r="W12" s="2" t="s">
        <v>24</v>
      </c>
      <c r="X12" s="2" t="s">
        <v>373</v>
      </c>
      <c r="Y12" s="5">
        <v>25898874</v>
      </c>
      <c r="Z12" s="45">
        <v>18313629</v>
      </c>
      <c r="AA12" s="44">
        <v>5290</v>
      </c>
      <c r="AB12" s="46">
        <v>2.7428826E-2</v>
      </c>
      <c r="AC12" s="46">
        <v>0.187653563</v>
      </c>
      <c r="AD12" s="48">
        <v>0.41190797099999998</v>
      </c>
      <c r="AE12" s="49">
        <v>17.85710006</v>
      </c>
      <c r="AF12" s="46">
        <v>0.70712066500000004</v>
      </c>
      <c r="AG12" s="46">
        <v>2.0425599999999999E-4</v>
      </c>
    </row>
    <row r="13" spans="1:33" x14ac:dyDescent="0.2">
      <c r="A13" s="13"/>
      <c r="B13" s="14"/>
      <c r="C13" s="34"/>
      <c r="D13" s="14"/>
      <c r="E13" s="14"/>
      <c r="F13" s="14"/>
      <c r="G13" s="15"/>
      <c r="H13" s="14"/>
      <c r="I13" s="14"/>
      <c r="J13" s="14"/>
      <c r="K13" s="14"/>
      <c r="L13" s="14"/>
      <c r="M13" s="14"/>
      <c r="N13" s="14"/>
      <c r="O13" s="14"/>
      <c r="P13" s="14"/>
      <c r="Q13" s="14"/>
      <c r="R13" s="14"/>
      <c r="S13" s="14"/>
      <c r="T13" s="15"/>
      <c r="U13" s="43">
        <v>3</v>
      </c>
      <c r="V13" s="2" t="s">
        <v>47</v>
      </c>
      <c r="W13" s="2" t="s">
        <v>24</v>
      </c>
      <c r="X13" s="2" t="s">
        <v>373</v>
      </c>
      <c r="Y13" s="5">
        <v>36454792</v>
      </c>
      <c r="Z13" s="45">
        <v>25587537</v>
      </c>
      <c r="AA13" s="44">
        <v>6878</v>
      </c>
      <c r="AB13" s="46">
        <v>3.1780154999999997E-2</v>
      </c>
      <c r="AC13" s="46">
        <v>0.24525403300000001</v>
      </c>
      <c r="AD13" s="48">
        <v>0.57647596300000004</v>
      </c>
      <c r="AE13" s="49">
        <v>23.677112040000001</v>
      </c>
      <c r="AF13" s="46">
        <v>0.70189776400000004</v>
      </c>
      <c r="AG13" s="46">
        <v>1.88672E-4</v>
      </c>
    </row>
    <row r="14" spans="1:33" x14ac:dyDescent="0.2">
      <c r="A14" s="1" t="s">
        <v>48</v>
      </c>
      <c r="B14" s="2" t="s">
        <v>49</v>
      </c>
      <c r="C14" s="33">
        <v>440</v>
      </c>
      <c r="D14" s="2" t="s">
        <v>22</v>
      </c>
      <c r="E14" s="2" t="s">
        <v>23</v>
      </c>
      <c r="F14" s="2" t="s">
        <v>24</v>
      </c>
      <c r="G14" s="3" t="s">
        <v>25</v>
      </c>
      <c r="H14" s="2" t="s">
        <v>26</v>
      </c>
      <c r="I14" s="4" t="s">
        <v>39</v>
      </c>
      <c r="J14" s="2">
        <v>3</v>
      </c>
      <c r="K14" s="2" t="s">
        <v>50</v>
      </c>
      <c r="L14" s="2" t="s">
        <v>51</v>
      </c>
      <c r="M14" s="2" t="s">
        <v>52</v>
      </c>
      <c r="T14" s="2" t="s">
        <v>30</v>
      </c>
      <c r="U14" s="35">
        <v>1</v>
      </c>
      <c r="V14" s="36" t="s">
        <v>50</v>
      </c>
      <c r="W14" s="36" t="s">
        <v>24</v>
      </c>
      <c r="X14" s="36" t="s">
        <v>373</v>
      </c>
      <c r="Y14" s="65" t="s">
        <v>398</v>
      </c>
      <c r="Z14" s="38" t="s">
        <v>399</v>
      </c>
      <c r="AA14" s="37" t="s">
        <v>400</v>
      </c>
      <c r="AB14" s="39">
        <v>2.8054626999999999E-2</v>
      </c>
      <c r="AC14" s="39">
        <v>0.125731809</v>
      </c>
      <c r="AD14" s="41">
        <v>0.371794925</v>
      </c>
      <c r="AE14" s="42">
        <v>9.5546434990000009</v>
      </c>
      <c r="AF14" s="39">
        <v>0.67896045599999999</v>
      </c>
      <c r="AG14" s="39">
        <v>1.20934E-4</v>
      </c>
    </row>
    <row r="15" spans="1:33" x14ac:dyDescent="0.2">
      <c r="A15" s="1"/>
      <c r="C15" s="33"/>
      <c r="G15" s="3"/>
      <c r="I15" s="4"/>
      <c r="U15" s="43">
        <v>2</v>
      </c>
      <c r="V15" s="2" t="s">
        <v>51</v>
      </c>
      <c r="W15" s="2" t="s">
        <v>24</v>
      </c>
      <c r="X15" s="2" t="s">
        <v>373</v>
      </c>
      <c r="Y15" s="5" t="s">
        <v>401</v>
      </c>
      <c r="Z15" s="45" t="s">
        <v>402</v>
      </c>
      <c r="AA15" s="44" t="s">
        <v>403</v>
      </c>
      <c r="AB15" s="46">
        <v>3.3737920999999997E-2</v>
      </c>
      <c r="AC15" s="46">
        <v>0.212700535</v>
      </c>
      <c r="AD15" s="48">
        <v>0.78735279199999997</v>
      </c>
      <c r="AE15" s="49">
        <v>18.634272020000001</v>
      </c>
      <c r="AF15" s="46">
        <v>0.68028549000000005</v>
      </c>
      <c r="AG15" s="46">
        <v>1.08319E-4</v>
      </c>
    </row>
    <row r="16" spans="1:33" x14ac:dyDescent="0.2">
      <c r="A16" s="13"/>
      <c r="B16" s="14"/>
      <c r="C16" s="34"/>
      <c r="D16" s="14"/>
      <c r="E16" s="14"/>
      <c r="F16" s="14"/>
      <c r="G16" s="15"/>
      <c r="H16" s="14"/>
      <c r="I16" s="169"/>
      <c r="J16" s="14"/>
      <c r="K16" s="14"/>
      <c r="L16" s="14"/>
      <c r="M16" s="14"/>
      <c r="N16" s="14"/>
      <c r="O16" s="14"/>
      <c r="P16" s="14"/>
      <c r="Q16" s="14"/>
      <c r="R16" s="14"/>
      <c r="S16" s="14"/>
      <c r="T16" s="15"/>
      <c r="U16" s="50">
        <v>3</v>
      </c>
      <c r="V16" s="8" t="s">
        <v>52</v>
      </c>
      <c r="W16" s="8" t="s">
        <v>24</v>
      </c>
      <c r="X16" s="8" t="s">
        <v>373</v>
      </c>
      <c r="Y16" s="66" t="s">
        <v>404</v>
      </c>
      <c r="Z16" s="52" t="s">
        <v>405</v>
      </c>
      <c r="AA16" s="51" t="s">
        <v>406</v>
      </c>
      <c r="AB16" s="53">
        <v>3.1295572000000001E-2</v>
      </c>
      <c r="AC16" s="53">
        <v>0.20065555099999999</v>
      </c>
      <c r="AD16" s="55">
        <v>0.72279091500000003</v>
      </c>
      <c r="AE16" s="56">
        <v>17.49131216</v>
      </c>
      <c r="AF16" s="53">
        <v>0.68056384299999995</v>
      </c>
      <c r="AG16" s="53">
        <v>1.12123E-4</v>
      </c>
    </row>
    <row r="17" spans="1:33" x14ac:dyDescent="0.2">
      <c r="A17" s="1" t="s">
        <v>53</v>
      </c>
      <c r="B17" s="2" t="s">
        <v>54</v>
      </c>
      <c r="C17" s="33">
        <v>280</v>
      </c>
      <c r="D17" s="2" t="s">
        <v>22</v>
      </c>
      <c r="E17" s="2" t="s">
        <v>23</v>
      </c>
      <c r="F17" s="2" t="s">
        <v>24</v>
      </c>
      <c r="G17" s="3" t="s">
        <v>25</v>
      </c>
      <c r="H17" s="2" t="s">
        <v>26</v>
      </c>
      <c r="I17" s="4" t="s">
        <v>55</v>
      </c>
      <c r="J17" s="5">
        <v>3</v>
      </c>
      <c r="K17" s="2" t="s">
        <v>56</v>
      </c>
      <c r="L17" s="2" t="s">
        <v>57</v>
      </c>
      <c r="M17" s="2" t="s">
        <v>58</v>
      </c>
      <c r="T17" s="2" t="s">
        <v>30</v>
      </c>
      <c r="U17" s="45">
        <v>1</v>
      </c>
      <c r="V17" s="2" t="s">
        <v>58</v>
      </c>
      <c r="W17" s="2" t="s">
        <v>24</v>
      </c>
      <c r="X17" s="2" t="s">
        <v>373</v>
      </c>
      <c r="Y17" s="5" t="s">
        <v>407</v>
      </c>
      <c r="Z17" s="45" t="s">
        <v>408</v>
      </c>
      <c r="AA17" s="44" t="s">
        <v>409</v>
      </c>
      <c r="AB17" s="46">
        <v>0.17304607799999999</v>
      </c>
      <c r="AC17" s="46">
        <v>0.70006557599999997</v>
      </c>
      <c r="AD17" s="48">
        <v>0.57760627399999998</v>
      </c>
      <c r="AE17" s="49">
        <v>100.956441</v>
      </c>
      <c r="AF17" s="46">
        <v>0.30694563800000002</v>
      </c>
      <c r="AG17" s="46">
        <v>3.0880600000000001E-4</v>
      </c>
    </row>
    <row r="18" spans="1:33" x14ac:dyDescent="0.2">
      <c r="A18" s="1"/>
      <c r="C18" s="33"/>
      <c r="G18" s="3"/>
      <c r="I18" s="4"/>
      <c r="J18" s="5"/>
      <c r="U18" s="43">
        <v>2</v>
      </c>
      <c r="V18" s="2" t="s">
        <v>57</v>
      </c>
      <c r="W18" s="2" t="s">
        <v>24</v>
      </c>
      <c r="X18" s="2" t="s">
        <v>373</v>
      </c>
      <c r="Y18" s="5" t="s">
        <v>410</v>
      </c>
      <c r="Z18" s="45" t="s">
        <v>411</v>
      </c>
      <c r="AA18" s="44" t="s">
        <v>412</v>
      </c>
      <c r="AB18" s="46">
        <v>0.20950735200000001</v>
      </c>
      <c r="AC18" s="46">
        <v>0.72619470699999999</v>
      </c>
      <c r="AD18" s="48">
        <v>0.63330039400000004</v>
      </c>
      <c r="AE18" s="49">
        <v>104.153565</v>
      </c>
      <c r="AF18" s="46">
        <v>0.29452331599999998</v>
      </c>
      <c r="AG18" s="46">
        <v>2.78115E-4</v>
      </c>
    </row>
    <row r="19" spans="1:33" x14ac:dyDescent="0.2">
      <c r="A19" s="13"/>
      <c r="B19" s="14"/>
      <c r="C19" s="34"/>
      <c r="D19" s="14"/>
      <c r="E19" s="14"/>
      <c r="F19" s="14"/>
      <c r="G19" s="15"/>
      <c r="H19" s="14"/>
      <c r="I19" s="169"/>
      <c r="J19" s="59"/>
      <c r="K19" s="14"/>
      <c r="L19" s="14"/>
      <c r="M19" s="14"/>
      <c r="N19" s="14"/>
      <c r="O19" s="14"/>
      <c r="P19" s="14"/>
      <c r="Q19" s="14"/>
      <c r="R19" s="14"/>
      <c r="S19" s="14"/>
      <c r="T19" s="14"/>
      <c r="U19" s="140">
        <v>3</v>
      </c>
      <c r="V19" s="14" t="s">
        <v>56</v>
      </c>
      <c r="W19" s="14" t="s">
        <v>24</v>
      </c>
      <c r="X19" s="14" t="s">
        <v>373</v>
      </c>
      <c r="Y19" s="59" t="s">
        <v>413</v>
      </c>
      <c r="Z19" s="171" t="s">
        <v>414</v>
      </c>
      <c r="AA19" s="170" t="s">
        <v>415</v>
      </c>
      <c r="AB19" s="60">
        <v>7.4781890000000004E-2</v>
      </c>
      <c r="AC19" s="60">
        <v>0.80562241999999995</v>
      </c>
      <c r="AD19" s="172">
        <v>1.2155537780000001</v>
      </c>
      <c r="AE19" s="173">
        <v>122.5727981</v>
      </c>
      <c r="AF19" s="60">
        <v>0.37247950600000002</v>
      </c>
      <c r="AG19" s="60">
        <v>2.0917200000000001E-4</v>
      </c>
    </row>
    <row r="20" spans="1:33" x14ac:dyDescent="0.2">
      <c r="A20" s="1" t="s">
        <v>59</v>
      </c>
      <c r="B20" s="2" t="s">
        <v>60</v>
      </c>
      <c r="C20" s="33">
        <v>483</v>
      </c>
      <c r="D20" s="2" t="s">
        <v>22</v>
      </c>
      <c r="E20" s="2" t="s">
        <v>23</v>
      </c>
      <c r="F20" s="2" t="s">
        <v>24</v>
      </c>
      <c r="G20" s="3" t="s">
        <v>25</v>
      </c>
      <c r="H20" s="2" t="s">
        <v>26</v>
      </c>
      <c r="I20" s="4" t="s">
        <v>61</v>
      </c>
      <c r="J20" s="2">
        <v>3</v>
      </c>
      <c r="K20" s="2" t="s">
        <v>62</v>
      </c>
      <c r="L20" s="2" t="s">
        <v>63</v>
      </c>
      <c r="M20" s="2" t="s">
        <v>64</v>
      </c>
      <c r="T20" s="2" t="s">
        <v>30</v>
      </c>
      <c r="U20" s="43">
        <v>1</v>
      </c>
      <c r="V20" s="2" t="s">
        <v>62</v>
      </c>
      <c r="W20" s="2" t="s">
        <v>24</v>
      </c>
      <c r="X20" s="2" t="s">
        <v>373</v>
      </c>
      <c r="Y20" s="5" t="s">
        <v>416</v>
      </c>
      <c r="Z20" s="45" t="s">
        <v>417</v>
      </c>
      <c r="AA20" s="44" t="s">
        <v>418</v>
      </c>
      <c r="AB20" s="46">
        <v>4.6284443000000002E-2</v>
      </c>
      <c r="AC20" s="46">
        <v>0.41454442600000002</v>
      </c>
      <c r="AD20" s="48">
        <v>1.237546239</v>
      </c>
      <c r="AE20" s="49">
        <v>53.671839419999998</v>
      </c>
      <c r="AF20" s="46">
        <v>0.35745470099999999</v>
      </c>
      <c r="AG20" s="46">
        <v>1.0312800000000001E-4</v>
      </c>
    </row>
    <row r="21" spans="1:33" x14ac:dyDescent="0.2">
      <c r="A21" s="1"/>
      <c r="C21" s="33"/>
      <c r="G21" s="3"/>
      <c r="I21" s="4"/>
      <c r="U21" s="43">
        <v>2</v>
      </c>
      <c r="V21" s="2" t="s">
        <v>63</v>
      </c>
      <c r="W21" s="2" t="s">
        <v>24</v>
      </c>
      <c r="X21" s="2" t="s">
        <v>373</v>
      </c>
      <c r="Y21" s="5" t="s">
        <v>419</v>
      </c>
      <c r="Z21" s="45" t="s">
        <v>420</v>
      </c>
      <c r="AA21" s="44" t="s">
        <v>421</v>
      </c>
      <c r="AB21" s="46">
        <v>4.8057123E-2</v>
      </c>
      <c r="AC21" s="46">
        <v>0.22514782999999999</v>
      </c>
      <c r="AD21" s="48">
        <v>0.43463696200000002</v>
      </c>
      <c r="AE21" s="49">
        <v>24.274895149999999</v>
      </c>
      <c r="AF21" s="46">
        <v>0.355397089</v>
      </c>
      <c r="AG21" s="46">
        <v>1.3834700000000001E-4</v>
      </c>
    </row>
    <row r="22" spans="1:33" x14ac:dyDescent="0.2">
      <c r="A22" s="13"/>
      <c r="B22" s="14"/>
      <c r="C22" s="34"/>
      <c r="D22" s="14"/>
      <c r="E22" s="14"/>
      <c r="F22" s="14"/>
      <c r="G22" s="15"/>
      <c r="H22" s="14"/>
      <c r="I22" s="169"/>
      <c r="J22" s="14"/>
      <c r="K22" s="14"/>
      <c r="L22" s="14"/>
      <c r="M22" s="14"/>
      <c r="N22" s="14"/>
      <c r="O22" s="14"/>
      <c r="P22" s="14"/>
      <c r="Q22" s="14"/>
      <c r="R22" s="14"/>
      <c r="S22" s="14"/>
      <c r="T22" s="15"/>
      <c r="U22" s="50">
        <v>3</v>
      </c>
      <c r="V22" s="8" t="s">
        <v>64</v>
      </c>
      <c r="W22" s="8" t="s">
        <v>24</v>
      </c>
      <c r="X22" s="8" t="s">
        <v>373</v>
      </c>
      <c r="Y22" s="66" t="s">
        <v>422</v>
      </c>
      <c r="Z22" s="52" t="s">
        <v>423</v>
      </c>
      <c r="AA22" s="51" t="s">
        <v>424</v>
      </c>
      <c r="AB22" s="53">
        <v>6.0399014000000001E-2</v>
      </c>
      <c r="AC22" s="53">
        <v>0.282471729</v>
      </c>
      <c r="AD22" s="55">
        <v>0.59630065300000001</v>
      </c>
      <c r="AE22" s="56">
        <v>31.427621330000001</v>
      </c>
      <c r="AF22" s="53">
        <v>0.34670447100000001</v>
      </c>
      <c r="AG22" s="53">
        <v>1.2600900000000001E-4</v>
      </c>
    </row>
    <row r="23" spans="1:33" x14ac:dyDescent="0.2">
      <c r="A23" s="1" t="s">
        <v>65</v>
      </c>
      <c r="B23" s="2" t="s">
        <v>66</v>
      </c>
      <c r="C23" s="33">
        <v>510</v>
      </c>
      <c r="D23" s="2" t="s">
        <v>22</v>
      </c>
      <c r="E23" s="2" t="s">
        <v>23</v>
      </c>
      <c r="F23" s="2" t="s">
        <v>24</v>
      </c>
      <c r="G23" s="3" t="s">
        <v>25</v>
      </c>
      <c r="H23" s="2" t="s">
        <v>26</v>
      </c>
      <c r="I23" s="4" t="s">
        <v>67</v>
      </c>
      <c r="J23" s="2">
        <v>7</v>
      </c>
      <c r="K23" s="2" t="s">
        <v>68</v>
      </c>
      <c r="L23" s="2" t="s">
        <v>69</v>
      </c>
      <c r="M23" s="2" t="s">
        <v>35</v>
      </c>
      <c r="N23" s="2" t="s">
        <v>36</v>
      </c>
      <c r="O23" s="2" t="s">
        <v>70</v>
      </c>
      <c r="P23" s="2" t="s">
        <v>71</v>
      </c>
      <c r="Q23" s="2" t="s">
        <v>72</v>
      </c>
      <c r="T23" s="2" t="s">
        <v>30</v>
      </c>
      <c r="U23" s="43">
        <v>1</v>
      </c>
      <c r="V23" s="2" t="s">
        <v>69</v>
      </c>
      <c r="W23" s="2" t="s">
        <v>24</v>
      </c>
      <c r="X23" s="2" t="s">
        <v>373</v>
      </c>
      <c r="Y23" s="5" t="s">
        <v>425</v>
      </c>
      <c r="Z23" s="45" t="s">
        <v>426</v>
      </c>
      <c r="AA23" s="44" t="s">
        <v>427</v>
      </c>
      <c r="AB23" s="46">
        <v>0.48791548000000001</v>
      </c>
      <c r="AC23" s="46">
        <v>0.68906556100000005</v>
      </c>
      <c r="AD23" s="48">
        <v>0.57664293600000005</v>
      </c>
      <c r="AE23" s="49">
        <v>64.994367890000007</v>
      </c>
      <c r="AF23" s="46">
        <v>0.26169871500000003</v>
      </c>
      <c r="AG23" s="46">
        <v>1.8985000000000001E-4</v>
      </c>
    </row>
    <row r="24" spans="1:33" x14ac:dyDescent="0.2">
      <c r="A24" s="1"/>
      <c r="C24" s="33"/>
      <c r="G24" s="3"/>
      <c r="I24" s="4"/>
      <c r="U24" s="43">
        <v>2</v>
      </c>
      <c r="V24" s="2" t="s">
        <v>35</v>
      </c>
      <c r="W24" s="2" t="s">
        <v>24</v>
      </c>
      <c r="X24" s="2" t="s">
        <v>373</v>
      </c>
      <c r="Y24" s="5" t="s">
        <v>428</v>
      </c>
      <c r="Z24" s="45" t="s">
        <v>429</v>
      </c>
      <c r="AA24" s="44" t="s">
        <v>430</v>
      </c>
      <c r="AB24" s="46">
        <v>0.45550231699999999</v>
      </c>
      <c r="AC24" s="46">
        <v>0.68048489300000004</v>
      </c>
      <c r="AD24" s="48">
        <v>0.62609037499999998</v>
      </c>
      <c r="AE24" s="49">
        <v>69.553325340000001</v>
      </c>
      <c r="AF24" s="46">
        <v>0.27788259999999998</v>
      </c>
      <c r="AG24" s="46">
        <v>1.9745200000000001E-4</v>
      </c>
    </row>
    <row r="25" spans="1:33" x14ac:dyDescent="0.2">
      <c r="A25" s="1"/>
      <c r="C25" s="33"/>
      <c r="G25" s="3"/>
      <c r="I25" s="4"/>
      <c r="U25" s="43">
        <v>3</v>
      </c>
      <c r="V25" s="2" t="s">
        <v>36</v>
      </c>
      <c r="W25" s="2" t="s">
        <v>24</v>
      </c>
      <c r="X25" s="2" t="s">
        <v>373</v>
      </c>
      <c r="Y25" s="5" t="s">
        <v>431</v>
      </c>
      <c r="Z25" s="45" t="s">
        <v>432</v>
      </c>
      <c r="AA25" s="44" t="s">
        <v>433</v>
      </c>
      <c r="AB25" s="46">
        <v>0.43645193199999999</v>
      </c>
      <c r="AC25" s="46">
        <v>0.65754020899999999</v>
      </c>
      <c r="AD25" s="48">
        <v>0.57580854000000004</v>
      </c>
      <c r="AE25" s="49">
        <v>65.474056320000003</v>
      </c>
      <c r="AF25" s="46">
        <v>0.28768277399999997</v>
      </c>
      <c r="AG25" s="46">
        <v>2.1083399999999999E-4</v>
      </c>
    </row>
    <row r="26" spans="1:33" x14ac:dyDescent="0.2">
      <c r="A26" s="1"/>
      <c r="C26" s="33"/>
      <c r="G26" s="3"/>
      <c r="I26" s="4"/>
      <c r="U26" s="43">
        <v>4</v>
      </c>
      <c r="V26" s="2" t="s">
        <v>70</v>
      </c>
      <c r="W26" s="2" t="s">
        <v>24</v>
      </c>
      <c r="X26" s="2" t="s">
        <v>373</v>
      </c>
      <c r="Y26" s="5" t="s">
        <v>434</v>
      </c>
      <c r="Z26" s="45" t="s">
        <v>435</v>
      </c>
      <c r="AA26" s="44" t="s">
        <v>436</v>
      </c>
      <c r="AB26" s="46">
        <v>0.48569854299999998</v>
      </c>
      <c r="AC26" s="46">
        <v>0.68543985200000002</v>
      </c>
      <c r="AD26" s="48">
        <v>0.56756378299999999</v>
      </c>
      <c r="AE26" s="49">
        <v>64.799161170000005</v>
      </c>
      <c r="AF26" s="46">
        <v>0.260229549</v>
      </c>
      <c r="AG26" s="46">
        <v>1.9101799999999999E-4</v>
      </c>
    </row>
    <row r="27" spans="1:33" x14ac:dyDescent="0.2">
      <c r="A27" s="1"/>
      <c r="C27" s="33"/>
      <c r="G27" s="3"/>
      <c r="I27" s="4"/>
      <c r="U27" s="43">
        <v>5</v>
      </c>
      <c r="V27" s="2" t="s">
        <v>71</v>
      </c>
      <c r="W27" s="2" t="s">
        <v>24</v>
      </c>
      <c r="X27" s="2" t="s">
        <v>373</v>
      </c>
      <c r="Y27" s="5" t="s">
        <v>437</v>
      </c>
      <c r="Z27" s="45" t="s">
        <v>438</v>
      </c>
      <c r="AA27" s="44" t="s">
        <v>439</v>
      </c>
      <c r="AB27" s="46">
        <v>0.37334355400000002</v>
      </c>
      <c r="AC27" s="46">
        <v>0.61256006299999999</v>
      </c>
      <c r="AD27" s="48">
        <v>0.59550116799999997</v>
      </c>
      <c r="AE27" s="49">
        <v>65.371180350000003</v>
      </c>
      <c r="AF27" s="46">
        <v>0.32842428299999998</v>
      </c>
      <c r="AG27" s="46">
        <v>2.3383E-4</v>
      </c>
    </row>
    <row r="28" spans="1:33" x14ac:dyDescent="0.2">
      <c r="A28" s="1"/>
      <c r="C28" s="33"/>
      <c r="G28" s="3"/>
      <c r="I28" s="4"/>
      <c r="U28" s="43">
        <v>6</v>
      </c>
      <c r="V28" s="2" t="s">
        <v>72</v>
      </c>
      <c r="W28" s="2" t="s">
        <v>24</v>
      </c>
      <c r="X28" s="2" t="s">
        <v>373</v>
      </c>
      <c r="Y28" s="5" t="s">
        <v>440</v>
      </c>
      <c r="Z28" s="45" t="s">
        <v>441</v>
      </c>
      <c r="AA28" s="44" t="s">
        <v>442</v>
      </c>
      <c r="AB28" s="46">
        <v>0.460465613</v>
      </c>
      <c r="AC28" s="46">
        <v>0.68309470400000005</v>
      </c>
      <c r="AD28" s="48">
        <v>0.66249391499999999</v>
      </c>
      <c r="AE28" s="49">
        <v>69.805272619999997</v>
      </c>
      <c r="AF28" s="46">
        <v>0.280400922</v>
      </c>
      <c r="AG28" s="46">
        <v>1.9042500000000001E-4</v>
      </c>
    </row>
    <row r="29" spans="1:33" x14ac:dyDescent="0.2">
      <c r="A29" s="13"/>
      <c r="B29" s="14"/>
      <c r="C29" s="34"/>
      <c r="D29" s="14"/>
      <c r="E29" s="14"/>
      <c r="F29" s="14"/>
      <c r="G29" s="15"/>
      <c r="H29" s="14"/>
      <c r="I29" s="169"/>
      <c r="J29" s="14"/>
      <c r="K29" s="14"/>
      <c r="L29" s="14"/>
      <c r="M29" s="14"/>
      <c r="N29" s="14"/>
      <c r="O29" s="14"/>
      <c r="P29" s="14"/>
      <c r="Q29" s="14"/>
      <c r="R29" s="14"/>
      <c r="S29" s="14"/>
      <c r="T29" s="15"/>
      <c r="U29" s="43">
        <v>7</v>
      </c>
      <c r="V29" s="2" t="s">
        <v>68</v>
      </c>
      <c r="W29" s="2" t="s">
        <v>24</v>
      </c>
      <c r="X29" s="2" t="s">
        <v>373</v>
      </c>
      <c r="Y29" s="5" t="s">
        <v>443</v>
      </c>
      <c r="Z29" s="45" t="s">
        <v>444</v>
      </c>
      <c r="AA29" s="44" t="s">
        <v>445</v>
      </c>
      <c r="AB29" s="46">
        <v>0.39167459500000001</v>
      </c>
      <c r="AC29" s="46">
        <v>0.77702732299999999</v>
      </c>
      <c r="AD29" s="48">
        <v>1.3789789240000001</v>
      </c>
      <c r="AE29" s="49">
        <v>107.27717199999999</v>
      </c>
      <c r="AF29" s="46">
        <v>0.42172306599999998</v>
      </c>
      <c r="AG29" s="46">
        <v>1.96861E-4</v>
      </c>
    </row>
    <row r="30" spans="1:33" x14ac:dyDescent="0.2">
      <c r="A30" s="106" t="s">
        <v>73</v>
      </c>
      <c r="B30" s="107" t="s">
        <v>74</v>
      </c>
      <c r="C30" s="175">
        <v>287</v>
      </c>
      <c r="D30" s="107" t="s">
        <v>22</v>
      </c>
      <c r="E30" s="107" t="s">
        <v>23</v>
      </c>
      <c r="F30" s="107" t="s">
        <v>24</v>
      </c>
      <c r="G30" s="176" t="s">
        <v>25</v>
      </c>
      <c r="H30" s="107" t="s">
        <v>26</v>
      </c>
      <c r="I30" s="177" t="s">
        <v>55</v>
      </c>
      <c r="J30" s="107">
        <v>1</v>
      </c>
      <c r="K30" s="107" t="s">
        <v>41</v>
      </c>
      <c r="L30" s="107"/>
      <c r="M30" s="107"/>
      <c r="N30" s="107"/>
      <c r="O30" s="107"/>
      <c r="P30" s="107"/>
      <c r="Q30" s="107"/>
      <c r="R30" s="107"/>
      <c r="S30" s="107"/>
      <c r="T30" s="176" t="s">
        <v>30</v>
      </c>
      <c r="U30" s="67">
        <v>1</v>
      </c>
      <c r="V30" s="68" t="s">
        <v>41</v>
      </c>
      <c r="W30" s="68" t="s">
        <v>24</v>
      </c>
      <c r="X30" s="68" t="s">
        <v>373</v>
      </c>
      <c r="Y30" s="69" t="s">
        <v>446</v>
      </c>
      <c r="Z30" s="70" t="s">
        <v>447</v>
      </c>
      <c r="AA30" s="71" t="s">
        <v>448</v>
      </c>
      <c r="AB30" s="72">
        <v>4.6562608999999998E-2</v>
      </c>
      <c r="AC30" s="72">
        <v>0.35054275899999998</v>
      </c>
      <c r="AD30" s="73">
        <v>1.337698649</v>
      </c>
      <c r="AE30" s="74">
        <v>47.271180350000002</v>
      </c>
      <c r="AF30" s="72">
        <v>0.74701901000000004</v>
      </c>
      <c r="AG30" s="72">
        <v>1.78152E-4</v>
      </c>
    </row>
    <row r="31" spans="1:33" x14ac:dyDescent="0.2">
      <c r="A31" s="1" t="s">
        <v>75</v>
      </c>
      <c r="B31" s="2" t="s">
        <v>76</v>
      </c>
      <c r="C31" s="33">
        <v>454</v>
      </c>
      <c r="D31" s="2" t="s">
        <v>22</v>
      </c>
      <c r="E31" s="2" t="s">
        <v>23</v>
      </c>
      <c r="F31" s="2" t="s">
        <v>24</v>
      </c>
      <c r="G31" s="3" t="s">
        <v>25</v>
      </c>
      <c r="H31" s="2" t="s">
        <v>26</v>
      </c>
      <c r="I31" s="4" t="s">
        <v>77</v>
      </c>
      <c r="J31" s="2">
        <v>3</v>
      </c>
      <c r="K31" s="2" t="s">
        <v>78</v>
      </c>
      <c r="L31" s="2" t="s">
        <v>51</v>
      </c>
      <c r="M31" s="2" t="s">
        <v>52</v>
      </c>
      <c r="T31" s="2" t="s">
        <v>30</v>
      </c>
      <c r="U31" s="43">
        <v>1</v>
      </c>
      <c r="V31" s="2" t="s">
        <v>78</v>
      </c>
      <c r="W31" s="2" t="s">
        <v>24</v>
      </c>
      <c r="X31" s="2" t="s">
        <v>373</v>
      </c>
      <c r="Y31" s="5" t="s">
        <v>449</v>
      </c>
      <c r="Z31" s="45" t="s">
        <v>450</v>
      </c>
      <c r="AA31" s="44" t="s">
        <v>451</v>
      </c>
      <c r="AB31" s="46">
        <v>1.2652633999999999E-2</v>
      </c>
      <c r="AC31" s="46">
        <v>5.9032716999999998E-2</v>
      </c>
      <c r="AD31" s="48">
        <v>0.13692025999999999</v>
      </c>
      <c r="AE31" s="49">
        <v>4.7639904130000001</v>
      </c>
      <c r="AF31" s="46">
        <v>0.74137086500000005</v>
      </c>
      <c r="AG31" s="46">
        <v>1.7955900000000001E-4</v>
      </c>
    </row>
    <row r="32" spans="1:33" x14ac:dyDescent="0.2">
      <c r="A32" s="1"/>
      <c r="C32" s="33"/>
      <c r="G32" s="3"/>
      <c r="I32" s="4"/>
      <c r="U32" s="43">
        <v>2</v>
      </c>
      <c r="V32" s="2" t="s">
        <v>51</v>
      </c>
      <c r="W32" s="2" t="s">
        <v>24</v>
      </c>
      <c r="X32" s="2" t="s">
        <v>373</v>
      </c>
      <c r="Y32" s="5" t="s">
        <v>452</v>
      </c>
      <c r="Z32" s="45" t="s">
        <v>453</v>
      </c>
      <c r="AA32" s="44" t="s">
        <v>454</v>
      </c>
      <c r="AB32" s="46">
        <v>5.5401688999999997E-2</v>
      </c>
      <c r="AC32" s="46">
        <v>0.60579242200000005</v>
      </c>
      <c r="AD32" s="48">
        <v>5.0585391279999996</v>
      </c>
      <c r="AE32" s="49">
        <v>83.526303179999999</v>
      </c>
      <c r="AF32" s="46">
        <v>0.71310037199999998</v>
      </c>
      <c r="AG32" s="46">
        <v>7.25E-5</v>
      </c>
    </row>
    <row r="33" spans="1:33" x14ac:dyDescent="0.2">
      <c r="A33" s="13"/>
      <c r="B33" s="14"/>
      <c r="C33" s="34"/>
      <c r="D33" s="14"/>
      <c r="E33" s="14"/>
      <c r="F33" s="14"/>
      <c r="G33" s="15"/>
      <c r="H33" s="14"/>
      <c r="I33" s="169"/>
      <c r="J33" s="14"/>
      <c r="K33" s="14"/>
      <c r="L33" s="14"/>
      <c r="M33" s="14"/>
      <c r="N33" s="14"/>
      <c r="O33" s="14"/>
      <c r="P33" s="14"/>
      <c r="Q33" s="14"/>
      <c r="R33" s="14"/>
      <c r="S33" s="14"/>
      <c r="T33" s="15"/>
      <c r="U33" s="43">
        <v>3</v>
      </c>
      <c r="V33" s="2" t="s">
        <v>52</v>
      </c>
      <c r="W33" s="2" t="s">
        <v>24</v>
      </c>
      <c r="X33" s="2" t="s">
        <v>373</v>
      </c>
      <c r="Y33" s="5" t="s">
        <v>455</v>
      </c>
      <c r="Z33" s="45" t="s">
        <v>456</v>
      </c>
      <c r="AA33" s="44" t="s">
        <v>457</v>
      </c>
      <c r="AB33" s="46">
        <v>4.3637455999999998E-2</v>
      </c>
      <c r="AC33" s="46">
        <v>0.545507305</v>
      </c>
      <c r="AD33" s="48">
        <v>3.925350398</v>
      </c>
      <c r="AE33" s="49">
        <v>73.081785499999995</v>
      </c>
      <c r="AF33" s="46">
        <v>0.72105752700000003</v>
      </c>
      <c r="AG33" s="46">
        <v>8.3900000000000006E-5</v>
      </c>
    </row>
    <row r="34" spans="1:33" x14ac:dyDescent="0.2">
      <c r="A34" s="1" t="s">
        <v>79</v>
      </c>
      <c r="B34" s="2" t="s">
        <v>80</v>
      </c>
      <c r="C34" s="33">
        <v>459</v>
      </c>
      <c r="D34" s="2" t="s">
        <v>22</v>
      </c>
      <c r="E34" s="2" t="s">
        <v>23</v>
      </c>
      <c r="F34" s="2" t="s">
        <v>24</v>
      </c>
      <c r="G34" s="3" t="s">
        <v>25</v>
      </c>
      <c r="H34" s="2" t="s">
        <v>26</v>
      </c>
      <c r="I34" s="4" t="s">
        <v>81</v>
      </c>
      <c r="J34" s="2">
        <v>3</v>
      </c>
      <c r="K34" s="2" t="s">
        <v>71</v>
      </c>
      <c r="L34" s="2" t="s">
        <v>63</v>
      </c>
      <c r="M34" s="2" t="s">
        <v>64</v>
      </c>
      <c r="T34" s="2" t="s">
        <v>30</v>
      </c>
      <c r="U34" s="35">
        <v>1</v>
      </c>
      <c r="V34" s="36" t="s">
        <v>71</v>
      </c>
      <c r="W34" s="36" t="s">
        <v>24</v>
      </c>
      <c r="X34" s="36" t="s">
        <v>373</v>
      </c>
      <c r="Y34" s="65" t="s">
        <v>458</v>
      </c>
      <c r="Z34" s="38" t="s">
        <v>459</v>
      </c>
      <c r="AA34" s="37" t="s">
        <v>460</v>
      </c>
      <c r="AB34" s="39">
        <v>3.6250899000000003E-2</v>
      </c>
      <c r="AC34" s="39">
        <v>0.31670135900000002</v>
      </c>
      <c r="AD34" s="41">
        <v>0.85793644800000002</v>
      </c>
      <c r="AE34" s="42">
        <v>40.115158780000002</v>
      </c>
      <c r="AF34" s="39">
        <v>0.65655083599999997</v>
      </c>
      <c r="AG34" s="39">
        <v>1.9977499999999999E-4</v>
      </c>
    </row>
    <row r="35" spans="1:33" x14ac:dyDescent="0.2">
      <c r="A35" s="1"/>
      <c r="C35" s="33"/>
      <c r="G35" s="3"/>
      <c r="I35" s="4"/>
      <c r="U35" s="43">
        <v>2</v>
      </c>
      <c r="V35" s="2" t="s">
        <v>63</v>
      </c>
      <c r="W35" s="2" t="s">
        <v>24</v>
      </c>
      <c r="X35" s="2" t="s">
        <v>373</v>
      </c>
      <c r="Y35" s="5" t="s">
        <v>461</v>
      </c>
      <c r="Z35" s="45" t="s">
        <v>462</v>
      </c>
      <c r="AA35" s="44" t="s">
        <v>463</v>
      </c>
      <c r="AB35" s="46">
        <v>2.9515564000000001E-2</v>
      </c>
      <c r="AC35" s="46">
        <v>0.25120097800000002</v>
      </c>
      <c r="AD35" s="48">
        <v>0.60311227199999995</v>
      </c>
      <c r="AE35" s="49">
        <v>30.36117436</v>
      </c>
      <c r="AF35" s="46">
        <v>0.66361296999999997</v>
      </c>
      <c r="AG35" s="46">
        <v>2.2050699999999999E-4</v>
      </c>
    </row>
    <row r="36" spans="1:33" x14ac:dyDescent="0.2">
      <c r="A36" s="13"/>
      <c r="B36" s="14"/>
      <c r="C36" s="34"/>
      <c r="D36" s="14"/>
      <c r="E36" s="14"/>
      <c r="F36" s="14"/>
      <c r="G36" s="15"/>
      <c r="H36" s="14"/>
      <c r="I36" s="169"/>
      <c r="J36" s="14"/>
      <c r="K36" s="14"/>
      <c r="L36" s="14"/>
      <c r="M36" s="14"/>
      <c r="N36" s="14"/>
      <c r="O36" s="14"/>
      <c r="P36" s="14"/>
      <c r="Q36" s="14"/>
      <c r="R36" s="14"/>
      <c r="S36" s="14"/>
      <c r="T36" s="15"/>
      <c r="U36" s="50">
        <v>3</v>
      </c>
      <c r="V36" s="8" t="s">
        <v>64</v>
      </c>
      <c r="W36" s="8" t="s">
        <v>24</v>
      </c>
      <c r="X36" s="8" t="s">
        <v>373</v>
      </c>
      <c r="Y36" s="66" t="s">
        <v>464</v>
      </c>
      <c r="Z36" s="52" t="s">
        <v>465</v>
      </c>
      <c r="AA36" s="51" t="s">
        <v>466</v>
      </c>
      <c r="AB36" s="53">
        <v>3.7670462000000002E-2</v>
      </c>
      <c r="AC36" s="53">
        <v>0.33516544500000001</v>
      </c>
      <c r="AD36" s="55">
        <v>0.95362725100000001</v>
      </c>
      <c r="AE36" s="56">
        <v>43.180946669999997</v>
      </c>
      <c r="AF36" s="53">
        <v>0.65556164800000005</v>
      </c>
      <c r="AG36" s="53">
        <v>1.9240199999999999E-4</v>
      </c>
    </row>
    <row r="37" spans="1:33" x14ac:dyDescent="0.2">
      <c r="A37" s="13" t="s">
        <v>83</v>
      </c>
      <c r="B37" s="14" t="s">
        <v>84</v>
      </c>
      <c r="C37" s="34">
        <v>462</v>
      </c>
      <c r="D37" s="14" t="s">
        <v>22</v>
      </c>
      <c r="E37" s="14" t="s">
        <v>23</v>
      </c>
      <c r="F37" s="14" t="s">
        <v>24</v>
      </c>
      <c r="G37" s="15" t="s">
        <v>25</v>
      </c>
      <c r="H37" s="14" t="s">
        <v>26</v>
      </c>
      <c r="I37" s="169" t="s">
        <v>85</v>
      </c>
      <c r="J37" s="14">
        <v>3</v>
      </c>
      <c r="K37" s="14" t="s">
        <v>86</v>
      </c>
      <c r="L37" s="14" t="s">
        <v>69</v>
      </c>
      <c r="M37" s="14" t="s">
        <v>87</v>
      </c>
      <c r="N37" s="14"/>
      <c r="O37" s="14"/>
      <c r="P37" s="14"/>
      <c r="Q37" s="14"/>
      <c r="R37" s="14"/>
      <c r="S37" s="14"/>
      <c r="T37" s="15" t="s">
        <v>30</v>
      </c>
      <c r="U37" s="67">
        <v>1</v>
      </c>
      <c r="V37" s="68" t="s">
        <v>87</v>
      </c>
      <c r="W37" s="68" t="s">
        <v>24</v>
      </c>
      <c r="X37" s="68" t="s">
        <v>373</v>
      </c>
      <c r="Y37" s="69" t="s">
        <v>467</v>
      </c>
      <c r="Z37" s="70" t="s">
        <v>468</v>
      </c>
      <c r="AA37" s="71" t="s">
        <v>469</v>
      </c>
      <c r="AB37" s="72">
        <v>3.4669485999999999E-2</v>
      </c>
      <c r="AC37" s="72">
        <v>0.24185411000000001</v>
      </c>
      <c r="AD37" s="73">
        <v>0.74599733300000004</v>
      </c>
      <c r="AE37" s="74">
        <v>26.216776509999999</v>
      </c>
      <c r="AF37" s="72">
        <v>0.69196747000000003</v>
      </c>
      <c r="AG37" s="72">
        <v>1.6424399999999999E-4</v>
      </c>
    </row>
    <row r="38" spans="1:33" x14ac:dyDescent="0.2">
      <c r="A38" s="1"/>
      <c r="C38" s="33"/>
      <c r="G38" s="3"/>
      <c r="I38" s="4"/>
      <c r="U38" s="43">
        <v>2</v>
      </c>
      <c r="V38" s="2" t="s">
        <v>69</v>
      </c>
      <c r="W38" s="2" t="s">
        <v>24</v>
      </c>
      <c r="X38" s="2" t="s">
        <v>373</v>
      </c>
      <c r="Y38" s="5" t="s">
        <v>470</v>
      </c>
      <c r="Z38" s="45" t="s">
        <v>471</v>
      </c>
      <c r="AA38" s="44" t="s">
        <v>472</v>
      </c>
      <c r="AB38" s="46">
        <v>2.8743716999999998E-2</v>
      </c>
      <c r="AC38" s="46">
        <v>0.25097584099999998</v>
      </c>
      <c r="AD38" s="48">
        <v>0.74936882000000005</v>
      </c>
      <c r="AE38" s="49">
        <v>25.588855599999999</v>
      </c>
      <c r="AF38" s="46">
        <v>0.695017836</v>
      </c>
      <c r="AG38" s="46">
        <v>1.6175599999999999E-4</v>
      </c>
    </row>
    <row r="39" spans="1:33" x14ac:dyDescent="0.2">
      <c r="A39" s="1"/>
      <c r="C39" s="33"/>
      <c r="G39" s="3"/>
      <c r="I39" s="4"/>
      <c r="U39" s="43">
        <v>3</v>
      </c>
      <c r="V39" s="2" t="s">
        <v>86</v>
      </c>
      <c r="W39" s="2" t="s">
        <v>24</v>
      </c>
      <c r="X39" s="2" t="s">
        <v>373</v>
      </c>
      <c r="Y39" s="5" t="s">
        <v>473</v>
      </c>
      <c r="Z39" s="45" t="s">
        <v>474</v>
      </c>
      <c r="AA39" s="44" t="s">
        <v>475</v>
      </c>
      <c r="AB39" s="46">
        <v>3.4748846E-2</v>
      </c>
      <c r="AC39" s="46">
        <v>0.265070423</v>
      </c>
      <c r="AD39" s="48">
        <v>0.85001394900000005</v>
      </c>
      <c r="AE39" s="49">
        <v>28.34751348</v>
      </c>
      <c r="AF39" s="46">
        <v>0.69724123199999999</v>
      </c>
      <c r="AG39" s="46">
        <v>1.57765E-4</v>
      </c>
    </row>
    <row r="40" spans="1:33" x14ac:dyDescent="0.2">
      <c r="A40" s="106" t="s">
        <v>88</v>
      </c>
      <c r="B40" s="107" t="s">
        <v>89</v>
      </c>
      <c r="C40" s="175">
        <v>480</v>
      </c>
      <c r="D40" s="107" t="s">
        <v>22</v>
      </c>
      <c r="E40" s="107" t="s">
        <v>23</v>
      </c>
      <c r="F40" s="107" t="s">
        <v>24</v>
      </c>
      <c r="G40" s="176" t="s">
        <v>25</v>
      </c>
      <c r="H40" s="107" t="s">
        <v>26</v>
      </c>
      <c r="I40" s="177" t="s">
        <v>85</v>
      </c>
      <c r="J40" s="107">
        <v>1</v>
      </c>
      <c r="K40" s="107" t="s">
        <v>35</v>
      </c>
      <c r="L40" s="107"/>
      <c r="M40" s="107"/>
      <c r="N40" s="107"/>
      <c r="O40" s="107"/>
      <c r="P40" s="107"/>
      <c r="Q40" s="107"/>
      <c r="R40" s="107"/>
      <c r="S40" s="107"/>
      <c r="T40" s="176" t="s">
        <v>30</v>
      </c>
      <c r="U40" s="67">
        <v>1</v>
      </c>
      <c r="V40" s="68" t="s">
        <v>35</v>
      </c>
      <c r="W40" s="68" t="s">
        <v>24</v>
      </c>
      <c r="X40" s="68" t="s">
        <v>373</v>
      </c>
      <c r="Y40" s="69" t="s">
        <v>476</v>
      </c>
      <c r="Z40" s="70" t="s">
        <v>477</v>
      </c>
      <c r="AA40" s="71" t="s">
        <v>478</v>
      </c>
      <c r="AB40" s="72">
        <v>4.2673741000000001E-2</v>
      </c>
      <c r="AC40" s="72">
        <v>0.67064393200000005</v>
      </c>
      <c r="AD40" s="73">
        <v>4.8315943099999998</v>
      </c>
      <c r="AE40" s="74">
        <v>104.9508089</v>
      </c>
      <c r="AF40" s="72">
        <v>0.68624069600000004</v>
      </c>
      <c r="AG40" s="72">
        <v>9.2800000000000006E-5</v>
      </c>
    </row>
    <row r="41" spans="1:33" x14ac:dyDescent="0.2">
      <c r="A41" s="13" t="s">
        <v>90</v>
      </c>
      <c r="B41" s="14" t="s">
        <v>91</v>
      </c>
      <c r="C41" s="34">
        <v>435</v>
      </c>
      <c r="D41" s="14" t="s">
        <v>22</v>
      </c>
      <c r="E41" s="14" t="s">
        <v>23</v>
      </c>
      <c r="F41" s="14" t="s">
        <v>24</v>
      </c>
      <c r="G41" s="15" t="s">
        <v>25</v>
      </c>
      <c r="H41" s="14" t="s">
        <v>26</v>
      </c>
      <c r="I41" s="169" t="s">
        <v>61</v>
      </c>
      <c r="J41" s="14">
        <v>1</v>
      </c>
      <c r="K41" s="14" t="s">
        <v>92</v>
      </c>
      <c r="L41" s="14"/>
      <c r="M41" s="14"/>
      <c r="N41" s="14"/>
      <c r="O41" s="14"/>
      <c r="P41" s="14"/>
      <c r="Q41" s="14"/>
      <c r="R41" s="14"/>
      <c r="S41" s="14"/>
      <c r="T41" s="15" t="s">
        <v>30</v>
      </c>
      <c r="U41" s="67">
        <v>1</v>
      </c>
      <c r="V41" s="68" t="s">
        <v>92</v>
      </c>
      <c r="W41" s="68" t="s">
        <v>24</v>
      </c>
      <c r="X41" s="68" t="s">
        <v>373</v>
      </c>
      <c r="Y41" s="69" t="s">
        <v>479</v>
      </c>
      <c r="Z41" s="70" t="s">
        <v>480</v>
      </c>
      <c r="AA41" s="71" t="s">
        <v>481</v>
      </c>
      <c r="AB41" s="72">
        <v>4.0455190000000002E-2</v>
      </c>
      <c r="AC41" s="72">
        <v>0.72522293100000002</v>
      </c>
      <c r="AD41" s="73">
        <v>4.1996983019999998</v>
      </c>
      <c r="AE41" s="74">
        <v>115.1118634</v>
      </c>
      <c r="AF41" s="72">
        <v>0.71256929199999997</v>
      </c>
      <c r="AG41" s="72">
        <v>1.1995E-4</v>
      </c>
    </row>
    <row r="42" spans="1:33" x14ac:dyDescent="0.2">
      <c r="A42" s="1" t="s">
        <v>99</v>
      </c>
      <c r="B42" s="2" t="s">
        <v>100</v>
      </c>
      <c r="C42" s="33">
        <v>240</v>
      </c>
      <c r="D42" s="2" t="s">
        <v>22</v>
      </c>
      <c r="E42" s="2" t="s">
        <v>23</v>
      </c>
      <c r="F42" s="2" t="s">
        <v>24</v>
      </c>
      <c r="G42" s="3" t="s">
        <v>25</v>
      </c>
      <c r="H42" s="2" t="s">
        <v>26</v>
      </c>
      <c r="I42" s="4" t="s">
        <v>67</v>
      </c>
      <c r="J42" s="2">
        <v>5</v>
      </c>
      <c r="K42" s="2" t="s">
        <v>41</v>
      </c>
      <c r="L42" s="2" t="s">
        <v>72</v>
      </c>
      <c r="M42" s="2" t="s">
        <v>101</v>
      </c>
      <c r="N42" s="2" t="s">
        <v>102</v>
      </c>
      <c r="O42" s="2" t="s">
        <v>51</v>
      </c>
      <c r="T42" s="2" t="s">
        <v>30</v>
      </c>
      <c r="U42" s="43">
        <v>1</v>
      </c>
      <c r="V42" s="2" t="s">
        <v>72</v>
      </c>
      <c r="W42" s="2" t="s">
        <v>24</v>
      </c>
      <c r="X42" s="2" t="s">
        <v>373</v>
      </c>
      <c r="Y42" s="5" t="s">
        <v>482</v>
      </c>
      <c r="Z42" s="45" t="s">
        <v>483</v>
      </c>
      <c r="AA42" s="44" t="s">
        <v>484</v>
      </c>
      <c r="AB42" s="46">
        <v>0.183593591</v>
      </c>
      <c r="AC42" s="46">
        <v>0.18354784599999999</v>
      </c>
      <c r="AD42" s="48">
        <v>0.78879360399999998</v>
      </c>
      <c r="AE42" s="49">
        <v>4.2925704009999999</v>
      </c>
      <c r="AF42" s="46">
        <v>0.177881549</v>
      </c>
      <c r="AG42" s="46">
        <v>6.8000000000000001E-6</v>
      </c>
    </row>
    <row r="43" spans="1:33" x14ac:dyDescent="0.2">
      <c r="A43" s="1"/>
      <c r="C43" s="33"/>
      <c r="G43" s="3"/>
      <c r="I43" s="4"/>
      <c r="U43" s="43">
        <v>2</v>
      </c>
      <c r="V43" s="2" t="s">
        <v>101</v>
      </c>
      <c r="W43" s="2" t="s">
        <v>24</v>
      </c>
      <c r="X43" s="2" t="s">
        <v>373</v>
      </c>
      <c r="Y43" s="5" t="s">
        <v>485</v>
      </c>
      <c r="Z43" s="45" t="s">
        <v>486</v>
      </c>
      <c r="AA43" s="44" t="s">
        <v>487</v>
      </c>
      <c r="AB43" s="46">
        <v>0.13376137399999999</v>
      </c>
      <c r="AC43" s="46">
        <v>0.110190555</v>
      </c>
      <c r="AD43" s="48">
        <v>0.60803907599999996</v>
      </c>
      <c r="AE43" s="49">
        <v>3.1446974239999999</v>
      </c>
      <c r="AF43" s="46">
        <v>0.19545367999999999</v>
      </c>
      <c r="AG43" s="46">
        <v>7.1300000000000003E-6</v>
      </c>
    </row>
    <row r="44" spans="1:33" x14ac:dyDescent="0.2">
      <c r="A44" s="1"/>
      <c r="C44" s="33"/>
      <c r="G44" s="3"/>
      <c r="I44" s="4"/>
      <c r="U44" s="43">
        <v>3</v>
      </c>
      <c r="V44" s="2" t="s">
        <v>102</v>
      </c>
      <c r="W44" s="2" t="s">
        <v>24</v>
      </c>
      <c r="X44" s="2" t="s">
        <v>373</v>
      </c>
      <c r="Y44" s="5" t="s">
        <v>488</v>
      </c>
      <c r="Z44" s="45" t="s">
        <v>489</v>
      </c>
      <c r="AA44" s="44" t="s">
        <v>490</v>
      </c>
      <c r="AB44" s="46">
        <v>0.14783300799999999</v>
      </c>
      <c r="AC44" s="46">
        <v>0.14383094799999999</v>
      </c>
      <c r="AD44" s="48">
        <v>0.69184943399999999</v>
      </c>
      <c r="AE44" s="49">
        <v>3.6607549430000002</v>
      </c>
      <c r="AF44" s="46">
        <v>0.18411228800000001</v>
      </c>
      <c r="AG44" s="46">
        <v>6.9099999999999999E-6</v>
      </c>
    </row>
    <row r="45" spans="1:33" x14ac:dyDescent="0.2">
      <c r="A45" s="1"/>
      <c r="C45" s="33"/>
      <c r="G45" s="3"/>
      <c r="I45" s="4"/>
      <c r="U45" s="43">
        <v>4</v>
      </c>
      <c r="V45" s="2" t="s">
        <v>51</v>
      </c>
      <c r="W45" s="2" t="s">
        <v>24</v>
      </c>
      <c r="X45" s="2" t="s">
        <v>373</v>
      </c>
      <c r="Y45" s="5" t="s">
        <v>491</v>
      </c>
      <c r="Z45" s="45" t="s">
        <v>492</v>
      </c>
      <c r="AA45" s="44" t="s">
        <v>493</v>
      </c>
      <c r="AB45" s="46">
        <v>0.15639343</v>
      </c>
      <c r="AC45" s="46">
        <v>0.17018708499999999</v>
      </c>
      <c r="AD45" s="48">
        <v>0.77946038699999998</v>
      </c>
      <c r="AE45" s="49">
        <v>3.9279808269999998</v>
      </c>
      <c r="AF45" s="46">
        <v>0.189381576</v>
      </c>
      <c r="AG45" s="46">
        <v>6.8800000000000002E-6</v>
      </c>
    </row>
    <row r="46" spans="1:33" x14ac:dyDescent="0.2">
      <c r="A46" s="13"/>
      <c r="B46" s="14"/>
      <c r="C46" s="34"/>
      <c r="D46" s="14"/>
      <c r="E46" s="14"/>
      <c r="F46" s="14"/>
      <c r="G46" s="15"/>
      <c r="H46" s="14"/>
      <c r="I46" s="169"/>
      <c r="J46" s="14"/>
      <c r="K46" s="14"/>
      <c r="L46" s="14"/>
      <c r="M46" s="14"/>
      <c r="N46" s="14"/>
      <c r="O46" s="14"/>
      <c r="P46" s="14"/>
      <c r="Q46" s="14"/>
      <c r="R46" s="14"/>
      <c r="S46" s="14"/>
      <c r="T46" s="15"/>
      <c r="U46" s="43">
        <v>5</v>
      </c>
      <c r="V46" s="2" t="s">
        <v>41</v>
      </c>
      <c r="W46" s="2" t="s">
        <v>24</v>
      </c>
      <c r="X46" s="2" t="s">
        <v>373</v>
      </c>
      <c r="Y46" s="5" t="s">
        <v>494</v>
      </c>
      <c r="Z46" s="45" t="s">
        <v>495</v>
      </c>
      <c r="AA46" s="44" t="s">
        <v>496</v>
      </c>
      <c r="AB46" s="46">
        <v>0.130604097</v>
      </c>
      <c r="AC46" s="46">
        <v>0.12591343499999999</v>
      </c>
      <c r="AD46" s="48">
        <v>0.81534930900000002</v>
      </c>
      <c r="AE46" s="49">
        <v>4.5476333130000004</v>
      </c>
      <c r="AF46" s="46">
        <v>0.19428889899999999</v>
      </c>
      <c r="AG46" s="46">
        <v>7.5399999999999998E-6</v>
      </c>
    </row>
    <row r="47" spans="1:33" x14ac:dyDescent="0.2">
      <c r="A47" s="1" t="s">
        <v>103</v>
      </c>
      <c r="B47" s="2" t="s">
        <v>104</v>
      </c>
      <c r="C47" s="33">
        <v>500</v>
      </c>
      <c r="D47" s="2" t="s">
        <v>22</v>
      </c>
      <c r="E47" s="2" t="s">
        <v>23</v>
      </c>
      <c r="F47" s="2" t="s">
        <v>24</v>
      </c>
      <c r="G47" s="3" t="s">
        <v>105</v>
      </c>
      <c r="H47" s="2" t="s">
        <v>26</v>
      </c>
      <c r="I47" s="4" t="s">
        <v>39</v>
      </c>
      <c r="J47" s="2">
        <v>5</v>
      </c>
      <c r="K47" s="2" t="s">
        <v>106</v>
      </c>
      <c r="L47" s="2" t="s">
        <v>87</v>
      </c>
      <c r="M47" s="2" t="s">
        <v>107</v>
      </c>
      <c r="N47" s="2" t="s">
        <v>69</v>
      </c>
      <c r="O47" s="2" t="s">
        <v>35</v>
      </c>
      <c r="R47" s="2" t="s">
        <v>108</v>
      </c>
      <c r="S47" s="2" t="s">
        <v>108</v>
      </c>
      <c r="T47" s="2" t="s">
        <v>109</v>
      </c>
      <c r="U47" s="35">
        <v>1</v>
      </c>
      <c r="V47" s="36" t="s">
        <v>106</v>
      </c>
      <c r="W47" s="36" t="s">
        <v>24</v>
      </c>
      <c r="X47" s="36" t="s">
        <v>373</v>
      </c>
      <c r="Y47" s="65">
        <v>9404752</v>
      </c>
      <c r="Z47" s="38" t="s">
        <v>497</v>
      </c>
      <c r="AA47" s="37" t="s">
        <v>498</v>
      </c>
      <c r="AB47" s="39">
        <v>3.5465714000000002E-2</v>
      </c>
      <c r="AC47" s="39">
        <v>2.6881720000000001E-2</v>
      </c>
      <c r="AD47" s="41">
        <v>5.9127388000000003E-2</v>
      </c>
      <c r="AE47" s="42">
        <v>2.8064709410000002</v>
      </c>
      <c r="AF47" s="39">
        <f t="shared" ref="AF47:AF51" si="0">Z47/Y47</f>
        <v>0.36440461162612264</v>
      </c>
      <c r="AG47" s="39">
        <f t="shared" ref="AG47:AG51" si="1">AA47/Y47</f>
        <v>1.1547353933415788E-4</v>
      </c>
    </row>
    <row r="48" spans="1:33" x14ac:dyDescent="0.2">
      <c r="A48" s="1"/>
      <c r="C48" s="33"/>
      <c r="G48" s="3"/>
      <c r="I48" s="4"/>
      <c r="U48" s="43">
        <v>2</v>
      </c>
      <c r="V48" s="2" t="s">
        <v>87</v>
      </c>
      <c r="W48" s="2" t="s">
        <v>24</v>
      </c>
      <c r="X48" s="2" t="s">
        <v>373</v>
      </c>
      <c r="Y48" s="5">
        <v>222853882</v>
      </c>
      <c r="Z48" s="45" t="s">
        <v>499</v>
      </c>
      <c r="AA48" s="44" t="s">
        <v>500</v>
      </c>
      <c r="AB48" s="46">
        <v>0.28633657699999998</v>
      </c>
      <c r="AC48" s="46">
        <v>0.31643249800000001</v>
      </c>
      <c r="AD48" s="48">
        <v>0.997108675</v>
      </c>
      <c r="AE48" s="49">
        <v>46.531455960000002</v>
      </c>
      <c r="AF48" s="46">
        <f t="shared" si="0"/>
        <v>0.26251013657460093</v>
      </c>
      <c r="AG48" s="46">
        <f t="shared" si="1"/>
        <v>8.0339637072151154E-5</v>
      </c>
    </row>
    <row r="49" spans="1:33" x14ac:dyDescent="0.2">
      <c r="A49" s="1"/>
      <c r="C49" s="33"/>
      <c r="G49" s="3"/>
      <c r="I49" s="4"/>
      <c r="U49" s="43">
        <v>3</v>
      </c>
      <c r="V49" s="2" t="s">
        <v>107</v>
      </c>
      <c r="W49" s="2" t="s">
        <v>24</v>
      </c>
      <c r="X49" s="2" t="s">
        <v>373</v>
      </c>
      <c r="Y49" s="5">
        <v>254041797</v>
      </c>
      <c r="Z49" s="45" t="s">
        <v>501</v>
      </c>
      <c r="AA49" s="44" t="s">
        <v>502</v>
      </c>
      <c r="AB49" s="46">
        <v>0.32878015999999999</v>
      </c>
      <c r="AC49" s="46">
        <v>0.35085986699999999</v>
      </c>
      <c r="AD49" s="48">
        <v>1.0731258809999999</v>
      </c>
      <c r="AE49" s="49">
        <v>50.115757940000002</v>
      </c>
      <c r="AF49" s="46">
        <f t="shared" si="0"/>
        <v>0.24611048551195691</v>
      </c>
      <c r="AG49" s="46">
        <f t="shared" si="1"/>
        <v>7.5034896718196334E-5</v>
      </c>
    </row>
    <row r="50" spans="1:33" x14ac:dyDescent="0.2">
      <c r="A50" s="1"/>
      <c r="C50" s="33"/>
      <c r="G50" s="3"/>
      <c r="I50" s="4"/>
      <c r="U50" s="43">
        <v>4</v>
      </c>
      <c r="V50" s="2" t="s">
        <v>69</v>
      </c>
      <c r="W50" s="2" t="s">
        <v>24</v>
      </c>
      <c r="X50" s="2" t="s">
        <v>373</v>
      </c>
      <c r="Y50" s="5">
        <v>3531469</v>
      </c>
      <c r="Z50" s="45" t="s">
        <v>503</v>
      </c>
      <c r="AA50" s="44" t="s">
        <v>504</v>
      </c>
      <c r="AB50" s="46">
        <v>2.2498989E-2</v>
      </c>
      <c r="AC50" s="46">
        <v>4.2735043E-2</v>
      </c>
      <c r="AD50" s="48">
        <v>2.3503422E-2</v>
      </c>
      <c r="AE50" s="49">
        <v>1.0860994610000001</v>
      </c>
      <c r="AF50" s="46">
        <f t="shared" si="0"/>
        <v>0.42358038538636472</v>
      </c>
      <c r="AG50" s="46">
        <f t="shared" si="1"/>
        <v>1.2685938910974442E-4</v>
      </c>
    </row>
    <row r="51" spans="1:33" x14ac:dyDescent="0.2">
      <c r="A51" s="13"/>
      <c r="B51" s="14"/>
      <c r="C51" s="34"/>
      <c r="D51" s="14"/>
      <c r="E51" s="14"/>
      <c r="F51" s="14"/>
      <c r="G51" s="15"/>
      <c r="H51" s="14"/>
      <c r="I51" s="169"/>
      <c r="J51" s="14"/>
      <c r="K51" s="14"/>
      <c r="L51" s="14"/>
      <c r="M51" s="14"/>
      <c r="N51" s="14"/>
      <c r="O51" s="14"/>
      <c r="P51" s="14"/>
      <c r="Q51" s="14"/>
      <c r="R51" s="14"/>
      <c r="S51" s="14"/>
      <c r="T51" s="15"/>
      <c r="U51" s="50">
        <v>5</v>
      </c>
      <c r="V51" s="8" t="s">
        <v>35</v>
      </c>
      <c r="W51" s="8" t="s">
        <v>24</v>
      </c>
      <c r="X51" s="8" t="s">
        <v>373</v>
      </c>
      <c r="Y51" s="66">
        <v>248927253</v>
      </c>
      <c r="Z51" s="52" t="s">
        <v>505</v>
      </c>
      <c r="AA51" s="51" t="s">
        <v>506</v>
      </c>
      <c r="AB51" s="53">
        <v>0.32975683900000002</v>
      </c>
      <c r="AC51" s="53">
        <v>0.34850120099999998</v>
      </c>
      <c r="AD51" s="55">
        <v>1.051262345</v>
      </c>
      <c r="AE51" s="56">
        <v>48.722588379999998</v>
      </c>
      <c r="AF51" s="53">
        <f t="shared" si="0"/>
        <v>0.24805811840939732</v>
      </c>
      <c r="AG51" s="53">
        <f t="shared" si="1"/>
        <v>7.517457319146972E-5</v>
      </c>
    </row>
    <row r="52" spans="1:33" x14ac:dyDescent="0.2">
      <c r="A52" s="1" t="s">
        <v>110</v>
      </c>
      <c r="B52" s="2" t="s">
        <v>111</v>
      </c>
      <c r="C52" s="33">
        <v>519</v>
      </c>
      <c r="D52" s="2" t="s">
        <v>22</v>
      </c>
      <c r="E52" s="2" t="s">
        <v>23</v>
      </c>
      <c r="F52" s="2" t="s">
        <v>24</v>
      </c>
      <c r="G52" s="3" t="s">
        <v>25</v>
      </c>
      <c r="H52" s="2" t="s">
        <v>26</v>
      </c>
      <c r="I52" s="4" t="s">
        <v>39</v>
      </c>
      <c r="J52" s="2">
        <v>2</v>
      </c>
      <c r="K52" s="2" t="s">
        <v>112</v>
      </c>
      <c r="L52" s="2" t="s">
        <v>113</v>
      </c>
      <c r="T52" s="2" t="s">
        <v>30</v>
      </c>
      <c r="U52" s="43">
        <v>1</v>
      </c>
      <c r="V52" s="2" t="s">
        <v>112</v>
      </c>
      <c r="W52" s="2" t="s">
        <v>24</v>
      </c>
      <c r="X52" s="2" t="s">
        <v>373</v>
      </c>
      <c r="Y52" s="5" t="s">
        <v>507</v>
      </c>
      <c r="Z52" s="45" t="s">
        <v>508</v>
      </c>
      <c r="AA52" s="44" t="s">
        <v>509</v>
      </c>
      <c r="AB52" s="46">
        <v>0.120656705</v>
      </c>
      <c r="AC52" s="46">
        <v>0.56963457900000003</v>
      </c>
      <c r="AD52" s="48">
        <v>3.7722851290000001</v>
      </c>
      <c r="AE52" s="49">
        <v>74.015338529999994</v>
      </c>
      <c r="AF52" s="46">
        <v>0.64047177700000002</v>
      </c>
      <c r="AG52" s="46">
        <v>7.64E-5</v>
      </c>
    </row>
    <row r="53" spans="1:33" x14ac:dyDescent="0.2">
      <c r="A53" s="13"/>
      <c r="B53" s="14"/>
      <c r="C53" s="34"/>
      <c r="D53" s="14"/>
      <c r="E53" s="14"/>
      <c r="F53" s="14"/>
      <c r="G53" s="15"/>
      <c r="H53" s="14"/>
      <c r="I53" s="169"/>
      <c r="J53" s="14"/>
      <c r="K53" s="14"/>
      <c r="L53" s="14"/>
      <c r="M53" s="14"/>
      <c r="N53" s="14"/>
      <c r="O53" s="14"/>
      <c r="P53" s="14"/>
      <c r="Q53" s="14"/>
      <c r="R53" s="14"/>
      <c r="S53" s="14"/>
      <c r="T53" s="15"/>
      <c r="U53" s="43">
        <v>2</v>
      </c>
      <c r="V53" s="2" t="s">
        <v>113</v>
      </c>
      <c r="W53" s="2" t="s">
        <v>24</v>
      </c>
      <c r="X53" s="2" t="s">
        <v>373</v>
      </c>
      <c r="Y53" s="5" t="s">
        <v>510</v>
      </c>
      <c r="Z53" s="45" t="s">
        <v>511</v>
      </c>
      <c r="AA53" s="44" t="s">
        <v>512</v>
      </c>
      <c r="AB53" s="46">
        <v>0.129199337</v>
      </c>
      <c r="AC53" s="46">
        <v>0.460137195</v>
      </c>
      <c r="AD53" s="48">
        <v>2.10403531</v>
      </c>
      <c r="AE53" s="49">
        <v>50.646434990000003</v>
      </c>
      <c r="AF53" s="46">
        <v>0.63484214299999997</v>
      </c>
      <c r="AG53" s="46">
        <v>9.6700000000000006E-5</v>
      </c>
    </row>
    <row r="54" spans="1:33" x14ac:dyDescent="0.2">
      <c r="A54" s="106" t="s">
        <v>116</v>
      </c>
      <c r="B54" s="107" t="s">
        <v>117</v>
      </c>
      <c r="C54" s="175">
        <v>580</v>
      </c>
      <c r="D54" s="107" t="s">
        <v>22</v>
      </c>
      <c r="E54" s="107" t="s">
        <v>23</v>
      </c>
      <c r="F54" s="107" t="s">
        <v>24</v>
      </c>
      <c r="G54" s="176" t="s">
        <v>25</v>
      </c>
      <c r="H54" s="107" t="s">
        <v>26</v>
      </c>
      <c r="I54" s="107">
        <v>6</v>
      </c>
      <c r="J54" s="107">
        <v>1</v>
      </c>
      <c r="K54" s="107" t="s">
        <v>118</v>
      </c>
      <c r="L54" s="107"/>
      <c r="M54" s="107"/>
      <c r="N54" s="107"/>
      <c r="O54" s="107"/>
      <c r="P54" s="107"/>
      <c r="Q54" s="107"/>
      <c r="R54" s="107"/>
      <c r="S54" s="107"/>
      <c r="T54" s="176" t="s">
        <v>30</v>
      </c>
      <c r="U54" s="67">
        <v>1</v>
      </c>
      <c r="V54" s="68" t="s">
        <v>118</v>
      </c>
      <c r="W54" s="68" t="s">
        <v>24</v>
      </c>
      <c r="X54" s="68" t="s">
        <v>373</v>
      </c>
      <c r="Y54" s="69">
        <v>95265302</v>
      </c>
      <c r="Z54" s="70">
        <v>68507897</v>
      </c>
      <c r="AA54" s="71">
        <v>14062</v>
      </c>
      <c r="AB54" s="72">
        <v>3.6389258000000001E-2</v>
      </c>
      <c r="AC54" s="72">
        <v>0.414107746</v>
      </c>
      <c r="AD54" s="73">
        <v>1.547596534</v>
      </c>
      <c r="AE54" s="74">
        <v>49.60569203</v>
      </c>
      <c r="AF54" s="72">
        <v>0.71912748500000001</v>
      </c>
      <c r="AG54" s="72">
        <v>1.4760899999999999E-4</v>
      </c>
    </row>
    <row r="55" spans="1:33" x14ac:dyDescent="0.2">
      <c r="A55" s="106" t="s">
        <v>119</v>
      </c>
      <c r="B55" s="107" t="s">
        <v>120</v>
      </c>
      <c r="C55" s="175">
        <v>408</v>
      </c>
      <c r="D55" s="107" t="s">
        <v>22</v>
      </c>
      <c r="E55" s="107" t="s">
        <v>23</v>
      </c>
      <c r="F55" s="107" t="s">
        <v>24</v>
      </c>
      <c r="G55" s="176" t="s">
        <v>25</v>
      </c>
      <c r="H55" s="107" t="s">
        <v>26</v>
      </c>
      <c r="I55" s="177" t="s">
        <v>85</v>
      </c>
      <c r="J55" s="107">
        <v>1</v>
      </c>
      <c r="K55" s="107" t="s">
        <v>63</v>
      </c>
      <c r="L55" s="107"/>
      <c r="M55" s="107"/>
      <c r="N55" s="107"/>
      <c r="O55" s="107"/>
      <c r="P55" s="107"/>
      <c r="Q55" s="107"/>
      <c r="R55" s="107"/>
      <c r="S55" s="107"/>
      <c r="T55" s="176" t="s">
        <v>30</v>
      </c>
      <c r="U55" s="67">
        <v>1</v>
      </c>
      <c r="V55" s="68" t="s">
        <v>63</v>
      </c>
      <c r="W55" s="68" t="s">
        <v>24</v>
      </c>
      <c r="X55" s="68" t="s">
        <v>373</v>
      </c>
      <c r="Y55" s="69" t="s">
        <v>513</v>
      </c>
      <c r="Z55" s="70" t="s">
        <v>514</v>
      </c>
      <c r="AA55" s="71" t="s">
        <v>515</v>
      </c>
      <c r="AB55" s="72">
        <v>8.2570858999999996E-2</v>
      </c>
      <c r="AC55" s="72">
        <v>0.49390324499999999</v>
      </c>
      <c r="AD55" s="73">
        <v>3.4936143529999999</v>
      </c>
      <c r="AE55" s="74">
        <v>75.1159976</v>
      </c>
      <c r="AF55" s="72">
        <v>0.70722471799999997</v>
      </c>
      <c r="AG55" s="72">
        <v>9.59E-5</v>
      </c>
    </row>
    <row r="56" spans="1:33" x14ac:dyDescent="0.2">
      <c r="A56" s="106" t="s">
        <v>121</v>
      </c>
      <c r="B56" s="107" t="s">
        <v>122</v>
      </c>
      <c r="C56" s="175">
        <v>476</v>
      </c>
      <c r="D56" s="107" t="s">
        <v>22</v>
      </c>
      <c r="E56" s="107" t="s">
        <v>23</v>
      </c>
      <c r="F56" s="107" t="s">
        <v>24</v>
      </c>
      <c r="G56" s="176" t="s">
        <v>25</v>
      </c>
      <c r="H56" s="107" t="s">
        <v>26</v>
      </c>
      <c r="I56" s="177" t="s">
        <v>81</v>
      </c>
      <c r="J56" s="107">
        <v>1</v>
      </c>
      <c r="K56" s="107" t="s">
        <v>64</v>
      </c>
      <c r="L56" s="107"/>
      <c r="M56" s="107"/>
      <c r="N56" s="107"/>
      <c r="O56" s="107"/>
      <c r="P56" s="107"/>
      <c r="Q56" s="107"/>
      <c r="R56" s="107"/>
      <c r="S56" s="107"/>
      <c r="T56" s="176" t="s">
        <v>30</v>
      </c>
      <c r="U56" s="67">
        <v>1</v>
      </c>
      <c r="V56" s="68" t="s">
        <v>64</v>
      </c>
      <c r="W56" s="68" t="s">
        <v>24</v>
      </c>
      <c r="X56" s="68" t="s">
        <v>373</v>
      </c>
      <c r="Y56" s="69" t="s">
        <v>516</v>
      </c>
      <c r="Z56" s="70" t="s">
        <v>517</v>
      </c>
      <c r="AA56" s="71" t="s">
        <v>518</v>
      </c>
      <c r="AB56" s="72">
        <v>9.7393922999999993E-2</v>
      </c>
      <c r="AC56" s="72">
        <v>0.66984848500000005</v>
      </c>
      <c r="AD56" s="73">
        <v>5.1630777820000002</v>
      </c>
      <c r="AE56" s="74">
        <v>96.677711200000005</v>
      </c>
      <c r="AF56" s="72">
        <v>0.674761206</v>
      </c>
      <c r="AG56" s="72">
        <v>7.4900000000000005E-5</v>
      </c>
    </row>
    <row r="57" spans="1:33" x14ac:dyDescent="0.2">
      <c r="A57" s="106" t="s">
        <v>123</v>
      </c>
      <c r="B57" s="107" t="s">
        <v>124</v>
      </c>
      <c r="C57" s="175">
        <v>520</v>
      </c>
      <c r="D57" s="107" t="s">
        <v>22</v>
      </c>
      <c r="E57" s="107" t="s">
        <v>23</v>
      </c>
      <c r="F57" s="107" t="s">
        <v>24</v>
      </c>
      <c r="G57" s="176" t="s">
        <v>25</v>
      </c>
      <c r="H57" s="107" t="s">
        <v>26</v>
      </c>
      <c r="I57" s="177" t="s">
        <v>39</v>
      </c>
      <c r="J57" s="107">
        <v>1</v>
      </c>
      <c r="K57" s="107" t="s">
        <v>46</v>
      </c>
      <c r="L57" s="107"/>
      <c r="M57" s="107"/>
      <c r="N57" s="107"/>
      <c r="O57" s="107"/>
      <c r="P57" s="107"/>
      <c r="Q57" s="107"/>
      <c r="R57" s="107"/>
      <c r="S57" s="107"/>
      <c r="T57" s="176" t="s">
        <v>30</v>
      </c>
      <c r="U57" s="67">
        <v>1</v>
      </c>
      <c r="V57" s="68" t="s">
        <v>46</v>
      </c>
      <c r="W57" s="68" t="s">
        <v>24</v>
      </c>
      <c r="X57" s="68" t="s">
        <v>373</v>
      </c>
      <c r="Y57" s="69" t="s">
        <v>519</v>
      </c>
      <c r="Z57" s="70" t="s">
        <v>520</v>
      </c>
      <c r="AA57" s="71" t="s">
        <v>521</v>
      </c>
      <c r="AB57" s="72">
        <v>6.2394301999999999E-2</v>
      </c>
      <c r="AC57" s="72">
        <v>0.58679741200000002</v>
      </c>
      <c r="AD57" s="73">
        <v>2.7599477339999998</v>
      </c>
      <c r="AE57" s="74">
        <v>75.81324146</v>
      </c>
      <c r="AF57" s="72">
        <v>0.58765726200000001</v>
      </c>
      <c r="AG57" s="72">
        <v>9.9199999999999999E-5</v>
      </c>
    </row>
    <row r="58" spans="1:33" x14ac:dyDescent="0.2">
      <c r="A58" s="1" t="s">
        <v>125</v>
      </c>
      <c r="B58" s="2" t="s">
        <v>126</v>
      </c>
      <c r="C58" s="33">
        <v>417</v>
      </c>
      <c r="D58" s="2" t="s">
        <v>22</v>
      </c>
      <c r="E58" s="2" t="s">
        <v>23</v>
      </c>
      <c r="F58" s="2" t="s">
        <v>24</v>
      </c>
      <c r="G58" s="3" t="s">
        <v>25</v>
      </c>
      <c r="H58" s="2" t="s">
        <v>26</v>
      </c>
      <c r="I58" s="4" t="s">
        <v>55</v>
      </c>
      <c r="J58" s="2">
        <v>3</v>
      </c>
      <c r="K58" s="2" t="s">
        <v>42</v>
      </c>
      <c r="L58" s="2" t="s">
        <v>62</v>
      </c>
      <c r="M58" s="2" t="s">
        <v>92</v>
      </c>
      <c r="T58" s="2" t="s">
        <v>30</v>
      </c>
      <c r="U58" s="43">
        <v>1</v>
      </c>
      <c r="V58" s="2" t="s">
        <v>62</v>
      </c>
      <c r="W58" s="2" t="s">
        <v>24</v>
      </c>
      <c r="X58" s="2" t="s">
        <v>373</v>
      </c>
      <c r="Y58" s="5" t="s">
        <v>522</v>
      </c>
      <c r="Z58" s="45" t="s">
        <v>523</v>
      </c>
      <c r="AA58" s="44" t="s">
        <v>524</v>
      </c>
      <c r="AB58" s="46">
        <v>5.0443106000000001E-2</v>
      </c>
      <c r="AC58" s="46">
        <v>0.17800074299999999</v>
      </c>
      <c r="AD58" s="48">
        <v>0.28958638599999997</v>
      </c>
      <c r="AE58" s="49">
        <v>15.61569802</v>
      </c>
      <c r="AF58" s="46">
        <v>0.70580950600000003</v>
      </c>
      <c r="AG58" s="46">
        <v>2.50695E-4</v>
      </c>
    </row>
    <row r="59" spans="1:33" x14ac:dyDescent="0.2">
      <c r="A59" s="1"/>
      <c r="C59" s="33"/>
      <c r="G59" s="3"/>
      <c r="I59" s="4"/>
      <c r="U59" s="43">
        <v>2</v>
      </c>
      <c r="V59" s="2" t="s">
        <v>92</v>
      </c>
      <c r="W59" s="2" t="s">
        <v>24</v>
      </c>
      <c r="X59" s="2" t="s">
        <v>373</v>
      </c>
      <c r="Y59" s="5" t="s">
        <v>525</v>
      </c>
      <c r="Z59" s="45" t="s">
        <v>526</v>
      </c>
      <c r="AA59" s="44" t="s">
        <v>527</v>
      </c>
      <c r="AB59" s="46">
        <v>5.7459456999999999E-2</v>
      </c>
      <c r="AC59" s="46">
        <v>0.19145103199999999</v>
      </c>
      <c r="AD59" s="48">
        <v>0.32810189200000001</v>
      </c>
      <c r="AE59" s="49">
        <v>17.453445179999999</v>
      </c>
      <c r="AF59" s="46">
        <v>0.71068466600000002</v>
      </c>
      <c r="AG59" s="46">
        <v>2.4671200000000001E-4</v>
      </c>
    </row>
    <row r="60" spans="1:33" x14ac:dyDescent="0.2">
      <c r="A60" s="13"/>
      <c r="B60" s="14"/>
      <c r="C60" s="34"/>
      <c r="D60" s="14"/>
      <c r="E60" s="14"/>
      <c r="F60" s="14"/>
      <c r="G60" s="15"/>
      <c r="H60" s="14"/>
      <c r="I60" s="169"/>
      <c r="J60" s="14"/>
      <c r="K60" s="14"/>
      <c r="L60" s="14"/>
      <c r="M60" s="14"/>
      <c r="N60" s="14"/>
      <c r="O60" s="14"/>
      <c r="P60" s="14"/>
      <c r="Q60" s="14"/>
      <c r="R60" s="14"/>
      <c r="S60" s="14"/>
      <c r="T60" s="15"/>
      <c r="U60" s="43">
        <v>3</v>
      </c>
      <c r="V60" s="2" t="s">
        <v>42</v>
      </c>
      <c r="W60" s="2" t="s">
        <v>24</v>
      </c>
      <c r="X60" s="2" t="s">
        <v>373</v>
      </c>
      <c r="Y60" s="5" t="s">
        <v>528</v>
      </c>
      <c r="Z60" s="45" t="s">
        <v>529</v>
      </c>
      <c r="AA60" s="44" t="s">
        <v>530</v>
      </c>
      <c r="AB60" s="46">
        <v>5.0103291000000001E-2</v>
      </c>
      <c r="AC60" s="46">
        <v>0.58576577699999999</v>
      </c>
      <c r="AD60" s="48">
        <v>2.6465694439999998</v>
      </c>
      <c r="AE60" s="49">
        <v>78.539664470000005</v>
      </c>
      <c r="AF60" s="46">
        <v>0.69878807899999995</v>
      </c>
      <c r="AG60" s="46">
        <v>1.21573E-4</v>
      </c>
    </row>
    <row r="61" spans="1:33" x14ac:dyDescent="0.2">
      <c r="A61" s="1" t="s">
        <v>134</v>
      </c>
      <c r="B61" s="2" t="s">
        <v>135</v>
      </c>
      <c r="C61" s="33">
        <v>350</v>
      </c>
      <c r="D61" s="2" t="s">
        <v>22</v>
      </c>
      <c r="E61" s="2" t="s">
        <v>23</v>
      </c>
      <c r="F61" s="2" t="s">
        <v>24</v>
      </c>
      <c r="G61" s="3" t="s">
        <v>105</v>
      </c>
      <c r="H61" s="2" t="s">
        <v>26</v>
      </c>
      <c r="I61" s="4" t="s">
        <v>85</v>
      </c>
      <c r="J61" s="2">
        <v>5</v>
      </c>
      <c r="K61" s="2" t="s">
        <v>101</v>
      </c>
      <c r="L61" s="2" t="s">
        <v>51</v>
      </c>
      <c r="M61" s="2" t="s">
        <v>52</v>
      </c>
      <c r="N61" s="2" t="s">
        <v>68</v>
      </c>
      <c r="O61" s="2" t="s">
        <v>102</v>
      </c>
      <c r="R61" s="2" t="s">
        <v>136</v>
      </c>
      <c r="S61" s="2" t="s">
        <v>136</v>
      </c>
      <c r="T61" s="2" t="s">
        <v>109</v>
      </c>
      <c r="U61" s="35">
        <v>1</v>
      </c>
      <c r="V61" s="36" t="s">
        <v>68</v>
      </c>
      <c r="W61" s="36" t="s">
        <v>24</v>
      </c>
      <c r="X61" s="36" t="s">
        <v>373</v>
      </c>
      <c r="Y61" s="65">
        <v>29369066</v>
      </c>
      <c r="Z61" s="38" t="s">
        <v>531</v>
      </c>
      <c r="AA61" s="37" t="s">
        <v>532</v>
      </c>
      <c r="AB61" s="39">
        <v>8.7255294999999997E-2</v>
      </c>
      <c r="AC61" s="39">
        <v>8.0495356000000004E-2</v>
      </c>
      <c r="AD61" s="41">
        <v>6.7610979000000002E-2</v>
      </c>
      <c r="AE61" s="42">
        <v>6.244038346</v>
      </c>
      <c r="AF61" s="39">
        <f t="shared" ref="AF61:AF69" si="2">Z61/Y61</f>
        <v>7.8078546999077195E-2</v>
      </c>
      <c r="AG61" s="39">
        <f t="shared" ref="AG61:AG69" si="3">AA61/Y61</f>
        <v>5.0563405727645542E-5</v>
      </c>
    </row>
    <row r="62" spans="1:33" x14ac:dyDescent="0.2">
      <c r="A62" s="1"/>
      <c r="C62" s="33"/>
      <c r="G62" s="3"/>
      <c r="I62" s="4"/>
      <c r="U62" s="43">
        <v>2</v>
      </c>
      <c r="V62" s="2" t="s">
        <v>101</v>
      </c>
      <c r="W62" s="2" t="s">
        <v>24</v>
      </c>
      <c r="X62" s="2" t="s">
        <v>373</v>
      </c>
      <c r="Y62" s="5">
        <v>7863870</v>
      </c>
      <c r="Z62" s="45" t="s">
        <v>533</v>
      </c>
      <c r="AA62" s="44" t="s">
        <v>534</v>
      </c>
      <c r="AB62" s="46">
        <v>3.2733829999999998E-2</v>
      </c>
      <c r="AC62" s="46">
        <v>2.4590164000000001E-2</v>
      </c>
      <c r="AD62" s="48">
        <v>1.7428065999999999E-2</v>
      </c>
      <c r="AE62" s="49">
        <v>1.770461354</v>
      </c>
      <c r="AF62" s="46">
        <f t="shared" si="2"/>
        <v>8.6767202407974697E-2</v>
      </c>
      <c r="AG62" s="46">
        <f t="shared" si="3"/>
        <v>6.0529993501927166E-5</v>
      </c>
    </row>
    <row r="63" spans="1:33" x14ac:dyDescent="0.2">
      <c r="A63" s="1"/>
      <c r="C63" s="33"/>
      <c r="G63" s="3"/>
      <c r="I63" s="4"/>
      <c r="U63" s="43">
        <v>3</v>
      </c>
      <c r="V63" s="2" t="s">
        <v>102</v>
      </c>
      <c r="W63" s="2" t="s">
        <v>24</v>
      </c>
      <c r="X63" s="2" t="s">
        <v>373</v>
      </c>
      <c r="Y63" s="5">
        <v>770688890</v>
      </c>
      <c r="Z63" s="45" t="s">
        <v>535</v>
      </c>
      <c r="AA63" s="44" t="s">
        <v>536</v>
      </c>
      <c r="AB63" s="46">
        <v>0.65540835799999997</v>
      </c>
      <c r="AC63" s="46">
        <v>0.65519485</v>
      </c>
      <c r="AD63" s="48">
        <v>0.62566248999999996</v>
      </c>
      <c r="AE63" s="49">
        <v>58.132834029999998</v>
      </c>
      <c r="AF63" s="46">
        <f t="shared" si="2"/>
        <v>2.9657511995534281E-2</v>
      </c>
      <c r="AG63" s="46">
        <f t="shared" si="3"/>
        <v>1.9252905021116887E-5</v>
      </c>
    </row>
    <row r="64" spans="1:33" x14ac:dyDescent="0.2">
      <c r="A64" s="1"/>
      <c r="C64" s="33"/>
      <c r="G64" s="3"/>
      <c r="I64" s="4"/>
      <c r="U64" s="43">
        <v>4</v>
      </c>
      <c r="V64" s="2" t="s">
        <v>51</v>
      </c>
      <c r="W64" s="2" t="s">
        <v>24</v>
      </c>
      <c r="X64" s="2" t="s">
        <v>373</v>
      </c>
      <c r="Y64" s="5">
        <v>810259524</v>
      </c>
      <c r="Z64" s="45" t="s">
        <v>537</v>
      </c>
      <c r="AA64" s="44" t="s">
        <v>538</v>
      </c>
      <c r="AB64" s="46">
        <v>0.686683288</v>
      </c>
      <c r="AC64" s="46">
        <v>0.68627750300000001</v>
      </c>
      <c r="AD64" s="48">
        <v>0.60410191199999996</v>
      </c>
      <c r="AE64" s="49">
        <v>55.924445779999999</v>
      </c>
      <c r="AF64" s="46">
        <f t="shared" si="2"/>
        <v>2.7360922449336123E-2</v>
      </c>
      <c r="AG64" s="46">
        <f t="shared" si="3"/>
        <v>1.7756039360050769E-5</v>
      </c>
    </row>
    <row r="65" spans="1:33" x14ac:dyDescent="0.2">
      <c r="A65" s="13"/>
      <c r="B65" s="14"/>
      <c r="C65" s="34"/>
      <c r="D65" s="14"/>
      <c r="E65" s="14"/>
      <c r="F65" s="14"/>
      <c r="G65" s="15"/>
      <c r="H65" s="14"/>
      <c r="I65" s="169"/>
      <c r="J65" s="14"/>
      <c r="K65" s="14"/>
      <c r="L65" s="14"/>
      <c r="M65" s="14"/>
      <c r="N65" s="14"/>
      <c r="O65" s="14"/>
      <c r="P65" s="14"/>
      <c r="Q65" s="14"/>
      <c r="R65" s="14"/>
      <c r="S65" s="14"/>
      <c r="T65" s="15"/>
      <c r="U65" s="50">
        <v>5</v>
      </c>
      <c r="V65" s="8" t="s">
        <v>52</v>
      </c>
      <c r="W65" s="8" t="s">
        <v>24</v>
      </c>
      <c r="X65" s="8" t="s">
        <v>373</v>
      </c>
      <c r="Y65" s="66">
        <v>555212126</v>
      </c>
      <c r="Z65" s="52" t="s">
        <v>539</v>
      </c>
      <c r="AA65" s="51" t="s">
        <v>540</v>
      </c>
      <c r="AB65" s="53">
        <v>0.58425335599999995</v>
      </c>
      <c r="AC65" s="53">
        <v>0.58607825000000002</v>
      </c>
      <c r="AD65" s="55">
        <v>0.53458334900000004</v>
      </c>
      <c r="AE65" s="56">
        <v>50.711324150000003</v>
      </c>
      <c r="AF65" s="53">
        <f t="shared" si="2"/>
        <v>3.5339413678439728E-2</v>
      </c>
      <c r="AG65" s="53">
        <f t="shared" si="3"/>
        <v>2.3380253045842157E-5</v>
      </c>
    </row>
    <row r="66" spans="1:33" x14ac:dyDescent="0.2">
      <c r="A66" s="1" t="s">
        <v>137</v>
      </c>
      <c r="B66" s="2" t="s">
        <v>138</v>
      </c>
      <c r="C66" s="33">
        <v>270</v>
      </c>
      <c r="D66" s="2" t="s">
        <v>22</v>
      </c>
      <c r="E66" s="2" t="s">
        <v>23</v>
      </c>
      <c r="F66" s="2" t="s">
        <v>24</v>
      </c>
      <c r="G66" s="3" t="s">
        <v>105</v>
      </c>
      <c r="H66" s="2" t="s">
        <v>26</v>
      </c>
      <c r="I66" s="4" t="s">
        <v>97</v>
      </c>
      <c r="J66" s="2">
        <v>4</v>
      </c>
      <c r="K66" s="2" t="s">
        <v>139</v>
      </c>
      <c r="L66" s="2" t="s">
        <v>70</v>
      </c>
      <c r="M66" s="2" t="s">
        <v>140</v>
      </c>
      <c r="N66" s="2" t="s">
        <v>45</v>
      </c>
      <c r="R66" s="2" t="s">
        <v>141</v>
      </c>
      <c r="S66" s="2" t="s">
        <v>141</v>
      </c>
      <c r="T66" s="2" t="s">
        <v>109</v>
      </c>
      <c r="U66" s="43">
        <v>1</v>
      </c>
      <c r="V66" s="2" t="s">
        <v>140</v>
      </c>
      <c r="W66" s="2" t="s">
        <v>24</v>
      </c>
      <c r="X66" s="2" t="s">
        <v>373</v>
      </c>
      <c r="Y66" s="5">
        <v>64352178</v>
      </c>
      <c r="Z66" s="45" t="s">
        <v>541</v>
      </c>
      <c r="AA66" s="44" t="s">
        <v>542</v>
      </c>
      <c r="AB66" s="46">
        <v>9.9439341000000001E-2</v>
      </c>
      <c r="AC66" s="46">
        <v>0.10202251699999999</v>
      </c>
      <c r="AD66" s="48">
        <v>0.99890677699999997</v>
      </c>
      <c r="AE66" s="49">
        <v>74.813900540000006</v>
      </c>
      <c r="AF66" s="46">
        <f t="shared" si="2"/>
        <v>0.54955939486616912</v>
      </c>
      <c r="AG66" s="46">
        <f t="shared" si="3"/>
        <v>2.8011483931437411E-4</v>
      </c>
    </row>
    <row r="67" spans="1:33" x14ac:dyDescent="0.2">
      <c r="A67" s="1"/>
      <c r="C67" s="33"/>
      <c r="G67" s="3"/>
      <c r="I67" s="4"/>
      <c r="U67" s="43">
        <v>2</v>
      </c>
      <c r="V67" s="2" t="s">
        <v>45</v>
      </c>
      <c r="W67" s="2" t="s">
        <v>24</v>
      </c>
      <c r="X67" s="2" t="s">
        <v>373</v>
      </c>
      <c r="Y67" s="5">
        <v>62624429</v>
      </c>
      <c r="Z67" s="45" t="s">
        <v>543</v>
      </c>
      <c r="AA67" s="44" t="s">
        <v>544</v>
      </c>
      <c r="AB67" s="46">
        <v>0.100373243</v>
      </c>
      <c r="AC67" s="46">
        <v>0.10180995499999999</v>
      </c>
      <c r="AD67" s="48">
        <v>0.95407417699999997</v>
      </c>
      <c r="AE67" s="49">
        <v>71.745056919999996</v>
      </c>
      <c r="AF67" s="46">
        <f t="shared" si="2"/>
        <v>0.54484519132302189</v>
      </c>
      <c r="AG67" s="46">
        <f t="shared" si="3"/>
        <v>2.7893268296306541E-4</v>
      </c>
    </row>
    <row r="68" spans="1:33" x14ac:dyDescent="0.2">
      <c r="A68" s="1"/>
      <c r="C68" s="33"/>
      <c r="G68" s="3"/>
      <c r="I68" s="4"/>
      <c r="U68" s="43">
        <v>3</v>
      </c>
      <c r="V68" s="2" t="s">
        <v>70</v>
      </c>
      <c r="W68" s="2" t="s">
        <v>24</v>
      </c>
      <c r="X68" s="2" t="s">
        <v>373</v>
      </c>
      <c r="Y68" s="5">
        <v>90692658</v>
      </c>
      <c r="Z68" s="45" t="s">
        <v>545</v>
      </c>
      <c r="AA68" s="44" t="s">
        <v>546</v>
      </c>
      <c r="AB68" s="46">
        <v>0.13524040900000001</v>
      </c>
      <c r="AC68" s="46">
        <v>0.13361467799999999</v>
      </c>
      <c r="AD68" s="48">
        <v>1.3836568389999999</v>
      </c>
      <c r="AE68" s="49">
        <v>102.2641102</v>
      </c>
      <c r="AF68" s="46">
        <f t="shared" si="2"/>
        <v>0.53279412099709333</v>
      </c>
      <c r="AG68" s="46">
        <f t="shared" si="3"/>
        <v>2.6711092754608647E-4</v>
      </c>
    </row>
    <row r="69" spans="1:33" x14ac:dyDescent="0.2">
      <c r="A69" s="13"/>
      <c r="B69" s="14"/>
      <c r="C69" s="34"/>
      <c r="D69" s="14"/>
      <c r="E69" s="14"/>
      <c r="F69" s="14"/>
      <c r="G69" s="15"/>
      <c r="H69" s="14"/>
      <c r="I69" s="169"/>
      <c r="J69" s="14"/>
      <c r="K69" s="14"/>
      <c r="L69" s="14"/>
      <c r="M69" s="14"/>
      <c r="N69" s="14"/>
      <c r="O69" s="14"/>
      <c r="P69" s="14"/>
      <c r="Q69" s="14"/>
      <c r="R69" s="14"/>
      <c r="S69" s="14"/>
      <c r="T69" s="15"/>
      <c r="U69" s="43">
        <v>4</v>
      </c>
      <c r="V69" s="2" t="s">
        <v>139</v>
      </c>
      <c r="W69" s="2" t="s">
        <v>24</v>
      </c>
      <c r="X69" s="2" t="s">
        <v>373</v>
      </c>
      <c r="Y69" s="5">
        <v>10322161</v>
      </c>
      <c r="Z69" s="45" t="s">
        <v>547</v>
      </c>
      <c r="AA69" s="44" t="s">
        <v>548</v>
      </c>
      <c r="AB69" s="46">
        <v>4.0941541999999997E-2</v>
      </c>
      <c r="AC69" s="46">
        <v>3.8689547999999997E-2</v>
      </c>
      <c r="AD69" s="48">
        <v>0.16853754800000001</v>
      </c>
      <c r="AE69" s="49">
        <v>13.420491309999999</v>
      </c>
      <c r="AF69" s="46">
        <f t="shared" si="2"/>
        <v>0.55435213614668477</v>
      </c>
      <c r="AG69" s="46">
        <f t="shared" si="3"/>
        <v>2.984840093077409E-4</v>
      </c>
    </row>
    <row r="70" spans="1:33" x14ac:dyDescent="0.2">
      <c r="A70" s="1" t="s">
        <v>142</v>
      </c>
      <c r="B70" s="2" t="s">
        <v>143</v>
      </c>
      <c r="C70" s="33">
        <v>590</v>
      </c>
      <c r="D70" s="2" t="s">
        <v>22</v>
      </c>
      <c r="E70" s="2" t="s">
        <v>23</v>
      </c>
      <c r="F70" s="2" t="s">
        <v>24</v>
      </c>
      <c r="G70" s="3" t="s">
        <v>25</v>
      </c>
      <c r="H70" s="2" t="s">
        <v>26</v>
      </c>
      <c r="I70" s="4" t="s">
        <v>27</v>
      </c>
      <c r="J70" s="2">
        <v>3</v>
      </c>
      <c r="K70" s="2" t="s">
        <v>29</v>
      </c>
      <c r="L70" s="2" t="s">
        <v>58</v>
      </c>
      <c r="M70" s="2" t="s">
        <v>57</v>
      </c>
      <c r="T70" s="2" t="s">
        <v>30</v>
      </c>
      <c r="U70" s="35">
        <v>1</v>
      </c>
      <c r="V70" s="36" t="s">
        <v>58</v>
      </c>
      <c r="W70" s="36" t="s">
        <v>24</v>
      </c>
      <c r="X70" s="36" t="s">
        <v>373</v>
      </c>
      <c r="Y70" s="65" t="s">
        <v>549</v>
      </c>
      <c r="Z70" s="38" t="s">
        <v>550</v>
      </c>
      <c r="AA70" s="37" t="s">
        <v>551</v>
      </c>
      <c r="AB70" s="39">
        <v>2.4702018999999999E-2</v>
      </c>
      <c r="AC70" s="39">
        <v>0.230627533</v>
      </c>
      <c r="AD70" s="41">
        <v>0.49650799099999998</v>
      </c>
      <c r="AE70" s="42">
        <v>20.83133613</v>
      </c>
      <c r="AF70" s="39">
        <v>0.71926462599999996</v>
      </c>
      <c r="AG70" s="39">
        <v>1.9785000000000001E-4</v>
      </c>
    </row>
    <row r="71" spans="1:33" x14ac:dyDescent="0.2">
      <c r="A71" s="1"/>
      <c r="C71" s="33"/>
      <c r="G71" s="3"/>
      <c r="I71" s="4"/>
      <c r="U71" s="43">
        <v>2</v>
      </c>
      <c r="V71" s="2" t="s">
        <v>57</v>
      </c>
      <c r="W71" s="2" t="s">
        <v>24</v>
      </c>
      <c r="X71" s="2" t="s">
        <v>373</v>
      </c>
      <c r="Y71" s="5" t="s">
        <v>552</v>
      </c>
      <c r="Z71" s="45" t="s">
        <v>553</v>
      </c>
      <c r="AA71" s="44" t="s">
        <v>554</v>
      </c>
      <c r="AB71" s="46">
        <v>3.4655481000000002E-2</v>
      </c>
      <c r="AC71" s="46">
        <v>0.37325164700000002</v>
      </c>
      <c r="AD71" s="48">
        <v>1.0470590609999999</v>
      </c>
      <c r="AE71" s="49">
        <v>37.093888560000003</v>
      </c>
      <c r="AF71" s="46">
        <v>0.71328053999999996</v>
      </c>
      <c r="AG71" s="46">
        <v>1.6123E-4</v>
      </c>
    </row>
    <row r="72" spans="1:33" x14ac:dyDescent="0.2">
      <c r="A72" s="13"/>
      <c r="B72" s="14"/>
      <c r="C72" s="34"/>
      <c r="D72" s="14"/>
      <c r="E72" s="14"/>
      <c r="F72" s="14"/>
      <c r="G72" s="15"/>
      <c r="H72" s="14"/>
      <c r="I72" s="169"/>
      <c r="J72" s="14"/>
      <c r="K72" s="14"/>
      <c r="L72" s="14"/>
      <c r="M72" s="14"/>
      <c r="N72" s="14"/>
      <c r="O72" s="14"/>
      <c r="P72" s="14"/>
      <c r="Q72" s="14"/>
      <c r="R72" s="14"/>
      <c r="S72" s="14"/>
      <c r="T72" s="15"/>
      <c r="U72" s="50">
        <v>3</v>
      </c>
      <c r="V72" s="8" t="s">
        <v>29</v>
      </c>
      <c r="W72" s="8" t="s">
        <v>24</v>
      </c>
      <c r="X72" s="8" t="s">
        <v>373</v>
      </c>
      <c r="Y72" s="66" t="s">
        <v>555</v>
      </c>
      <c r="Z72" s="52" t="s">
        <v>556</v>
      </c>
      <c r="AA72" s="51" t="s">
        <v>557</v>
      </c>
      <c r="AB72" s="53">
        <v>2.3489157E-2</v>
      </c>
      <c r="AC72" s="53">
        <v>0.113531758</v>
      </c>
      <c r="AD72" s="55">
        <v>0.202490788</v>
      </c>
      <c r="AE72" s="56">
        <v>9.3750748949999991</v>
      </c>
      <c r="AF72" s="53">
        <v>0.71071726300000004</v>
      </c>
      <c r="AG72" s="53">
        <v>2.2149600000000001E-4</v>
      </c>
    </row>
    <row r="73" spans="1:33" x14ac:dyDescent="0.2">
      <c r="A73" s="1" t="s">
        <v>146</v>
      </c>
      <c r="B73" s="2" t="s">
        <v>147</v>
      </c>
      <c r="C73" s="33">
        <v>730</v>
      </c>
      <c r="D73" s="2" t="s">
        <v>22</v>
      </c>
      <c r="E73" s="2" t="s">
        <v>23</v>
      </c>
      <c r="F73" s="2" t="s">
        <v>24</v>
      </c>
      <c r="G73" s="3" t="s">
        <v>25</v>
      </c>
      <c r="H73" s="2" t="s">
        <v>26</v>
      </c>
      <c r="I73" s="2">
        <v>4</v>
      </c>
      <c r="J73" s="2">
        <v>3</v>
      </c>
      <c r="K73" s="2" t="s">
        <v>56</v>
      </c>
      <c r="L73" s="2" t="s">
        <v>71</v>
      </c>
      <c r="M73" s="2" t="s">
        <v>72</v>
      </c>
      <c r="T73" s="2" t="s">
        <v>30</v>
      </c>
      <c r="U73" s="35">
        <v>1</v>
      </c>
      <c r="V73" s="36" t="s">
        <v>56</v>
      </c>
      <c r="W73" s="36" t="s">
        <v>24</v>
      </c>
      <c r="X73" s="36" t="s">
        <v>373</v>
      </c>
      <c r="Y73" s="65">
        <v>22104402</v>
      </c>
      <c r="Z73" s="38">
        <v>15361433</v>
      </c>
      <c r="AA73" s="37">
        <v>4055</v>
      </c>
      <c r="AB73" s="39">
        <v>1.5920486000000001E-2</v>
      </c>
      <c r="AC73" s="39">
        <v>0.14595619200000001</v>
      </c>
      <c r="AD73" s="41">
        <v>0.33638425900000002</v>
      </c>
      <c r="AE73" s="42">
        <v>13.3494308</v>
      </c>
      <c r="AF73" s="39">
        <v>0.69494904199999996</v>
      </c>
      <c r="AG73" s="39">
        <v>1.8344800000000001E-4</v>
      </c>
    </row>
    <row r="74" spans="1:33" x14ac:dyDescent="0.2">
      <c r="A74" s="1"/>
      <c r="C74" s="33"/>
      <c r="G74" s="3"/>
      <c r="U74" s="43">
        <v>2</v>
      </c>
      <c r="V74" s="2" t="s">
        <v>71</v>
      </c>
      <c r="W74" s="2" t="s">
        <v>24</v>
      </c>
      <c r="X74" s="2" t="s">
        <v>373</v>
      </c>
      <c r="Y74" s="5">
        <v>42357943</v>
      </c>
      <c r="Z74" s="45">
        <v>28869704</v>
      </c>
      <c r="AA74" s="44">
        <v>6776</v>
      </c>
      <c r="AB74" s="46">
        <v>2.5779943E-2</v>
      </c>
      <c r="AC74" s="46">
        <v>0.237022858</v>
      </c>
      <c r="AD74" s="48">
        <v>0.62819543300000003</v>
      </c>
      <c r="AE74" s="49">
        <v>22.577171960000001</v>
      </c>
      <c r="AF74" s="46">
        <v>0.68156529700000001</v>
      </c>
      <c r="AG74" s="46">
        <v>1.5997E-4</v>
      </c>
    </row>
    <row r="75" spans="1:33" x14ac:dyDescent="0.2">
      <c r="A75" s="13"/>
      <c r="B75" s="14"/>
      <c r="C75" s="34"/>
      <c r="D75" s="14"/>
      <c r="E75" s="14"/>
      <c r="F75" s="14"/>
      <c r="G75" s="15"/>
      <c r="H75" s="14"/>
      <c r="I75" s="14"/>
      <c r="J75" s="14"/>
      <c r="K75" s="14"/>
      <c r="L75" s="14"/>
      <c r="M75" s="14"/>
      <c r="N75" s="14"/>
      <c r="O75" s="14"/>
      <c r="P75" s="14"/>
      <c r="Q75" s="14"/>
      <c r="R75" s="14"/>
      <c r="S75" s="14"/>
      <c r="T75" s="15"/>
      <c r="U75" s="50">
        <v>3</v>
      </c>
      <c r="V75" s="8" t="s">
        <v>72</v>
      </c>
      <c r="W75" s="8" t="s">
        <v>24</v>
      </c>
      <c r="X75" s="8" t="s">
        <v>373</v>
      </c>
      <c r="Y75" s="66">
        <v>39523226</v>
      </c>
      <c r="Z75" s="52">
        <v>26920683</v>
      </c>
      <c r="AA75" s="51">
        <v>6378</v>
      </c>
      <c r="AB75" s="53">
        <v>2.5740427999999999E-2</v>
      </c>
      <c r="AC75" s="53">
        <v>0.21530511799999999</v>
      </c>
      <c r="AD75" s="55">
        <v>0.58470145299999998</v>
      </c>
      <c r="AE75" s="56">
        <v>21.083403239999999</v>
      </c>
      <c r="AF75" s="53">
        <v>0.681135771</v>
      </c>
      <c r="AG75" s="53">
        <v>1.61373E-4</v>
      </c>
    </row>
    <row r="76" spans="1:33" x14ac:dyDescent="0.2">
      <c r="A76" s="1" t="s">
        <v>149</v>
      </c>
      <c r="B76" s="2" t="s">
        <v>150</v>
      </c>
      <c r="C76" s="33">
        <v>336</v>
      </c>
      <c r="D76" s="2" t="s">
        <v>22</v>
      </c>
      <c r="E76" s="2" t="s">
        <v>23</v>
      </c>
      <c r="F76" s="2" t="s">
        <v>24</v>
      </c>
      <c r="G76" s="3" t="s">
        <v>25</v>
      </c>
      <c r="H76" s="2" t="s">
        <v>26</v>
      </c>
      <c r="I76" s="4" t="s">
        <v>151</v>
      </c>
      <c r="J76" s="2">
        <v>4</v>
      </c>
      <c r="K76" s="2" t="s">
        <v>69</v>
      </c>
      <c r="L76" s="2" t="s">
        <v>40</v>
      </c>
      <c r="M76" s="2" t="s">
        <v>56</v>
      </c>
      <c r="N76" s="2" t="s">
        <v>68</v>
      </c>
      <c r="T76" s="2" t="s">
        <v>30</v>
      </c>
      <c r="U76" s="35">
        <v>1</v>
      </c>
      <c r="V76" s="36" t="s">
        <v>69</v>
      </c>
      <c r="W76" s="36" t="s">
        <v>24</v>
      </c>
      <c r="X76" s="36" t="s">
        <v>373</v>
      </c>
      <c r="Y76" s="65" t="s">
        <v>558</v>
      </c>
      <c r="Z76" s="38" t="s">
        <v>559</v>
      </c>
      <c r="AA76" s="37" t="s">
        <v>560</v>
      </c>
      <c r="AB76" s="39">
        <v>0.26780109000000002</v>
      </c>
      <c r="AC76" s="39">
        <v>0.28657487100000001</v>
      </c>
      <c r="AD76" s="41">
        <v>6.8517931000000004E-2</v>
      </c>
      <c r="AE76" s="42">
        <v>2.6908328340000001</v>
      </c>
      <c r="AF76" s="39">
        <v>0.55117488699999995</v>
      </c>
      <c r="AG76" s="39">
        <v>1.5080700000000001E-4</v>
      </c>
    </row>
    <row r="77" spans="1:33" x14ac:dyDescent="0.2">
      <c r="A77" s="1"/>
      <c r="C77" s="33"/>
      <c r="G77" s="3"/>
      <c r="I77" s="4"/>
      <c r="U77" s="43">
        <v>2</v>
      </c>
      <c r="V77" s="2" t="s">
        <v>40</v>
      </c>
      <c r="W77" s="2" t="s">
        <v>24</v>
      </c>
      <c r="X77" s="2" t="s">
        <v>373</v>
      </c>
      <c r="Y77" s="5" t="s">
        <v>561</v>
      </c>
      <c r="Z77" s="45" t="s">
        <v>562</v>
      </c>
      <c r="AA77" s="44" t="s">
        <v>563</v>
      </c>
      <c r="AB77" s="46">
        <v>7.7620703999999999E-2</v>
      </c>
      <c r="AC77" s="46">
        <v>0.42792672199999998</v>
      </c>
      <c r="AD77" s="48">
        <v>1.853038473</v>
      </c>
      <c r="AE77" s="49">
        <v>52.207010189999998</v>
      </c>
      <c r="AF77" s="46">
        <v>0.67858943199999999</v>
      </c>
      <c r="AG77" s="46">
        <v>1.21101E-4</v>
      </c>
    </row>
    <row r="78" spans="1:33" x14ac:dyDescent="0.2">
      <c r="A78" s="1"/>
      <c r="C78" s="33"/>
      <c r="G78" s="3"/>
      <c r="I78" s="4"/>
      <c r="U78" s="43">
        <v>3</v>
      </c>
      <c r="V78" s="2" t="s">
        <v>68</v>
      </c>
      <c r="W78" s="2" t="s">
        <v>24</v>
      </c>
      <c r="X78" s="2" t="s">
        <v>373</v>
      </c>
      <c r="Y78" s="5" t="s">
        <v>564</v>
      </c>
      <c r="Z78" s="45" t="s">
        <v>565</v>
      </c>
      <c r="AA78" s="44" t="s">
        <v>566</v>
      </c>
      <c r="AB78" s="46">
        <v>0.134289885</v>
      </c>
      <c r="AC78" s="46">
        <v>0.31128307500000002</v>
      </c>
      <c r="AD78" s="48">
        <v>0.77564197899999998</v>
      </c>
      <c r="AE78" s="49">
        <v>27.299400840000001</v>
      </c>
      <c r="AF78" s="46">
        <v>0.63469042099999995</v>
      </c>
      <c r="AG78" s="46">
        <v>1.4899800000000001E-4</v>
      </c>
    </row>
    <row r="79" spans="1:33" x14ac:dyDescent="0.2">
      <c r="A79" s="13"/>
      <c r="B79" s="14"/>
      <c r="C79" s="34"/>
      <c r="D79" s="14"/>
      <c r="E79" s="14"/>
      <c r="F79" s="14"/>
      <c r="G79" s="15"/>
      <c r="H79" s="14"/>
      <c r="I79" s="169"/>
      <c r="J79" s="14"/>
      <c r="K79" s="14"/>
      <c r="L79" s="14"/>
      <c r="M79" s="14"/>
      <c r="N79" s="14"/>
      <c r="O79" s="14"/>
      <c r="P79" s="14"/>
      <c r="Q79" s="14"/>
      <c r="R79" s="14"/>
      <c r="S79" s="14"/>
      <c r="T79" s="15"/>
      <c r="U79" s="50">
        <v>4</v>
      </c>
      <c r="V79" s="8" t="s">
        <v>56</v>
      </c>
      <c r="W79" s="8" t="s">
        <v>24</v>
      </c>
      <c r="X79" s="8" t="s">
        <v>373</v>
      </c>
      <c r="Y79" s="66" t="s">
        <v>567</v>
      </c>
      <c r="Z79" s="52" t="s">
        <v>568</v>
      </c>
      <c r="AA79" s="51" t="s">
        <v>569</v>
      </c>
      <c r="AB79" s="53">
        <v>0.15039176800000001</v>
      </c>
      <c r="AC79" s="53">
        <v>0.33695567199999998</v>
      </c>
      <c r="AD79" s="55">
        <v>0.83600592100000004</v>
      </c>
      <c r="AE79" s="56">
        <v>28.199041340000001</v>
      </c>
      <c r="AF79" s="53">
        <v>0.62440889499999996</v>
      </c>
      <c r="AG79" s="53">
        <v>1.3939900000000001E-4</v>
      </c>
    </row>
    <row r="80" spans="1:33" x14ac:dyDescent="0.2">
      <c r="A80" s="1" t="s">
        <v>152</v>
      </c>
      <c r="B80" s="2" t="s">
        <v>153</v>
      </c>
      <c r="C80" s="33">
        <v>180</v>
      </c>
      <c r="D80" s="2" t="s">
        <v>22</v>
      </c>
      <c r="E80" s="2" t="s">
        <v>23</v>
      </c>
      <c r="F80" s="2" t="s">
        <v>24</v>
      </c>
      <c r="G80" s="3" t="s">
        <v>25</v>
      </c>
      <c r="H80" s="2" t="s">
        <v>26</v>
      </c>
      <c r="I80" s="4" t="s">
        <v>85</v>
      </c>
      <c r="J80" s="2">
        <v>5</v>
      </c>
      <c r="K80" s="2" t="s">
        <v>36</v>
      </c>
      <c r="L80" s="2" t="s">
        <v>40</v>
      </c>
      <c r="M80" s="2" t="s">
        <v>148</v>
      </c>
      <c r="N80" s="2" t="s">
        <v>86</v>
      </c>
      <c r="O80" s="2" t="s">
        <v>58</v>
      </c>
      <c r="T80" s="2" t="s">
        <v>30</v>
      </c>
      <c r="U80" s="43">
        <v>1</v>
      </c>
      <c r="V80" s="2" t="s">
        <v>40</v>
      </c>
      <c r="W80" s="2" t="s">
        <v>24</v>
      </c>
      <c r="X80" s="2" t="s">
        <v>373</v>
      </c>
      <c r="Y80" s="5" t="s">
        <v>570</v>
      </c>
      <c r="Z80" s="45" t="s">
        <v>571</v>
      </c>
      <c r="AA80" s="44" t="s">
        <v>572</v>
      </c>
      <c r="AB80" s="46">
        <v>5.2794335999999997E-2</v>
      </c>
      <c r="AC80" s="46">
        <v>0.26238201</v>
      </c>
      <c r="AD80" s="48">
        <v>1.6291637189999999</v>
      </c>
      <c r="AE80" s="49">
        <v>95.523547030000003</v>
      </c>
      <c r="AF80" s="46">
        <v>0.69403179500000001</v>
      </c>
      <c r="AG80" s="46">
        <v>2.8095099999999999E-4</v>
      </c>
    </row>
    <row r="81" spans="1:33" x14ac:dyDescent="0.2">
      <c r="A81" s="1"/>
      <c r="C81" s="33"/>
      <c r="G81" s="3"/>
      <c r="I81" s="4"/>
      <c r="U81" s="43">
        <v>2</v>
      </c>
      <c r="V81" s="2" t="s">
        <v>148</v>
      </c>
      <c r="W81" s="2" t="s">
        <v>24</v>
      </c>
      <c r="X81" s="2" t="s">
        <v>373</v>
      </c>
      <c r="Y81" s="5" t="s">
        <v>573</v>
      </c>
      <c r="Z81" s="45" t="s">
        <v>574</v>
      </c>
      <c r="AA81" s="44" t="s">
        <v>575</v>
      </c>
      <c r="AB81" s="46">
        <v>5.4617074000000002E-2</v>
      </c>
      <c r="AC81" s="46">
        <v>0.26819574200000001</v>
      </c>
      <c r="AD81" s="48">
        <v>1.7754817490000001</v>
      </c>
      <c r="AE81" s="49">
        <v>103.6005392</v>
      </c>
      <c r="AF81" s="46">
        <v>0.69231491999999994</v>
      </c>
      <c r="AG81" s="46">
        <v>2.8013799999999998E-4</v>
      </c>
    </row>
    <row r="82" spans="1:33" x14ac:dyDescent="0.2">
      <c r="A82" s="1"/>
      <c r="C82" s="33"/>
      <c r="G82" s="3"/>
      <c r="I82" s="4"/>
      <c r="U82" s="43">
        <v>3</v>
      </c>
      <c r="V82" s="2" t="s">
        <v>86</v>
      </c>
      <c r="W82" s="2" t="s">
        <v>24</v>
      </c>
      <c r="X82" s="2" t="s">
        <v>373</v>
      </c>
      <c r="Y82" s="5" t="s">
        <v>576</v>
      </c>
      <c r="Z82" s="45" t="s">
        <v>577</v>
      </c>
      <c r="AA82" s="44" t="s">
        <v>578</v>
      </c>
      <c r="AB82" s="46">
        <v>4.6740338999999999E-2</v>
      </c>
      <c r="AC82" s="46">
        <v>0.230449827</v>
      </c>
      <c r="AD82" s="48">
        <v>1.351867862</v>
      </c>
      <c r="AE82" s="49">
        <v>82.9765728</v>
      </c>
      <c r="AF82" s="46">
        <v>0.69878477500000002</v>
      </c>
      <c r="AG82" s="46">
        <v>2.9961899999999999E-4</v>
      </c>
    </row>
    <row r="83" spans="1:33" x14ac:dyDescent="0.2">
      <c r="A83" s="9"/>
      <c r="B83" s="11"/>
      <c r="C83" s="33"/>
      <c r="D83" s="11"/>
      <c r="E83" s="11"/>
      <c r="F83" s="11"/>
      <c r="G83" s="3"/>
      <c r="H83" s="11"/>
      <c r="I83" s="10"/>
      <c r="J83" s="11"/>
      <c r="K83" s="11"/>
      <c r="L83" s="11"/>
      <c r="M83" s="11"/>
      <c r="N83" s="11"/>
      <c r="O83" s="11"/>
      <c r="P83" s="11"/>
      <c r="Q83" s="11"/>
      <c r="R83" s="11"/>
      <c r="S83" s="11"/>
      <c r="T83" s="3"/>
      <c r="U83" s="43">
        <v>4</v>
      </c>
      <c r="V83" s="2" t="s">
        <v>58</v>
      </c>
      <c r="W83" s="2" t="s">
        <v>24</v>
      </c>
      <c r="X83" s="2" t="s">
        <v>373</v>
      </c>
      <c r="Y83" s="5" t="s">
        <v>579</v>
      </c>
      <c r="Z83" s="45" t="s">
        <v>580</v>
      </c>
      <c r="AA83" s="44" t="s">
        <v>581</v>
      </c>
      <c r="AB83" s="46">
        <v>4.6989599999999999E-2</v>
      </c>
      <c r="AC83" s="46">
        <v>0.197809334</v>
      </c>
      <c r="AD83" s="48">
        <v>1.0503312849999999</v>
      </c>
      <c r="AE83" s="49">
        <v>65.589994009999998</v>
      </c>
      <c r="AF83" s="46">
        <v>0.69915833500000002</v>
      </c>
      <c r="AG83" s="46">
        <v>3.0638200000000001E-4</v>
      </c>
    </row>
    <row r="84" spans="1:33" x14ac:dyDescent="0.2">
      <c r="A84" s="13"/>
      <c r="B84" s="14"/>
      <c r="C84" s="34"/>
      <c r="D84" s="14"/>
      <c r="E84" s="14"/>
      <c r="F84" s="14"/>
      <c r="G84" s="15"/>
      <c r="H84" s="14"/>
      <c r="I84" s="169"/>
      <c r="J84" s="14"/>
      <c r="K84" s="14"/>
      <c r="L84" s="14"/>
      <c r="M84" s="14"/>
      <c r="N84" s="14"/>
      <c r="O84" s="14"/>
      <c r="P84" s="14"/>
      <c r="Q84" s="14"/>
      <c r="R84" s="14"/>
      <c r="S84" s="14"/>
      <c r="T84" s="15"/>
      <c r="U84" s="43">
        <v>5</v>
      </c>
      <c r="V84" s="2" t="s">
        <v>36</v>
      </c>
      <c r="W84" s="2" t="s">
        <v>24</v>
      </c>
      <c r="X84" s="2" t="s">
        <v>373</v>
      </c>
      <c r="Y84" s="5" t="s">
        <v>582</v>
      </c>
      <c r="Z84" s="45" t="s">
        <v>583</v>
      </c>
      <c r="AA84" s="44" t="s">
        <v>584</v>
      </c>
      <c r="AB84" s="46">
        <v>1.9339711999999998E-2</v>
      </c>
      <c r="AC84" s="46">
        <v>0.278217614</v>
      </c>
      <c r="AD84" s="48">
        <v>0.63874765700000002</v>
      </c>
      <c r="AE84" s="49">
        <v>36.688975429999999</v>
      </c>
      <c r="AF84" s="46">
        <v>0.71257397700000003</v>
      </c>
      <c r="AG84" s="46">
        <v>2.7798999999999999E-4</v>
      </c>
    </row>
    <row r="85" spans="1:33" x14ac:dyDescent="0.2">
      <c r="A85" s="1" t="s">
        <v>154</v>
      </c>
      <c r="B85" s="2" t="s">
        <v>155</v>
      </c>
      <c r="C85" s="33">
        <v>140</v>
      </c>
      <c r="D85" s="2" t="s">
        <v>22</v>
      </c>
      <c r="E85" s="2" t="s">
        <v>23</v>
      </c>
      <c r="F85" s="2" t="s">
        <v>24</v>
      </c>
      <c r="G85" s="3" t="s">
        <v>25</v>
      </c>
      <c r="H85" s="2" t="s">
        <v>26</v>
      </c>
      <c r="I85" s="4" t="s">
        <v>33</v>
      </c>
      <c r="J85" s="2">
        <v>6</v>
      </c>
      <c r="K85" s="2" t="s">
        <v>156</v>
      </c>
      <c r="L85" s="2" t="s">
        <v>52</v>
      </c>
      <c r="M85" s="2" t="s">
        <v>148</v>
      </c>
      <c r="N85" s="2" t="s">
        <v>86</v>
      </c>
      <c r="O85" s="2" t="s">
        <v>156</v>
      </c>
      <c r="P85" s="2" t="s">
        <v>57</v>
      </c>
      <c r="T85" s="2" t="s">
        <v>30</v>
      </c>
      <c r="U85" s="35">
        <v>1</v>
      </c>
      <c r="V85" s="36" t="s">
        <v>156</v>
      </c>
      <c r="W85" s="36" t="s">
        <v>24</v>
      </c>
      <c r="X85" s="36" t="s">
        <v>373</v>
      </c>
      <c r="Y85" s="65" t="s">
        <v>585</v>
      </c>
      <c r="Z85" s="38" t="s">
        <v>586</v>
      </c>
      <c r="AA85" s="37" t="s">
        <v>587</v>
      </c>
      <c r="AB85" s="39">
        <v>1.3833247E-2</v>
      </c>
      <c r="AC85" s="39">
        <v>0.107597816</v>
      </c>
      <c r="AD85" s="41">
        <v>0.23799072299999999</v>
      </c>
      <c r="AE85" s="42">
        <v>11.87890953</v>
      </c>
      <c r="AF85" s="39">
        <v>0.69350763900000001</v>
      </c>
      <c r="AG85" s="39">
        <v>2.4308500000000001E-4</v>
      </c>
    </row>
    <row r="86" spans="1:33" x14ac:dyDescent="0.2">
      <c r="A86" s="1"/>
      <c r="C86" s="33"/>
      <c r="G86" s="3"/>
      <c r="I86" s="4"/>
      <c r="U86" s="43">
        <v>2</v>
      </c>
      <c r="V86" s="2" t="s">
        <v>148</v>
      </c>
      <c r="W86" s="2" t="s">
        <v>24</v>
      </c>
      <c r="X86" s="2" t="s">
        <v>373</v>
      </c>
      <c r="Y86" s="5" t="s">
        <v>588</v>
      </c>
      <c r="Z86" s="45" t="s">
        <v>589</v>
      </c>
      <c r="AA86" s="44" t="s">
        <v>590</v>
      </c>
      <c r="AB86" s="46">
        <v>3.9099843000000002E-2</v>
      </c>
      <c r="AC86" s="46">
        <v>0.28904986300000002</v>
      </c>
      <c r="AD86" s="48">
        <v>0.74214858500000003</v>
      </c>
      <c r="AE86" s="49">
        <v>32.033433189999997</v>
      </c>
      <c r="AF86" s="46">
        <v>0.68438249200000001</v>
      </c>
      <c r="AG86" s="46">
        <v>1.9720600000000001E-4</v>
      </c>
    </row>
    <row r="87" spans="1:33" x14ac:dyDescent="0.2">
      <c r="A87" s="1"/>
      <c r="C87" s="33"/>
      <c r="G87" s="3"/>
      <c r="I87" s="4"/>
      <c r="U87" s="43">
        <v>3</v>
      </c>
      <c r="V87" s="2" t="s">
        <v>86</v>
      </c>
      <c r="W87" s="2" t="s">
        <v>24</v>
      </c>
      <c r="X87" s="2" t="s">
        <v>373</v>
      </c>
      <c r="Y87" s="5" t="s">
        <v>591</v>
      </c>
      <c r="Z87" s="45" t="s">
        <v>592</v>
      </c>
      <c r="AA87" s="44" t="s">
        <v>593</v>
      </c>
      <c r="AB87" s="46">
        <v>4.5275719999999998E-2</v>
      </c>
      <c r="AC87" s="46">
        <v>0.34667673700000001</v>
      </c>
      <c r="AD87" s="48">
        <v>0.96362416799999995</v>
      </c>
      <c r="AE87" s="49">
        <v>38.873517079999999</v>
      </c>
      <c r="AF87" s="46">
        <v>0.681915822</v>
      </c>
      <c r="AG87" s="46">
        <v>1.81576E-4</v>
      </c>
    </row>
    <row r="88" spans="1:33" x14ac:dyDescent="0.2">
      <c r="A88" s="1"/>
      <c r="C88" s="33"/>
      <c r="G88" s="3"/>
      <c r="I88" s="4"/>
      <c r="U88" s="43">
        <v>4</v>
      </c>
      <c r="V88" s="2" t="s">
        <v>52</v>
      </c>
      <c r="W88" s="2" t="s">
        <v>24</v>
      </c>
      <c r="X88" s="2" t="s">
        <v>373</v>
      </c>
      <c r="Y88" s="5" t="s">
        <v>594</v>
      </c>
      <c r="Z88" s="45" t="s">
        <v>595</v>
      </c>
      <c r="AA88" s="44" t="s">
        <v>596</v>
      </c>
      <c r="AB88" s="46">
        <v>1.6211995999999999E-2</v>
      </c>
      <c r="AC88" s="46">
        <v>0.16149870799999999</v>
      </c>
      <c r="AD88" s="48">
        <v>0.36318743199999998</v>
      </c>
      <c r="AE88" s="49">
        <v>18.160275609999999</v>
      </c>
      <c r="AF88" s="46">
        <v>0.69643125299999997</v>
      </c>
      <c r="AG88" s="46">
        <v>2.37099E-4</v>
      </c>
    </row>
    <row r="89" spans="1:33" x14ac:dyDescent="0.2">
      <c r="A89" s="1"/>
      <c r="C89" s="33"/>
      <c r="G89" s="3"/>
      <c r="I89" s="4"/>
      <c r="U89" s="43">
        <v>5</v>
      </c>
      <c r="V89" s="2" t="s">
        <v>57</v>
      </c>
      <c r="W89" s="2" t="s">
        <v>24</v>
      </c>
      <c r="X89" s="2" t="s">
        <v>373</v>
      </c>
      <c r="Y89" s="5" t="s">
        <v>597</v>
      </c>
      <c r="Z89" s="45" t="s">
        <v>598</v>
      </c>
      <c r="AA89" s="44" t="s">
        <v>599</v>
      </c>
      <c r="AB89" s="46">
        <v>4.6014657E-2</v>
      </c>
      <c r="AC89" s="46">
        <v>0.36721950199999998</v>
      </c>
      <c r="AD89" s="48">
        <v>1.017575838</v>
      </c>
      <c r="AE89" s="49">
        <v>41.072438589999997</v>
      </c>
      <c r="AF89" s="46">
        <v>0.68133008299999998</v>
      </c>
      <c r="AG89" s="46">
        <v>1.7970400000000001E-4</v>
      </c>
    </row>
    <row r="90" spans="1:33" x14ac:dyDescent="0.2">
      <c r="A90" s="13"/>
      <c r="B90" s="14"/>
      <c r="C90" s="34"/>
      <c r="D90" s="14"/>
      <c r="E90" s="14"/>
      <c r="F90" s="14"/>
      <c r="G90" s="15"/>
      <c r="H90" s="14"/>
      <c r="I90" s="169"/>
      <c r="J90" s="14"/>
      <c r="K90" s="14"/>
      <c r="L90" s="14"/>
      <c r="M90" s="14"/>
      <c r="N90" s="14"/>
      <c r="O90" s="14"/>
      <c r="P90" s="14"/>
      <c r="Q90" s="14"/>
      <c r="R90" s="14"/>
      <c r="S90" s="14"/>
      <c r="T90" s="15"/>
      <c r="U90" s="50">
        <v>6</v>
      </c>
      <c r="V90" s="8" t="s">
        <v>156</v>
      </c>
      <c r="W90" s="8" t="s">
        <v>24</v>
      </c>
      <c r="X90" s="8" t="s">
        <v>373</v>
      </c>
      <c r="Y90" s="66" t="s">
        <v>600</v>
      </c>
      <c r="Z90" s="52" t="s">
        <v>601</v>
      </c>
      <c r="AA90" s="51" t="s">
        <v>602</v>
      </c>
      <c r="AB90" s="53">
        <v>4.1468492000000003E-2</v>
      </c>
      <c r="AC90" s="53">
        <v>0.31860138199999999</v>
      </c>
      <c r="AD90" s="55">
        <v>0.81923177599999997</v>
      </c>
      <c r="AE90" s="56">
        <v>35.501917319999997</v>
      </c>
      <c r="AF90" s="53">
        <v>0.67657512900000005</v>
      </c>
      <c r="AG90" s="53">
        <v>1.9369600000000001E-4</v>
      </c>
    </row>
    <row r="91" spans="1:33" x14ac:dyDescent="0.2">
      <c r="A91" s="106" t="s">
        <v>157</v>
      </c>
      <c r="B91" s="107" t="s">
        <v>155</v>
      </c>
      <c r="C91" s="175">
        <v>370</v>
      </c>
      <c r="D91" s="107" t="s">
        <v>22</v>
      </c>
      <c r="E91" s="107" t="s">
        <v>23</v>
      </c>
      <c r="F91" s="107" t="s">
        <v>24</v>
      </c>
      <c r="G91" s="176" t="s">
        <v>25</v>
      </c>
      <c r="H91" s="107" t="s">
        <v>26</v>
      </c>
      <c r="I91" s="177" t="s">
        <v>85</v>
      </c>
      <c r="J91" s="107">
        <v>1</v>
      </c>
      <c r="K91" s="107" t="s">
        <v>62</v>
      </c>
      <c r="L91" s="107"/>
      <c r="M91" s="107"/>
      <c r="N91" s="107"/>
      <c r="O91" s="107"/>
      <c r="P91" s="107"/>
      <c r="Q91" s="107"/>
      <c r="R91" s="107"/>
      <c r="S91" s="107"/>
      <c r="T91" s="176" t="s">
        <v>30</v>
      </c>
      <c r="U91" s="43">
        <v>1</v>
      </c>
      <c r="V91" s="2" t="s">
        <v>62</v>
      </c>
      <c r="W91" s="2" t="s">
        <v>24</v>
      </c>
      <c r="X91" s="2" t="s">
        <v>373</v>
      </c>
      <c r="Y91" s="5" t="s">
        <v>603</v>
      </c>
      <c r="Z91" s="45" t="s">
        <v>604</v>
      </c>
      <c r="AA91" s="44" t="s">
        <v>605</v>
      </c>
      <c r="AB91" s="46">
        <v>7.6161369000000007E-2</v>
      </c>
      <c r="AC91" s="46">
        <v>0.37062857100000002</v>
      </c>
      <c r="AD91" s="48">
        <v>1.0717117789999999</v>
      </c>
      <c r="AE91" s="49">
        <v>38.31527861</v>
      </c>
      <c r="AF91" s="46">
        <v>0.64266584299999996</v>
      </c>
      <c r="AG91" s="46">
        <v>1.4788600000000001E-4</v>
      </c>
    </row>
    <row r="92" spans="1:33" x14ac:dyDescent="0.2">
      <c r="A92" s="1" t="s">
        <v>158</v>
      </c>
      <c r="B92" s="2" t="s">
        <v>159</v>
      </c>
      <c r="C92" s="33">
        <v>250</v>
      </c>
      <c r="D92" s="2" t="s">
        <v>22</v>
      </c>
      <c r="E92" s="2" t="s">
        <v>23</v>
      </c>
      <c r="F92" s="2" t="s">
        <v>24</v>
      </c>
      <c r="G92" s="3" t="s">
        <v>25</v>
      </c>
      <c r="H92" s="2" t="s">
        <v>26</v>
      </c>
      <c r="I92" s="4" t="s">
        <v>33</v>
      </c>
      <c r="J92" s="2">
        <v>5</v>
      </c>
      <c r="K92" s="2" t="s">
        <v>62</v>
      </c>
      <c r="L92" s="2" t="s">
        <v>69</v>
      </c>
      <c r="M92" s="2" t="s">
        <v>71</v>
      </c>
      <c r="N92" s="2" t="s">
        <v>72</v>
      </c>
      <c r="O92" s="2" t="s">
        <v>101</v>
      </c>
      <c r="T92" s="2" t="s">
        <v>30</v>
      </c>
      <c r="U92" s="35">
        <v>1</v>
      </c>
      <c r="V92" s="36" t="s">
        <v>69</v>
      </c>
      <c r="W92" s="36" t="s">
        <v>24</v>
      </c>
      <c r="X92" s="36" t="s">
        <v>373</v>
      </c>
      <c r="Y92" s="65" t="s">
        <v>606</v>
      </c>
      <c r="Z92" s="38" t="s">
        <v>607</v>
      </c>
      <c r="AA92" s="37" t="s">
        <v>608</v>
      </c>
      <c r="AB92" s="39">
        <v>1.3713875E-2</v>
      </c>
      <c r="AC92" s="39">
        <v>6.5429234000000003E-2</v>
      </c>
      <c r="AD92" s="41">
        <v>0.15141890799999999</v>
      </c>
      <c r="AE92" s="42">
        <v>5.9573996410000003</v>
      </c>
      <c r="AF92" s="39">
        <v>0.421639388</v>
      </c>
      <c r="AG92" s="39">
        <v>1.1270200000000001E-4</v>
      </c>
    </row>
    <row r="93" spans="1:33" x14ac:dyDescent="0.2">
      <c r="A93" s="1"/>
      <c r="C93" s="33"/>
      <c r="G93" s="3"/>
      <c r="I93" s="4"/>
      <c r="U93" s="43">
        <v>2</v>
      </c>
      <c r="V93" s="2" t="s">
        <v>71</v>
      </c>
      <c r="W93" s="2" t="s">
        <v>24</v>
      </c>
      <c r="X93" s="2" t="s">
        <v>373</v>
      </c>
      <c r="Y93" s="5" t="s">
        <v>609</v>
      </c>
      <c r="Z93" s="45" t="s">
        <v>610</v>
      </c>
      <c r="AA93" s="44" t="s">
        <v>611</v>
      </c>
      <c r="AB93" s="46">
        <v>8.0305837000000005E-2</v>
      </c>
      <c r="AC93" s="46">
        <v>0.39192602199999999</v>
      </c>
      <c r="AD93" s="48">
        <v>1.5698194620000001</v>
      </c>
      <c r="AE93" s="49">
        <v>47.175254639999999</v>
      </c>
      <c r="AF93" s="46">
        <v>0.40797182900000001</v>
      </c>
      <c r="AG93" s="46">
        <v>7.8200000000000003E-5</v>
      </c>
    </row>
    <row r="94" spans="1:33" x14ac:dyDescent="0.2">
      <c r="A94" s="1"/>
      <c r="C94" s="33"/>
      <c r="G94" s="3"/>
      <c r="I94" s="4"/>
      <c r="U94" s="43">
        <v>3</v>
      </c>
      <c r="V94" s="2" t="s">
        <v>72</v>
      </c>
      <c r="W94" s="2" t="s">
        <v>24</v>
      </c>
      <c r="X94" s="2" t="s">
        <v>373</v>
      </c>
      <c r="Y94" s="5" t="s">
        <v>612</v>
      </c>
      <c r="Z94" s="45" t="s">
        <v>613</v>
      </c>
      <c r="AA94" s="44" t="s">
        <v>614</v>
      </c>
      <c r="AB94" s="46">
        <v>7.5399620000000001E-2</v>
      </c>
      <c r="AC94" s="46">
        <v>0.36469060199999997</v>
      </c>
      <c r="AD94" s="48">
        <v>1.386368968</v>
      </c>
      <c r="AE94" s="49">
        <v>43.02486519</v>
      </c>
      <c r="AF94" s="46">
        <v>0.40723641199999999</v>
      </c>
      <c r="AG94" s="46">
        <v>8.1000000000000004E-5</v>
      </c>
    </row>
    <row r="95" spans="1:33" x14ac:dyDescent="0.2">
      <c r="A95" s="1"/>
      <c r="C95" s="33"/>
      <c r="G95" s="3"/>
      <c r="I95" s="4"/>
      <c r="U95" s="43">
        <v>4</v>
      </c>
      <c r="V95" s="2" t="s">
        <v>101</v>
      </c>
      <c r="W95" s="2" t="s">
        <v>24</v>
      </c>
      <c r="X95" s="2" t="s">
        <v>373</v>
      </c>
      <c r="Y95" s="5" t="s">
        <v>615</v>
      </c>
      <c r="Z95" s="45" t="s">
        <v>616</v>
      </c>
      <c r="AA95" s="44" t="s">
        <v>617</v>
      </c>
      <c r="AB95" s="46">
        <v>8.0732357000000005E-2</v>
      </c>
      <c r="AC95" s="46">
        <v>0.394195142</v>
      </c>
      <c r="AD95" s="48">
        <v>1.5648446629999999</v>
      </c>
      <c r="AE95" s="49">
        <v>46.709646489999997</v>
      </c>
      <c r="AF95" s="46">
        <v>0.40505709600000001</v>
      </c>
      <c r="AG95" s="46">
        <v>7.7100000000000004E-5</v>
      </c>
    </row>
    <row r="96" spans="1:33" x14ac:dyDescent="0.2">
      <c r="A96" s="13"/>
      <c r="B96" s="14"/>
      <c r="C96" s="34"/>
      <c r="D96" s="14"/>
      <c r="E96" s="14"/>
      <c r="F96" s="14"/>
      <c r="G96" s="15"/>
      <c r="H96" s="14"/>
      <c r="I96" s="169"/>
      <c r="J96" s="14"/>
      <c r="K96" s="14"/>
      <c r="L96" s="14"/>
      <c r="M96" s="14"/>
      <c r="N96" s="14"/>
      <c r="O96" s="14"/>
      <c r="P96" s="14"/>
      <c r="Q96" s="14"/>
      <c r="R96" s="14"/>
      <c r="S96" s="14"/>
      <c r="T96" s="15"/>
      <c r="U96" s="50">
        <v>5</v>
      </c>
      <c r="V96" s="8" t="s">
        <v>62</v>
      </c>
      <c r="W96" s="8" t="s">
        <v>24</v>
      </c>
      <c r="X96" s="8" t="s">
        <v>373</v>
      </c>
      <c r="Y96" s="66" t="s">
        <v>618</v>
      </c>
      <c r="Z96" s="52" t="s">
        <v>619</v>
      </c>
      <c r="AA96" s="51" t="s">
        <v>620</v>
      </c>
      <c r="AB96" s="53">
        <v>1.4132854E-2</v>
      </c>
      <c r="AC96" s="53">
        <v>6.7103740999999995E-2</v>
      </c>
      <c r="AD96" s="55">
        <v>0.17271642200000001</v>
      </c>
      <c r="AE96" s="56">
        <v>7.1173157580000002</v>
      </c>
      <c r="AF96" s="53">
        <v>0.41477833800000002</v>
      </c>
      <c r="AG96" s="53">
        <v>1.1742E-4</v>
      </c>
    </row>
    <row r="97" spans="1:33" x14ac:dyDescent="0.2">
      <c r="A97" s="1" t="s">
        <v>160</v>
      </c>
      <c r="B97" s="2" t="s">
        <v>161</v>
      </c>
      <c r="C97" s="33">
        <v>150</v>
      </c>
      <c r="D97" s="2" t="s">
        <v>22</v>
      </c>
      <c r="E97" s="2" t="s">
        <v>23</v>
      </c>
      <c r="F97" s="2" t="s">
        <v>24</v>
      </c>
      <c r="G97" s="3" t="s">
        <v>25</v>
      </c>
      <c r="H97" s="2" t="s">
        <v>26</v>
      </c>
      <c r="I97" s="4" t="s">
        <v>85</v>
      </c>
      <c r="J97" s="2">
        <v>4</v>
      </c>
      <c r="K97" s="2" t="s">
        <v>71</v>
      </c>
      <c r="L97" s="2" t="s">
        <v>42</v>
      </c>
      <c r="M97" s="2" t="s">
        <v>107</v>
      </c>
      <c r="N97" s="2" t="s">
        <v>69</v>
      </c>
      <c r="T97" s="2" t="s">
        <v>30</v>
      </c>
      <c r="U97" s="43">
        <v>1</v>
      </c>
      <c r="V97" s="2" t="s">
        <v>107</v>
      </c>
      <c r="W97" s="2" t="s">
        <v>24</v>
      </c>
      <c r="X97" s="2" t="s">
        <v>373</v>
      </c>
      <c r="Y97" s="5" t="s">
        <v>621</v>
      </c>
      <c r="Z97" s="45" t="s">
        <v>622</v>
      </c>
      <c r="AA97" s="44" t="s">
        <v>623</v>
      </c>
      <c r="AB97" s="46">
        <v>5.1681737999999998E-2</v>
      </c>
      <c r="AC97" s="46">
        <v>0.41572113199999999</v>
      </c>
      <c r="AD97" s="48">
        <v>1.1981945190000001</v>
      </c>
      <c r="AE97" s="49">
        <v>50.262252850000003</v>
      </c>
      <c r="AF97" s="46">
        <v>0.683979161</v>
      </c>
      <c r="AG97" s="46">
        <v>1.8726300000000001E-4</v>
      </c>
    </row>
    <row r="98" spans="1:33" x14ac:dyDescent="0.2">
      <c r="A98" s="1"/>
      <c r="C98" s="33"/>
      <c r="G98" s="3"/>
      <c r="I98" s="4"/>
      <c r="U98" s="43">
        <v>2</v>
      </c>
      <c r="V98" s="2" t="s">
        <v>71</v>
      </c>
      <c r="W98" s="2" t="s">
        <v>24</v>
      </c>
      <c r="X98" s="2" t="s">
        <v>373</v>
      </c>
      <c r="Y98" s="5" t="s">
        <v>624</v>
      </c>
      <c r="Z98" s="45" t="s">
        <v>625</v>
      </c>
      <c r="AA98" s="44" t="s">
        <v>626</v>
      </c>
      <c r="AB98" s="46">
        <v>1.4681023E-2</v>
      </c>
      <c r="AC98" s="46">
        <v>0.129126619</v>
      </c>
      <c r="AD98" s="48">
        <v>0.243966234</v>
      </c>
      <c r="AE98" s="49">
        <v>13.900659080000001</v>
      </c>
      <c r="AF98" s="46">
        <v>0.70987086200000005</v>
      </c>
      <c r="AG98" s="46">
        <v>2.8013700000000002E-4</v>
      </c>
    </row>
    <row r="99" spans="1:33" x14ac:dyDescent="0.2">
      <c r="A99" s="1"/>
      <c r="C99" s="33"/>
      <c r="G99" s="3"/>
      <c r="I99" s="4"/>
      <c r="U99" s="43">
        <v>3</v>
      </c>
      <c r="V99" s="2" t="s">
        <v>69</v>
      </c>
      <c r="W99" s="2" t="s">
        <v>24</v>
      </c>
      <c r="X99" s="2" t="s">
        <v>373</v>
      </c>
      <c r="Y99" s="5" t="s">
        <v>627</v>
      </c>
      <c r="Z99" s="45" t="s">
        <v>628</v>
      </c>
      <c r="AA99" s="44" t="s">
        <v>629</v>
      </c>
      <c r="AB99" s="46">
        <v>4.1732485999999999E-2</v>
      </c>
      <c r="AC99" s="46">
        <v>0.31427279200000002</v>
      </c>
      <c r="AD99" s="48">
        <v>0.77519255600000003</v>
      </c>
      <c r="AE99" s="49">
        <v>36.553804669999998</v>
      </c>
      <c r="AF99" s="46">
        <v>0.69011682299999999</v>
      </c>
      <c r="AG99" s="46">
        <v>2.16784E-4</v>
      </c>
    </row>
    <row r="100" spans="1:33" x14ac:dyDescent="0.2">
      <c r="A100" s="13"/>
      <c r="B100" s="14"/>
      <c r="C100" s="34"/>
      <c r="D100" s="14"/>
      <c r="E100" s="14"/>
      <c r="F100" s="14"/>
      <c r="G100" s="15"/>
      <c r="H100" s="14"/>
      <c r="I100" s="169"/>
      <c r="J100" s="14"/>
      <c r="K100" s="14"/>
      <c r="L100" s="14"/>
      <c r="M100" s="14"/>
      <c r="N100" s="14"/>
      <c r="O100" s="14"/>
      <c r="P100" s="14"/>
      <c r="Q100" s="14"/>
      <c r="R100" s="14"/>
      <c r="S100" s="14"/>
      <c r="T100" s="15"/>
      <c r="U100" s="43">
        <v>4</v>
      </c>
      <c r="V100" s="2" t="s">
        <v>42</v>
      </c>
      <c r="W100" s="2" t="s">
        <v>24</v>
      </c>
      <c r="X100" s="2" t="s">
        <v>373</v>
      </c>
      <c r="Y100" s="5" t="s">
        <v>630</v>
      </c>
      <c r="Z100" s="45" t="s">
        <v>631</v>
      </c>
      <c r="AA100" s="44" t="s">
        <v>632</v>
      </c>
      <c r="AB100" s="46">
        <v>7.4506749999999997E-2</v>
      </c>
      <c r="AC100" s="46">
        <v>0.54132582500000004</v>
      </c>
      <c r="AD100" s="48">
        <v>1.979942343</v>
      </c>
      <c r="AE100" s="49">
        <v>69.028520069999999</v>
      </c>
      <c r="AF100" s="46">
        <v>0.65465034700000002</v>
      </c>
      <c r="AG100" s="46">
        <v>1.4391299999999999E-4</v>
      </c>
    </row>
    <row r="101" spans="1:33" x14ac:dyDescent="0.2">
      <c r="A101" s="1" t="s">
        <v>162</v>
      </c>
      <c r="B101" s="2" t="s">
        <v>163</v>
      </c>
      <c r="C101" s="33">
        <v>190</v>
      </c>
      <c r="D101" s="2" t="s">
        <v>22</v>
      </c>
      <c r="E101" s="2" t="s">
        <v>23</v>
      </c>
      <c r="F101" s="2" t="s">
        <v>24</v>
      </c>
      <c r="G101" s="3" t="s">
        <v>25</v>
      </c>
      <c r="H101" s="2" t="s">
        <v>26</v>
      </c>
      <c r="I101" s="4" t="s">
        <v>85</v>
      </c>
      <c r="J101" s="2">
        <v>5</v>
      </c>
      <c r="K101" s="2" t="s">
        <v>140</v>
      </c>
      <c r="L101" s="2" t="s">
        <v>70</v>
      </c>
      <c r="M101" s="2" t="s">
        <v>127</v>
      </c>
      <c r="N101" s="2" t="s">
        <v>132</v>
      </c>
      <c r="O101" s="2" t="s">
        <v>140</v>
      </c>
      <c r="T101" s="2" t="s">
        <v>30</v>
      </c>
      <c r="U101" s="35">
        <v>1</v>
      </c>
      <c r="V101" s="36" t="s">
        <v>70</v>
      </c>
      <c r="W101" s="36" t="s">
        <v>24</v>
      </c>
      <c r="X101" s="36" t="s">
        <v>373</v>
      </c>
      <c r="Y101" s="65" t="s">
        <v>633</v>
      </c>
      <c r="Z101" s="38" t="s">
        <v>634</v>
      </c>
      <c r="AA101" s="37" t="s">
        <v>635</v>
      </c>
      <c r="AB101" s="39">
        <v>0.225917801</v>
      </c>
      <c r="AC101" s="39">
        <v>0.43612119900000001</v>
      </c>
      <c r="AD101" s="41">
        <v>0.97482054399999996</v>
      </c>
      <c r="AE101" s="42">
        <v>34.363870579999997</v>
      </c>
      <c r="AF101" s="39">
        <v>0.55284084499999997</v>
      </c>
      <c r="AG101" s="39">
        <v>1.3044099999999999E-4</v>
      </c>
    </row>
    <row r="102" spans="1:33" x14ac:dyDescent="0.2">
      <c r="A102" s="1"/>
      <c r="C102" s="33"/>
      <c r="G102" s="3"/>
      <c r="I102" s="4"/>
      <c r="U102" s="43">
        <v>2</v>
      </c>
      <c r="V102" s="2" t="s">
        <v>127</v>
      </c>
      <c r="W102" s="2" t="s">
        <v>24</v>
      </c>
      <c r="X102" s="2" t="s">
        <v>373</v>
      </c>
      <c r="Y102" s="5" t="s">
        <v>636</v>
      </c>
      <c r="Z102" s="45" t="s">
        <v>637</v>
      </c>
      <c r="AA102" s="44" t="s">
        <v>638</v>
      </c>
      <c r="AB102" s="46">
        <v>0.130360897</v>
      </c>
      <c r="AC102" s="46">
        <v>0.27970967400000002</v>
      </c>
      <c r="AD102" s="48">
        <v>0.54345391300000001</v>
      </c>
      <c r="AE102" s="49">
        <v>21.457219890000001</v>
      </c>
      <c r="AF102" s="46">
        <v>0.62067333800000002</v>
      </c>
      <c r="AG102" s="46">
        <v>1.67648E-4</v>
      </c>
    </row>
    <row r="103" spans="1:33" x14ac:dyDescent="0.2">
      <c r="A103" s="1"/>
      <c r="C103" s="33"/>
      <c r="G103" s="3"/>
      <c r="I103" s="4"/>
      <c r="U103" s="43">
        <v>3</v>
      </c>
      <c r="V103" s="2" t="s">
        <v>132</v>
      </c>
      <c r="W103" s="2" t="s">
        <v>24</v>
      </c>
      <c r="X103" s="2" t="s">
        <v>373</v>
      </c>
      <c r="Y103" s="5" t="s">
        <v>639</v>
      </c>
      <c r="Z103" s="45" t="s">
        <v>640</v>
      </c>
      <c r="AA103" s="44" t="s">
        <v>641</v>
      </c>
      <c r="AB103" s="46">
        <v>0.37435863899999999</v>
      </c>
      <c r="AC103" s="46">
        <v>0.54785685500000003</v>
      </c>
      <c r="AD103" s="48">
        <v>0.936222938</v>
      </c>
      <c r="AE103" s="49">
        <v>33.497423609999998</v>
      </c>
      <c r="AF103" s="46">
        <v>0.44677192999999998</v>
      </c>
      <c r="AG103" s="46">
        <v>1.06308E-4</v>
      </c>
    </row>
    <row r="104" spans="1:33" x14ac:dyDescent="0.2">
      <c r="A104" s="9"/>
      <c r="B104" s="11"/>
      <c r="C104" s="33"/>
      <c r="D104" s="11"/>
      <c r="E104" s="11"/>
      <c r="F104" s="11"/>
      <c r="G104" s="3"/>
      <c r="H104" s="11"/>
      <c r="I104" s="10"/>
      <c r="J104" s="11"/>
      <c r="K104" s="11"/>
      <c r="L104" s="11"/>
      <c r="M104" s="11"/>
      <c r="N104" s="11"/>
      <c r="O104" s="11"/>
      <c r="P104" s="11"/>
      <c r="Q104" s="11"/>
      <c r="R104" s="11"/>
      <c r="S104" s="11"/>
      <c r="T104" s="3"/>
      <c r="U104" s="43">
        <v>4</v>
      </c>
      <c r="V104" s="2" t="s">
        <v>140</v>
      </c>
      <c r="W104" s="2" t="s">
        <v>24</v>
      </c>
      <c r="X104" s="2" t="s">
        <v>373</v>
      </c>
      <c r="Y104" s="5" t="s">
        <v>642</v>
      </c>
      <c r="Z104" s="45" t="s">
        <v>643</v>
      </c>
      <c r="AA104" s="44" t="s">
        <v>644</v>
      </c>
      <c r="AB104" s="46">
        <v>3.1615430999999999E-2</v>
      </c>
      <c r="AC104" s="46">
        <v>0.27094710599999999</v>
      </c>
      <c r="AD104" s="48">
        <v>0.85758924800000003</v>
      </c>
      <c r="AE104" s="49">
        <v>31.349970039999999</v>
      </c>
      <c r="AF104" s="46">
        <v>0.68900365799999996</v>
      </c>
      <c r="AG104" s="46">
        <v>1.6918099999999999E-4</v>
      </c>
    </row>
    <row r="105" spans="1:33" x14ac:dyDescent="0.2">
      <c r="A105" s="13"/>
      <c r="B105" s="14"/>
      <c r="C105" s="34"/>
      <c r="D105" s="14"/>
      <c r="E105" s="14"/>
      <c r="F105" s="14"/>
      <c r="G105" s="15"/>
      <c r="H105" s="14"/>
      <c r="I105" s="169"/>
      <c r="J105" s="14"/>
      <c r="K105" s="14"/>
      <c r="L105" s="14"/>
      <c r="M105" s="14"/>
      <c r="N105" s="14"/>
      <c r="O105" s="14"/>
      <c r="P105" s="14"/>
      <c r="Q105" s="14"/>
      <c r="R105" s="14"/>
      <c r="S105" s="14"/>
      <c r="T105" s="15"/>
      <c r="U105" s="50">
        <v>5</v>
      </c>
      <c r="V105" s="8" t="s">
        <v>140</v>
      </c>
      <c r="W105" s="8" t="s">
        <v>24</v>
      </c>
      <c r="X105" s="8" t="s">
        <v>373</v>
      </c>
      <c r="Y105" s="66" t="s">
        <v>645</v>
      </c>
      <c r="Z105" s="52" t="s">
        <v>646</v>
      </c>
      <c r="AA105" s="51" t="s">
        <v>647</v>
      </c>
      <c r="AB105" s="53">
        <v>0.47077060900000001</v>
      </c>
      <c r="AC105" s="53">
        <v>0.592741395</v>
      </c>
      <c r="AD105" s="55">
        <v>0.81732455299999995</v>
      </c>
      <c r="AE105" s="56">
        <v>30.077351709999999</v>
      </c>
      <c r="AF105" s="53">
        <v>0.37776581100000001</v>
      </c>
      <c r="AG105" s="53">
        <v>9.2999999999999997E-5</v>
      </c>
    </row>
    <row r="106" spans="1:33" x14ac:dyDescent="0.2">
      <c r="A106" s="1" t="s">
        <v>168</v>
      </c>
      <c r="B106" s="2" t="s">
        <v>169</v>
      </c>
      <c r="C106" s="33">
        <v>505</v>
      </c>
      <c r="D106" s="2" t="s">
        <v>22</v>
      </c>
      <c r="E106" s="2" t="s">
        <v>23</v>
      </c>
      <c r="F106" s="2" t="s">
        <v>24</v>
      </c>
      <c r="G106" s="3" t="s">
        <v>25</v>
      </c>
      <c r="H106" s="2" t="s">
        <v>26</v>
      </c>
      <c r="I106" s="4" t="s">
        <v>170</v>
      </c>
      <c r="J106" s="2">
        <v>5</v>
      </c>
      <c r="K106" s="2" t="s">
        <v>171</v>
      </c>
      <c r="L106" s="2" t="s">
        <v>172</v>
      </c>
      <c r="M106" s="2" t="s">
        <v>50</v>
      </c>
      <c r="N106" s="2" t="s">
        <v>28</v>
      </c>
      <c r="O106" s="2" t="s">
        <v>47</v>
      </c>
      <c r="T106" s="2" t="s">
        <v>30</v>
      </c>
      <c r="U106" s="35">
        <v>1</v>
      </c>
      <c r="V106" s="36" t="s">
        <v>171</v>
      </c>
      <c r="W106" s="36" t="s">
        <v>24</v>
      </c>
      <c r="X106" s="36" t="s">
        <v>373</v>
      </c>
      <c r="Y106" s="65" t="s">
        <v>648</v>
      </c>
      <c r="Z106" s="38" t="s">
        <v>649</v>
      </c>
      <c r="AA106" s="37" t="s">
        <v>650</v>
      </c>
      <c r="AB106" s="39">
        <v>1.0894589E-2</v>
      </c>
      <c r="AC106" s="39">
        <v>2.8938907E-2</v>
      </c>
      <c r="AD106" s="41">
        <v>4.1435043999999997E-2</v>
      </c>
      <c r="AE106" s="42">
        <v>1.6234871179999999</v>
      </c>
      <c r="AF106" s="39">
        <v>0.39389720099999997</v>
      </c>
      <c r="AG106" s="39">
        <v>1.06616E-4</v>
      </c>
    </row>
    <row r="107" spans="1:33" x14ac:dyDescent="0.2">
      <c r="A107" s="1"/>
      <c r="C107" s="33"/>
      <c r="G107" s="3"/>
      <c r="I107" s="4"/>
      <c r="U107" s="43">
        <v>2</v>
      </c>
      <c r="V107" s="2" t="s">
        <v>172</v>
      </c>
      <c r="W107" s="2" t="s">
        <v>24</v>
      </c>
      <c r="X107" s="2" t="s">
        <v>373</v>
      </c>
      <c r="Y107" s="5" t="s">
        <v>651</v>
      </c>
      <c r="Z107" s="45" t="s">
        <v>652</v>
      </c>
      <c r="AA107" s="44" t="s">
        <v>653</v>
      </c>
      <c r="AB107" s="46">
        <v>5.6637119E-2</v>
      </c>
      <c r="AC107" s="46">
        <v>0.28953771299999997</v>
      </c>
      <c r="AD107" s="48">
        <v>0.73262298400000003</v>
      </c>
      <c r="AE107" s="49">
        <v>23.057878970000001</v>
      </c>
      <c r="AF107" s="46">
        <v>0.36646511100000001</v>
      </c>
      <c r="AG107" s="46">
        <v>7.64E-5</v>
      </c>
    </row>
    <row r="108" spans="1:33" x14ac:dyDescent="0.2">
      <c r="A108" s="1"/>
      <c r="C108" s="33"/>
      <c r="G108" s="3"/>
      <c r="I108" s="4"/>
      <c r="U108" s="43">
        <v>3</v>
      </c>
      <c r="V108" s="2" t="s">
        <v>50</v>
      </c>
      <c r="W108" s="2" t="s">
        <v>24</v>
      </c>
      <c r="X108" s="2" t="s">
        <v>373</v>
      </c>
      <c r="Y108" s="5" t="s">
        <v>654</v>
      </c>
      <c r="Z108" s="45" t="s">
        <v>655</v>
      </c>
      <c r="AA108" s="44" t="s">
        <v>656</v>
      </c>
      <c r="AB108" s="46">
        <v>5.5776357999999998E-2</v>
      </c>
      <c r="AC108" s="46">
        <v>0.29014645999999999</v>
      </c>
      <c r="AD108" s="48">
        <v>0.75115143100000004</v>
      </c>
      <c r="AE108" s="49">
        <v>23.03990413</v>
      </c>
      <c r="AF108" s="46">
        <v>0.36386848500000002</v>
      </c>
      <c r="AG108" s="46">
        <v>7.4200000000000001E-5</v>
      </c>
    </row>
    <row r="109" spans="1:33" x14ac:dyDescent="0.2">
      <c r="A109" s="1"/>
      <c r="C109" s="33"/>
      <c r="G109" s="3"/>
      <c r="I109" s="4"/>
      <c r="U109" s="43">
        <v>4</v>
      </c>
      <c r="V109" s="2" t="s">
        <v>28</v>
      </c>
      <c r="W109" s="2" t="s">
        <v>24</v>
      </c>
      <c r="X109" s="2" t="s">
        <v>373</v>
      </c>
      <c r="Y109" s="5" t="s">
        <v>657</v>
      </c>
      <c r="Z109" s="45" t="s">
        <v>658</v>
      </c>
      <c r="AA109" s="44" t="s">
        <v>659</v>
      </c>
      <c r="AB109" s="46">
        <v>7.1944179999999996E-2</v>
      </c>
      <c r="AC109" s="46">
        <v>0.35542813899999998</v>
      </c>
      <c r="AD109" s="48">
        <v>1.009071322</v>
      </c>
      <c r="AE109" s="49">
        <v>29.21551827</v>
      </c>
      <c r="AF109" s="46">
        <v>0.355808768</v>
      </c>
      <c r="AG109" s="46">
        <v>6.7500000000000001E-5</v>
      </c>
    </row>
    <row r="110" spans="1:33" x14ac:dyDescent="0.2">
      <c r="A110" s="13"/>
      <c r="B110" s="14"/>
      <c r="C110" s="34"/>
      <c r="D110" s="14"/>
      <c r="E110" s="14"/>
      <c r="F110" s="14"/>
      <c r="G110" s="15"/>
      <c r="H110" s="14"/>
      <c r="I110" s="169"/>
      <c r="J110" s="14"/>
      <c r="K110" s="14"/>
      <c r="L110" s="14"/>
      <c r="M110" s="14"/>
      <c r="N110" s="14"/>
      <c r="O110" s="14"/>
      <c r="P110" s="14"/>
      <c r="Q110" s="14"/>
      <c r="R110" s="14"/>
      <c r="S110" s="14"/>
      <c r="T110" s="15"/>
      <c r="U110" s="50">
        <v>5</v>
      </c>
      <c r="V110" s="8" t="s">
        <v>47</v>
      </c>
      <c r="W110" s="8" t="s">
        <v>24</v>
      </c>
      <c r="X110" s="8" t="s">
        <v>373</v>
      </c>
      <c r="Y110" s="66" t="s">
        <v>660</v>
      </c>
      <c r="Z110" s="52" t="s">
        <v>661</v>
      </c>
      <c r="AA110" s="51" t="s">
        <v>662</v>
      </c>
      <c r="AB110" s="53">
        <v>1.4096989000000001E-2</v>
      </c>
      <c r="AC110" s="53">
        <v>4.6382188999999997E-2</v>
      </c>
      <c r="AD110" s="55">
        <v>6.9255065000000005E-2</v>
      </c>
      <c r="AE110" s="56">
        <v>2.7226482920000001</v>
      </c>
      <c r="AF110" s="53">
        <v>0.378459508</v>
      </c>
      <c r="AG110" s="53">
        <v>1.0473599999999999E-4</v>
      </c>
    </row>
    <row r="111" spans="1:33" x14ac:dyDescent="0.2">
      <c r="A111" s="106" t="s">
        <v>173</v>
      </c>
      <c r="B111" s="107" t="s">
        <v>174</v>
      </c>
      <c r="C111" s="175">
        <v>420</v>
      </c>
      <c r="D111" s="107" t="s">
        <v>22</v>
      </c>
      <c r="E111" s="107" t="s">
        <v>23</v>
      </c>
      <c r="F111" s="107" t="s">
        <v>24</v>
      </c>
      <c r="G111" s="176" t="s">
        <v>25</v>
      </c>
      <c r="H111" s="107" t="s">
        <v>26</v>
      </c>
      <c r="I111" s="177" t="s">
        <v>166</v>
      </c>
      <c r="J111" s="107">
        <v>1</v>
      </c>
      <c r="K111" s="107" t="s">
        <v>51</v>
      </c>
      <c r="L111" s="107"/>
      <c r="M111" s="107"/>
      <c r="N111" s="107"/>
      <c r="O111" s="107"/>
      <c r="P111" s="107"/>
      <c r="Q111" s="107"/>
      <c r="R111" s="107"/>
      <c r="S111" s="107"/>
      <c r="T111" s="176" t="s">
        <v>30</v>
      </c>
      <c r="U111" s="43">
        <v>1</v>
      </c>
      <c r="V111" s="2" t="s">
        <v>36</v>
      </c>
      <c r="W111" s="2" t="s">
        <v>176</v>
      </c>
      <c r="X111" s="2" t="s">
        <v>373</v>
      </c>
      <c r="Y111" s="5" t="s">
        <v>663</v>
      </c>
      <c r="Z111" s="45" t="s">
        <v>664</v>
      </c>
      <c r="AA111" s="44" t="s">
        <v>665</v>
      </c>
      <c r="AB111" s="46">
        <v>7.6694404999999993E-2</v>
      </c>
      <c r="AC111" s="46">
        <v>7.1022726999999994E-2</v>
      </c>
      <c r="AD111" s="48">
        <v>4.6679147999999997E-2</v>
      </c>
      <c r="AE111" s="49">
        <v>2.5878969440000001</v>
      </c>
      <c r="AF111" s="46">
        <v>0.24335781500000001</v>
      </c>
      <c r="AG111" s="46">
        <v>9.8800000000000003E-5</v>
      </c>
    </row>
    <row r="112" spans="1:33" x14ac:dyDescent="0.2">
      <c r="A112" s="106" t="s">
        <v>175</v>
      </c>
      <c r="B112" s="107" t="s">
        <v>174</v>
      </c>
      <c r="C112" s="175">
        <v>418</v>
      </c>
      <c r="D112" s="107" t="s">
        <v>22</v>
      </c>
      <c r="E112" s="107" t="s">
        <v>23</v>
      </c>
      <c r="F112" s="107" t="s">
        <v>176</v>
      </c>
      <c r="G112" s="176" t="s">
        <v>25</v>
      </c>
      <c r="H112" s="107" t="s">
        <v>26</v>
      </c>
      <c r="I112" s="177" t="s">
        <v>177</v>
      </c>
      <c r="J112" s="107">
        <v>1</v>
      </c>
      <c r="K112" s="107" t="s">
        <v>36</v>
      </c>
      <c r="L112" s="107"/>
      <c r="M112" s="107"/>
      <c r="N112" s="107"/>
      <c r="O112" s="107"/>
      <c r="P112" s="107"/>
      <c r="Q112" s="107"/>
      <c r="R112" s="107"/>
      <c r="S112" s="107"/>
      <c r="T112" s="176" t="s">
        <v>30</v>
      </c>
      <c r="U112" s="67">
        <v>1</v>
      </c>
      <c r="V112" s="68" t="s">
        <v>51</v>
      </c>
      <c r="W112" s="68" t="s">
        <v>24</v>
      </c>
      <c r="X112" s="68" t="s">
        <v>373</v>
      </c>
      <c r="Y112" s="69" t="s">
        <v>666</v>
      </c>
      <c r="Z112" s="70" t="s">
        <v>667</v>
      </c>
      <c r="AA112" s="71" t="s">
        <v>668</v>
      </c>
      <c r="AB112" s="72">
        <v>0.238486167</v>
      </c>
      <c r="AC112" s="72">
        <v>0.52293283700000004</v>
      </c>
      <c r="AD112" s="73">
        <v>1.0317353819999999</v>
      </c>
      <c r="AE112" s="74">
        <v>57.986698619999999</v>
      </c>
      <c r="AF112" s="72">
        <v>0.13235718599999999</v>
      </c>
      <c r="AG112" s="72">
        <v>4.9799999999999998E-5</v>
      </c>
    </row>
    <row r="113" spans="1:33" x14ac:dyDescent="0.2">
      <c r="A113" s="106" t="s">
        <v>178</v>
      </c>
      <c r="B113" s="107" t="s">
        <v>179</v>
      </c>
      <c r="C113" s="175">
        <v>335</v>
      </c>
      <c r="D113" s="107" t="s">
        <v>22</v>
      </c>
      <c r="E113" s="107" t="s">
        <v>23</v>
      </c>
      <c r="F113" s="107" t="s">
        <v>24</v>
      </c>
      <c r="G113" s="176" t="s">
        <v>25</v>
      </c>
      <c r="H113" s="107" t="s">
        <v>26</v>
      </c>
      <c r="I113" s="177" t="s">
        <v>61</v>
      </c>
      <c r="J113" s="107">
        <v>1</v>
      </c>
      <c r="K113" s="107" t="s">
        <v>42</v>
      </c>
      <c r="L113" s="107"/>
      <c r="M113" s="107"/>
      <c r="N113" s="107"/>
      <c r="O113" s="107"/>
      <c r="P113" s="107"/>
      <c r="Q113" s="107"/>
      <c r="R113" s="107"/>
      <c r="S113" s="107"/>
      <c r="T113" s="176" t="s">
        <v>30</v>
      </c>
      <c r="U113" s="67">
        <v>1</v>
      </c>
      <c r="V113" s="68" t="s">
        <v>42</v>
      </c>
      <c r="W113" s="68" t="s">
        <v>24</v>
      </c>
      <c r="X113" s="68" t="s">
        <v>373</v>
      </c>
      <c r="Y113" s="69" t="s">
        <v>669</v>
      </c>
      <c r="Z113" s="70" t="s">
        <v>670</v>
      </c>
      <c r="AA113" s="71" t="s">
        <v>671</v>
      </c>
      <c r="AB113" s="72">
        <v>5.4788481E-2</v>
      </c>
      <c r="AC113" s="72">
        <v>0.65582663900000004</v>
      </c>
      <c r="AD113" s="73">
        <v>4.6648450500000003</v>
      </c>
      <c r="AE113" s="74">
        <v>97.325823850000006</v>
      </c>
      <c r="AF113" s="72">
        <v>0.71895512100000003</v>
      </c>
      <c r="AG113" s="72">
        <v>9.3499999999999996E-5</v>
      </c>
    </row>
    <row r="114" spans="1:33" x14ac:dyDescent="0.2">
      <c r="A114" s="1" t="s">
        <v>181</v>
      </c>
      <c r="B114" s="2" t="s">
        <v>182</v>
      </c>
      <c r="C114" s="33">
        <v>300</v>
      </c>
      <c r="D114" s="2" t="s">
        <v>22</v>
      </c>
      <c r="E114" s="2" t="s">
        <v>23</v>
      </c>
      <c r="F114" s="2" t="s">
        <v>24</v>
      </c>
      <c r="G114" s="3" t="s">
        <v>25</v>
      </c>
      <c r="H114" s="2" t="s">
        <v>26</v>
      </c>
      <c r="I114" s="4" t="s">
        <v>85</v>
      </c>
      <c r="J114" s="2">
        <v>3</v>
      </c>
      <c r="K114" s="2" t="s">
        <v>113</v>
      </c>
      <c r="L114" s="2" t="s">
        <v>69</v>
      </c>
      <c r="M114" s="2" t="s">
        <v>35</v>
      </c>
      <c r="T114" s="2" t="s">
        <v>30</v>
      </c>
      <c r="U114" s="35">
        <v>1</v>
      </c>
      <c r="V114" s="36" t="s">
        <v>69</v>
      </c>
      <c r="W114" s="36" t="s">
        <v>24</v>
      </c>
      <c r="X114" s="36" t="s">
        <v>373</v>
      </c>
      <c r="Y114" s="65" t="s">
        <v>672</v>
      </c>
      <c r="Z114" s="38" t="s">
        <v>673</v>
      </c>
      <c r="AA114" s="37" t="s">
        <v>674</v>
      </c>
      <c r="AB114" s="39">
        <v>2.9842967000000001E-2</v>
      </c>
      <c r="AC114" s="39">
        <v>0.21176334399999999</v>
      </c>
      <c r="AD114" s="41">
        <v>0.644962386</v>
      </c>
      <c r="AE114" s="42">
        <v>24.33780707</v>
      </c>
      <c r="AF114" s="39">
        <v>0.70153449000000001</v>
      </c>
      <c r="AG114" s="39">
        <v>1.7445899999999999E-4</v>
      </c>
    </row>
    <row r="115" spans="1:33" x14ac:dyDescent="0.2">
      <c r="A115" s="1"/>
      <c r="C115" s="33"/>
      <c r="G115" s="3"/>
      <c r="I115" s="4"/>
      <c r="U115" s="43">
        <v>2</v>
      </c>
      <c r="V115" s="2" t="s">
        <v>35</v>
      </c>
      <c r="W115" s="2" t="s">
        <v>24</v>
      </c>
      <c r="X115" s="2" t="s">
        <v>373</v>
      </c>
      <c r="Y115" s="5" t="s">
        <v>675</v>
      </c>
      <c r="Z115" s="45" t="s">
        <v>676</v>
      </c>
      <c r="AA115" s="44" t="s">
        <v>677</v>
      </c>
      <c r="AB115" s="46">
        <v>2.9947610999999999E-2</v>
      </c>
      <c r="AC115" s="46">
        <v>0.209066851</v>
      </c>
      <c r="AD115" s="48">
        <v>0.62552674100000005</v>
      </c>
      <c r="AE115" s="49">
        <v>24.342959860000001</v>
      </c>
      <c r="AF115" s="46">
        <v>0.70263650300000002</v>
      </c>
      <c r="AG115" s="46">
        <v>1.81857E-4</v>
      </c>
    </row>
    <row r="116" spans="1:33" x14ac:dyDescent="0.2">
      <c r="A116" s="13"/>
      <c r="B116" s="14"/>
      <c r="C116" s="34"/>
      <c r="D116" s="14"/>
      <c r="E116" s="14"/>
      <c r="F116" s="14"/>
      <c r="G116" s="15"/>
      <c r="H116" s="14"/>
      <c r="I116" s="169"/>
      <c r="J116" s="14"/>
      <c r="K116" s="14"/>
      <c r="L116" s="14"/>
      <c r="M116" s="14"/>
      <c r="N116" s="14"/>
      <c r="O116" s="14"/>
      <c r="P116" s="14"/>
      <c r="Q116" s="14"/>
      <c r="R116" s="14"/>
      <c r="S116" s="14"/>
      <c r="T116" s="15"/>
      <c r="U116" s="50">
        <v>3</v>
      </c>
      <c r="V116" s="8" t="s">
        <v>113</v>
      </c>
      <c r="W116" s="8" t="s">
        <v>24</v>
      </c>
      <c r="X116" s="8" t="s">
        <v>373</v>
      </c>
      <c r="Y116" s="66" t="s">
        <v>678</v>
      </c>
      <c r="Z116" s="52" t="s">
        <v>679</v>
      </c>
      <c r="AA116" s="51" t="s">
        <v>680</v>
      </c>
      <c r="AB116" s="53">
        <v>4.4441293999999999E-2</v>
      </c>
      <c r="AC116" s="53">
        <v>0.29392848900000001</v>
      </c>
      <c r="AD116" s="55">
        <v>0.93923996700000001</v>
      </c>
      <c r="AE116" s="56">
        <v>33.304613539999998</v>
      </c>
      <c r="AF116" s="53">
        <v>0.69203575699999997</v>
      </c>
      <c r="AG116" s="53">
        <v>1.5954000000000001E-4</v>
      </c>
    </row>
    <row r="117" spans="1:33" x14ac:dyDescent="0.2">
      <c r="A117" s="1" t="s">
        <v>183</v>
      </c>
      <c r="B117" s="2" t="s">
        <v>184</v>
      </c>
      <c r="C117" s="33">
        <v>300</v>
      </c>
      <c r="D117" s="2" t="s">
        <v>22</v>
      </c>
      <c r="E117" s="2" t="s">
        <v>23</v>
      </c>
      <c r="F117" s="2" t="s">
        <v>24</v>
      </c>
      <c r="G117" s="3" t="s">
        <v>25</v>
      </c>
      <c r="H117" s="2" t="s">
        <v>26</v>
      </c>
      <c r="I117" s="4" t="s">
        <v>131</v>
      </c>
      <c r="J117" s="2">
        <v>3</v>
      </c>
      <c r="K117" s="2" t="s">
        <v>107</v>
      </c>
      <c r="L117" s="2" t="s">
        <v>140</v>
      </c>
      <c r="M117" s="2" t="s">
        <v>112</v>
      </c>
      <c r="T117" s="2" t="s">
        <v>30</v>
      </c>
      <c r="U117" s="43">
        <v>1</v>
      </c>
      <c r="V117" s="2" t="s">
        <v>107</v>
      </c>
      <c r="W117" s="2" t="s">
        <v>24</v>
      </c>
      <c r="X117" s="2" t="s">
        <v>373</v>
      </c>
      <c r="Y117" s="5" t="s">
        <v>681</v>
      </c>
      <c r="Z117" s="45" t="s">
        <v>682</v>
      </c>
      <c r="AA117" s="44" t="s">
        <v>683</v>
      </c>
      <c r="AB117" s="46">
        <v>0.26300329700000002</v>
      </c>
      <c r="AC117" s="46">
        <v>0.27937915699999999</v>
      </c>
      <c r="AD117" s="48">
        <v>6.9135109E-2</v>
      </c>
      <c r="AE117" s="49">
        <v>3.2831635709999998</v>
      </c>
      <c r="AF117" s="46">
        <v>0.56765554100000004</v>
      </c>
      <c r="AG117" s="46">
        <v>1.87622E-4</v>
      </c>
    </row>
    <row r="118" spans="1:33" x14ac:dyDescent="0.2">
      <c r="C118" s="33"/>
      <c r="H118" s="33"/>
      <c r="T118" s="2" t="s">
        <v>30</v>
      </c>
      <c r="U118" s="43">
        <v>2</v>
      </c>
      <c r="V118" s="2" t="s">
        <v>140</v>
      </c>
      <c r="W118" s="2" t="s">
        <v>24</v>
      </c>
      <c r="X118" s="2" t="s">
        <v>373</v>
      </c>
      <c r="Y118" s="5" t="s">
        <v>684</v>
      </c>
      <c r="Z118" s="45" t="s">
        <v>685</v>
      </c>
      <c r="AA118" s="44" t="s">
        <v>686</v>
      </c>
      <c r="AB118" s="46">
        <v>8.4083483000000001E-2</v>
      </c>
      <c r="AC118" s="46">
        <v>0.499138833</v>
      </c>
      <c r="AD118" s="48">
        <v>2.1887648369999999</v>
      </c>
      <c r="AE118" s="49">
        <v>60.990832830000002</v>
      </c>
      <c r="AF118" s="46">
        <v>0.66923723000000002</v>
      </c>
      <c r="AG118" s="46">
        <v>1.17333E-4</v>
      </c>
    </row>
    <row r="119" spans="1:33" x14ac:dyDescent="0.2">
      <c r="A119" s="13"/>
      <c r="B119" s="14"/>
      <c r="C119" s="34"/>
      <c r="D119" s="14"/>
      <c r="E119" s="14"/>
      <c r="F119" s="14"/>
      <c r="G119" s="15"/>
      <c r="H119" s="14"/>
      <c r="I119" s="169"/>
      <c r="J119" s="14"/>
      <c r="K119" s="14"/>
      <c r="L119" s="14"/>
      <c r="M119" s="14"/>
      <c r="N119" s="14"/>
      <c r="O119" s="14"/>
      <c r="P119" s="14"/>
      <c r="Q119" s="14"/>
      <c r="R119" s="14"/>
      <c r="S119" s="14"/>
      <c r="T119" s="15"/>
      <c r="U119" s="43">
        <v>3</v>
      </c>
      <c r="V119" s="2" t="s">
        <v>112</v>
      </c>
      <c r="W119" s="2" t="s">
        <v>24</v>
      </c>
      <c r="X119" s="2" t="s">
        <v>373</v>
      </c>
      <c r="Y119" s="5" t="s">
        <v>687</v>
      </c>
      <c r="Z119" s="45" t="s">
        <v>688</v>
      </c>
      <c r="AA119" s="44" t="s">
        <v>689</v>
      </c>
      <c r="AB119" s="46">
        <v>0.228827584</v>
      </c>
      <c r="AC119" s="46">
        <v>0.41142857100000002</v>
      </c>
      <c r="AD119" s="48">
        <v>0.74082521099999998</v>
      </c>
      <c r="AE119" s="49">
        <v>27.522348709999999</v>
      </c>
      <c r="AF119" s="46">
        <v>0.56536475399999997</v>
      </c>
      <c r="AG119" s="46">
        <v>1.4108400000000001E-4</v>
      </c>
    </row>
    <row r="120" spans="1:33" x14ac:dyDescent="0.2">
      <c r="A120" s="106" t="s">
        <v>185</v>
      </c>
      <c r="B120" s="107" t="s">
        <v>186</v>
      </c>
      <c r="C120" s="175">
        <v>555</v>
      </c>
      <c r="D120" s="107" t="s">
        <v>22</v>
      </c>
      <c r="E120" s="107" t="s">
        <v>23</v>
      </c>
      <c r="F120" s="107" t="s">
        <v>24</v>
      </c>
      <c r="G120" s="176" t="s">
        <v>25</v>
      </c>
      <c r="H120" s="107" t="s">
        <v>26</v>
      </c>
      <c r="I120" s="177" t="s">
        <v>39</v>
      </c>
      <c r="J120" s="107">
        <v>1</v>
      </c>
      <c r="K120" s="107" t="s">
        <v>132</v>
      </c>
      <c r="L120" s="107"/>
      <c r="M120" s="107"/>
      <c r="N120" s="107"/>
      <c r="O120" s="107"/>
      <c r="P120" s="107"/>
      <c r="Q120" s="107"/>
      <c r="R120" s="107"/>
      <c r="S120" s="107"/>
      <c r="T120" s="176" t="s">
        <v>30</v>
      </c>
      <c r="U120" s="35">
        <v>1</v>
      </c>
      <c r="V120" s="36" t="s">
        <v>132</v>
      </c>
      <c r="W120" s="36" t="s">
        <v>24</v>
      </c>
      <c r="X120" s="36" t="s">
        <v>373</v>
      </c>
      <c r="Y120" s="65" t="s">
        <v>690</v>
      </c>
      <c r="Z120" s="38" t="s">
        <v>691</v>
      </c>
      <c r="AA120" s="37" t="s">
        <v>692</v>
      </c>
      <c r="AB120" s="39">
        <v>0.13995075800000001</v>
      </c>
      <c r="AC120" s="39">
        <v>0.59108628699999999</v>
      </c>
      <c r="AD120" s="41">
        <v>2.7560498789999999</v>
      </c>
      <c r="AE120" s="42">
        <v>66.852067109999993</v>
      </c>
      <c r="AF120" s="39">
        <v>0.50616488699999995</v>
      </c>
      <c r="AG120" s="39">
        <v>8.0699999999999996E-5</v>
      </c>
    </row>
    <row r="121" spans="1:33" x14ac:dyDescent="0.2">
      <c r="A121" s="106" t="s">
        <v>187</v>
      </c>
      <c r="B121" s="107" t="s">
        <v>188</v>
      </c>
      <c r="C121" s="175">
        <v>185</v>
      </c>
      <c r="D121" s="107" t="s">
        <v>22</v>
      </c>
      <c r="E121" s="107" t="s">
        <v>23</v>
      </c>
      <c r="F121" s="107" t="s">
        <v>24</v>
      </c>
      <c r="G121" s="176" t="s">
        <v>25</v>
      </c>
      <c r="H121" s="107" t="s">
        <v>26</v>
      </c>
      <c r="I121" s="177" t="s">
        <v>166</v>
      </c>
      <c r="J121" s="107">
        <v>1</v>
      </c>
      <c r="K121" s="107" t="s">
        <v>106</v>
      </c>
      <c r="L121" s="107"/>
      <c r="M121" s="107"/>
      <c r="N121" s="107"/>
      <c r="O121" s="107"/>
      <c r="P121" s="107"/>
      <c r="Q121" s="107"/>
      <c r="R121" s="107"/>
      <c r="S121" s="107"/>
      <c r="T121" s="176" t="s">
        <v>30</v>
      </c>
      <c r="U121" s="35">
        <v>1</v>
      </c>
      <c r="V121" s="36" t="s">
        <v>106</v>
      </c>
      <c r="W121" s="36" t="s">
        <v>24</v>
      </c>
      <c r="X121" s="36" t="s">
        <v>373</v>
      </c>
      <c r="Y121" s="65" t="s">
        <v>693</v>
      </c>
      <c r="Z121" s="38" t="s">
        <v>694</v>
      </c>
      <c r="AA121" s="37" t="s">
        <v>695</v>
      </c>
      <c r="AB121" s="39">
        <v>0.281266713</v>
      </c>
      <c r="AC121" s="39">
        <v>0.69257915000000003</v>
      </c>
      <c r="AD121" s="41">
        <v>3.5422689350000001</v>
      </c>
      <c r="AE121" s="42">
        <v>84.317195929999997</v>
      </c>
      <c r="AF121" s="39">
        <v>0.517795546</v>
      </c>
      <c r="AG121" s="39">
        <v>7.5099999999999996E-5</v>
      </c>
    </row>
    <row r="122" spans="1:33" x14ac:dyDescent="0.2">
      <c r="A122" s="1" t="s">
        <v>189</v>
      </c>
      <c r="B122" s="2" t="s">
        <v>190</v>
      </c>
      <c r="C122" s="33">
        <v>335</v>
      </c>
      <c r="D122" s="2" t="s">
        <v>22</v>
      </c>
      <c r="E122" s="2" t="s">
        <v>23</v>
      </c>
      <c r="F122" s="2" t="s">
        <v>24</v>
      </c>
      <c r="G122" s="3" t="s">
        <v>25</v>
      </c>
      <c r="H122" s="2" t="s">
        <v>26</v>
      </c>
      <c r="I122" s="4" t="s">
        <v>61</v>
      </c>
      <c r="J122" s="2">
        <v>2</v>
      </c>
      <c r="K122" s="2" t="s">
        <v>45</v>
      </c>
      <c r="L122" s="2" t="s">
        <v>51</v>
      </c>
      <c r="T122" s="2" t="s">
        <v>30</v>
      </c>
      <c r="U122" s="35">
        <v>1</v>
      </c>
      <c r="V122" s="36" t="s">
        <v>45</v>
      </c>
      <c r="W122" s="36" t="s">
        <v>24</v>
      </c>
      <c r="X122" s="36" t="s">
        <v>373</v>
      </c>
      <c r="Y122" s="65" t="s">
        <v>696</v>
      </c>
      <c r="Z122" s="38" t="s">
        <v>697</v>
      </c>
      <c r="AA122" s="37" t="s">
        <v>698</v>
      </c>
      <c r="AB122" s="39">
        <v>4.8904713000000002E-2</v>
      </c>
      <c r="AC122" s="39">
        <v>0.42028692699999998</v>
      </c>
      <c r="AD122" s="41">
        <v>1.3614451430000001</v>
      </c>
      <c r="AE122" s="42">
        <v>42.759257040000001</v>
      </c>
      <c r="AF122" s="39">
        <v>0.70947194300000005</v>
      </c>
      <c r="AG122" s="39">
        <v>1.4243700000000001E-4</v>
      </c>
    </row>
    <row r="123" spans="1:33" x14ac:dyDescent="0.2">
      <c r="A123" s="13"/>
      <c r="B123" s="14"/>
      <c r="C123" s="34"/>
      <c r="D123" s="14"/>
      <c r="E123" s="14"/>
      <c r="F123" s="14"/>
      <c r="G123" s="15"/>
      <c r="H123" s="14"/>
      <c r="I123" s="169"/>
      <c r="J123" s="14"/>
      <c r="K123" s="14"/>
      <c r="L123" s="14"/>
      <c r="M123" s="14"/>
      <c r="N123" s="14"/>
      <c r="O123" s="14"/>
      <c r="P123" s="14"/>
      <c r="Q123" s="14"/>
      <c r="R123" s="14"/>
      <c r="S123" s="14"/>
      <c r="T123" s="15"/>
      <c r="U123" s="50">
        <v>2</v>
      </c>
      <c r="V123" s="8" t="s">
        <v>51</v>
      </c>
      <c r="W123" s="8" t="s">
        <v>24</v>
      </c>
      <c r="X123" s="8" t="s">
        <v>373</v>
      </c>
      <c r="Y123" s="51" t="s">
        <v>699</v>
      </c>
      <c r="Z123" s="66" t="s">
        <v>700</v>
      </c>
      <c r="AA123" s="66" t="s">
        <v>701</v>
      </c>
      <c r="AB123" s="75">
        <v>0.46762063799999998</v>
      </c>
      <c r="AC123" s="54">
        <v>0.64881487100000002</v>
      </c>
      <c r="AD123" s="76">
        <v>1.082436129</v>
      </c>
      <c r="AE123" s="76">
        <v>37.679089279999999</v>
      </c>
      <c r="AF123" s="75">
        <v>0.39921837999999998</v>
      </c>
      <c r="AG123" s="53">
        <v>9.0199999999999997E-5</v>
      </c>
    </row>
    <row r="124" spans="1:33" x14ac:dyDescent="0.2">
      <c r="A124" s="106" t="s">
        <v>191</v>
      </c>
      <c r="B124" s="107" t="s">
        <v>192</v>
      </c>
      <c r="C124" s="175">
        <v>285</v>
      </c>
      <c r="D124" s="107" t="s">
        <v>22</v>
      </c>
      <c r="E124" s="107" t="s">
        <v>23</v>
      </c>
      <c r="F124" s="107" t="s">
        <v>24</v>
      </c>
      <c r="G124" s="176" t="s">
        <v>25</v>
      </c>
      <c r="H124" s="107" t="s">
        <v>26</v>
      </c>
      <c r="I124" s="177" t="s">
        <v>85</v>
      </c>
      <c r="J124" s="107">
        <v>1</v>
      </c>
      <c r="K124" s="107" t="s">
        <v>193</v>
      </c>
      <c r="L124" s="107"/>
      <c r="M124" s="107"/>
      <c r="N124" s="107"/>
      <c r="O124" s="107"/>
      <c r="P124" s="107"/>
      <c r="Q124" s="107"/>
      <c r="R124" s="107"/>
      <c r="S124" s="107"/>
      <c r="T124" s="176" t="s">
        <v>30</v>
      </c>
      <c r="U124" s="43">
        <v>1</v>
      </c>
      <c r="V124" s="2" t="s">
        <v>193</v>
      </c>
      <c r="W124" s="2" t="s">
        <v>24</v>
      </c>
      <c r="X124" s="2" t="s">
        <v>373</v>
      </c>
      <c r="Y124" s="5" t="s">
        <v>702</v>
      </c>
      <c r="Z124" s="45" t="s">
        <v>703</v>
      </c>
      <c r="AA124" s="44" t="s">
        <v>704</v>
      </c>
      <c r="AB124" s="46">
        <v>8.9760472999999993E-2</v>
      </c>
      <c r="AC124" s="46">
        <v>0.69659594800000002</v>
      </c>
      <c r="AD124" s="48">
        <v>4.0672966339999999</v>
      </c>
      <c r="AE124" s="49">
        <v>96.937207909999998</v>
      </c>
      <c r="AF124" s="46">
        <v>0.682039006</v>
      </c>
      <c r="AG124" s="46">
        <v>9.5400000000000001E-5</v>
      </c>
    </row>
    <row r="125" spans="1:33" x14ac:dyDescent="0.2">
      <c r="A125" s="1" t="s">
        <v>194</v>
      </c>
      <c r="B125" s="2" t="s">
        <v>195</v>
      </c>
      <c r="C125" s="33">
        <v>530</v>
      </c>
      <c r="D125" s="2" t="s">
        <v>22</v>
      </c>
      <c r="E125" s="2" t="s">
        <v>23</v>
      </c>
      <c r="F125" s="2" t="s">
        <v>24</v>
      </c>
      <c r="G125" s="3" t="s">
        <v>25</v>
      </c>
      <c r="H125" s="2" t="s">
        <v>26</v>
      </c>
      <c r="I125" s="2" t="s">
        <v>196</v>
      </c>
      <c r="J125" s="2">
        <v>4</v>
      </c>
      <c r="K125" s="2" t="s">
        <v>45</v>
      </c>
      <c r="L125" s="2" t="s">
        <v>62</v>
      </c>
      <c r="M125" s="2" t="s">
        <v>92</v>
      </c>
      <c r="N125" s="2" t="s">
        <v>42</v>
      </c>
      <c r="T125" s="2" t="s">
        <v>30</v>
      </c>
      <c r="U125" s="35">
        <v>1</v>
      </c>
      <c r="V125" s="36" t="s">
        <v>45</v>
      </c>
      <c r="W125" s="36" t="s">
        <v>24</v>
      </c>
      <c r="X125" s="36" t="s">
        <v>373</v>
      </c>
      <c r="Y125" s="65">
        <v>133952083</v>
      </c>
      <c r="Z125" s="38">
        <v>73981364</v>
      </c>
      <c r="AA125" s="37">
        <v>23805</v>
      </c>
      <c r="AB125" s="39">
        <v>8.6935446999999999E-2</v>
      </c>
      <c r="AC125" s="39">
        <v>0.58333333300000001</v>
      </c>
      <c r="AD125" s="41">
        <v>1.9431430599999999</v>
      </c>
      <c r="AE125" s="42">
        <v>105.0264829</v>
      </c>
      <c r="AF125" s="39">
        <v>0.55229722699999995</v>
      </c>
      <c r="AG125" s="39">
        <v>1.77713E-4</v>
      </c>
    </row>
    <row r="126" spans="1:33" x14ac:dyDescent="0.2">
      <c r="A126" s="1"/>
      <c r="C126" s="33"/>
      <c r="G126" s="3"/>
      <c r="U126" s="43">
        <v>2</v>
      </c>
      <c r="V126" s="2" t="s">
        <v>62</v>
      </c>
      <c r="W126" s="2" t="s">
        <v>24</v>
      </c>
      <c r="X126" s="2" t="s">
        <v>373</v>
      </c>
      <c r="Y126" s="5">
        <v>86324919</v>
      </c>
      <c r="Z126" s="45">
        <v>42990959</v>
      </c>
      <c r="AA126" s="44">
        <v>18847</v>
      </c>
      <c r="AB126" s="46">
        <v>0.13551227499999999</v>
      </c>
      <c r="AC126" s="46">
        <v>0.49401310100000001</v>
      </c>
      <c r="AD126" s="48">
        <v>1.16642355</v>
      </c>
      <c r="AE126" s="49">
        <v>83.129119230000001</v>
      </c>
      <c r="AF126" s="46">
        <v>0.49801331399999998</v>
      </c>
      <c r="AG126" s="46">
        <v>2.18326E-4</v>
      </c>
    </row>
    <row r="127" spans="1:33" x14ac:dyDescent="0.2">
      <c r="A127" s="1"/>
      <c r="C127" s="33"/>
      <c r="G127" s="3"/>
      <c r="U127" s="43">
        <v>3</v>
      </c>
      <c r="V127" s="2" t="s">
        <v>92</v>
      </c>
      <c r="W127" s="2" t="s">
        <v>24</v>
      </c>
      <c r="X127" s="2" t="s">
        <v>373</v>
      </c>
      <c r="Y127" s="5">
        <v>93755347</v>
      </c>
      <c r="Z127" s="45">
        <v>46331347</v>
      </c>
      <c r="AA127" s="44">
        <v>19372</v>
      </c>
      <c r="AB127" s="46">
        <v>0.15206225900000001</v>
      </c>
      <c r="AC127" s="46">
        <v>0.51755740400000005</v>
      </c>
      <c r="AD127" s="48">
        <v>1.249264216</v>
      </c>
      <c r="AE127" s="49">
        <v>85.472019169999996</v>
      </c>
      <c r="AF127" s="46">
        <v>0.49417285</v>
      </c>
      <c r="AG127" s="46">
        <v>2.0662299999999999E-4</v>
      </c>
    </row>
    <row r="128" spans="1:33" x14ac:dyDescent="0.2">
      <c r="A128" s="13"/>
      <c r="B128" s="14"/>
      <c r="C128" s="34"/>
      <c r="D128" s="14"/>
      <c r="E128" s="14"/>
      <c r="F128" s="14"/>
      <c r="G128" s="15"/>
      <c r="H128" s="14"/>
      <c r="I128" s="14"/>
      <c r="J128" s="14"/>
      <c r="K128" s="14"/>
      <c r="L128" s="14"/>
      <c r="M128" s="14"/>
      <c r="N128" s="14"/>
      <c r="O128" s="14"/>
      <c r="P128" s="14"/>
      <c r="Q128" s="14"/>
      <c r="R128" s="14"/>
      <c r="S128" s="14"/>
      <c r="T128" s="15"/>
      <c r="U128" s="50">
        <v>4</v>
      </c>
      <c r="V128" s="77" t="s">
        <v>42</v>
      </c>
      <c r="W128" s="8" t="s">
        <v>24</v>
      </c>
      <c r="X128" s="8" t="s">
        <v>373</v>
      </c>
      <c r="Y128" s="66">
        <v>90026678</v>
      </c>
      <c r="Z128" s="52">
        <v>49288087</v>
      </c>
      <c r="AA128" s="51">
        <v>19552</v>
      </c>
      <c r="AB128" s="53">
        <v>9.4178209999999998E-2</v>
      </c>
      <c r="AC128" s="53">
        <v>0.48357105099999997</v>
      </c>
      <c r="AD128" s="55">
        <v>1.30255421</v>
      </c>
      <c r="AE128" s="56">
        <v>85.083762730000004</v>
      </c>
      <c r="AF128" s="53">
        <v>0.54748312499999996</v>
      </c>
      <c r="AG128" s="53">
        <v>2.1718E-4</v>
      </c>
    </row>
    <row r="129" spans="1:33" x14ac:dyDescent="0.2">
      <c r="A129" s="106" t="s">
        <v>197</v>
      </c>
      <c r="B129" s="107" t="s">
        <v>198</v>
      </c>
      <c r="C129" s="175">
        <v>475</v>
      </c>
      <c r="D129" s="107" t="s">
        <v>22</v>
      </c>
      <c r="E129" s="107" t="s">
        <v>23</v>
      </c>
      <c r="F129" s="107" t="s">
        <v>24</v>
      </c>
      <c r="G129" s="176" t="s">
        <v>25</v>
      </c>
      <c r="H129" s="107" t="s">
        <v>26</v>
      </c>
      <c r="I129" s="107">
        <v>14</v>
      </c>
      <c r="J129" s="107">
        <v>1</v>
      </c>
      <c r="K129" s="107" t="s">
        <v>28</v>
      </c>
      <c r="L129" s="107"/>
      <c r="M129" s="107"/>
      <c r="N129" s="107"/>
      <c r="O129" s="107"/>
      <c r="P129" s="107"/>
      <c r="Q129" s="107"/>
      <c r="R129" s="107"/>
      <c r="S129" s="107"/>
      <c r="T129" s="176" t="s">
        <v>30</v>
      </c>
      <c r="U129" s="43">
        <v>1</v>
      </c>
      <c r="V129" s="2" t="s">
        <v>28</v>
      </c>
      <c r="W129" s="2" t="s">
        <v>24</v>
      </c>
      <c r="X129" s="2" t="s">
        <v>373</v>
      </c>
      <c r="Y129" s="5">
        <v>87936033</v>
      </c>
      <c r="Z129" s="45">
        <v>48739602</v>
      </c>
      <c r="AA129" s="44">
        <v>10439</v>
      </c>
      <c r="AB129" s="46">
        <v>0.116040139</v>
      </c>
      <c r="AC129" s="46">
        <v>0.41297868799999998</v>
      </c>
      <c r="AD129" s="48">
        <v>1.0189171239999999</v>
      </c>
      <c r="AE129" s="49">
        <v>35.272318749999997</v>
      </c>
      <c r="AF129" s="46">
        <v>0.554262005</v>
      </c>
      <c r="AG129" s="46">
        <v>1.18711E-4</v>
      </c>
    </row>
    <row r="130" spans="1:33" s="158" customFormat="1" x14ac:dyDescent="0.2">
      <c r="A130" s="156" t="s">
        <v>199</v>
      </c>
      <c r="B130" s="2" t="s">
        <v>200</v>
      </c>
      <c r="C130" s="33">
        <v>458</v>
      </c>
      <c r="D130" s="2" t="s">
        <v>22</v>
      </c>
      <c r="E130" s="2" t="s">
        <v>23</v>
      </c>
      <c r="F130" s="2" t="s">
        <v>24</v>
      </c>
      <c r="G130" s="3" t="s">
        <v>25</v>
      </c>
      <c r="H130" s="2" t="s">
        <v>26</v>
      </c>
      <c r="I130" s="2">
        <v>5</v>
      </c>
      <c r="J130" s="2">
        <v>3</v>
      </c>
      <c r="K130" s="2" t="s">
        <v>193</v>
      </c>
      <c r="L130" s="2" t="s">
        <v>128</v>
      </c>
      <c r="M130" s="2" t="s">
        <v>50</v>
      </c>
      <c r="N130" s="2"/>
      <c r="O130" s="2"/>
      <c r="P130" s="2"/>
      <c r="Q130" s="2"/>
      <c r="R130" s="2"/>
      <c r="S130" s="2"/>
      <c r="T130" s="2" t="s">
        <v>30</v>
      </c>
      <c r="U130" s="21">
        <v>1</v>
      </c>
      <c r="V130" s="20" t="s">
        <v>193</v>
      </c>
      <c r="W130" s="20" t="s">
        <v>24</v>
      </c>
      <c r="X130" s="20" t="s">
        <v>373</v>
      </c>
      <c r="Y130" s="163">
        <v>104161197</v>
      </c>
      <c r="Z130" s="164">
        <v>33017489</v>
      </c>
      <c r="AA130" s="165">
        <v>8147</v>
      </c>
      <c r="AB130" s="166">
        <v>3.8211819982299999E-2</v>
      </c>
      <c r="AC130" s="166">
        <v>0.279090345987</v>
      </c>
      <c r="AD130" s="167">
        <v>0.75483798256400003</v>
      </c>
      <c r="AE130" s="168">
        <v>28.406411024600001</v>
      </c>
      <c r="AF130" s="166">
        <v>0.31698453887799999</v>
      </c>
      <c r="AG130" s="166">
        <v>7.8215306991899996E-5</v>
      </c>
    </row>
    <row r="131" spans="1:33" s="158" customFormat="1" x14ac:dyDescent="0.2">
      <c r="A131" s="179"/>
      <c r="B131" s="11"/>
      <c r="C131" s="33"/>
      <c r="D131" s="11"/>
      <c r="E131" s="11"/>
      <c r="F131" s="11"/>
      <c r="G131" s="3"/>
      <c r="H131" s="11"/>
      <c r="I131" s="11"/>
      <c r="J131" s="11"/>
      <c r="K131" s="11"/>
      <c r="L131" s="11"/>
      <c r="M131" s="11"/>
      <c r="N131" s="11"/>
      <c r="O131" s="11"/>
      <c r="P131" s="11"/>
      <c r="Q131" s="11"/>
      <c r="R131" s="11"/>
      <c r="S131" s="11"/>
      <c r="T131" s="3"/>
      <c r="U131" s="43">
        <v>2</v>
      </c>
      <c r="V131" s="2" t="s">
        <v>128</v>
      </c>
      <c r="W131" s="2" t="s">
        <v>24</v>
      </c>
      <c r="X131" s="2" t="s">
        <v>373</v>
      </c>
      <c r="Y131" s="5">
        <v>61511773</v>
      </c>
      <c r="Z131" s="87">
        <v>18786665</v>
      </c>
      <c r="AA131" s="88">
        <v>5202</v>
      </c>
      <c r="AB131" s="46">
        <v>4.4174166406500001E-2</v>
      </c>
      <c r="AC131" s="46">
        <v>0.19439999999999999</v>
      </c>
      <c r="AD131" s="155">
        <v>0.42747275271399998</v>
      </c>
      <c r="AE131" s="154">
        <v>17.649610545200002</v>
      </c>
      <c r="AF131" s="46">
        <v>0.30541576163</v>
      </c>
      <c r="AG131" s="46">
        <v>8.4569176700499999E-5</v>
      </c>
    </row>
    <row r="132" spans="1:33" s="158" customFormat="1" x14ac:dyDescent="0.2">
      <c r="A132" s="180"/>
      <c r="B132" s="14"/>
      <c r="C132" s="34"/>
      <c r="D132" s="14"/>
      <c r="E132" s="14"/>
      <c r="F132" s="14"/>
      <c r="G132" s="15"/>
      <c r="H132" s="14"/>
      <c r="I132" s="14"/>
      <c r="J132" s="14"/>
      <c r="K132" s="14"/>
      <c r="L132" s="14"/>
      <c r="M132" s="14"/>
      <c r="N132" s="14"/>
      <c r="O132" s="14"/>
      <c r="P132" s="14"/>
      <c r="Q132" s="14"/>
      <c r="R132" s="14"/>
      <c r="S132" s="14"/>
      <c r="T132" s="15"/>
      <c r="U132" s="43">
        <v>3</v>
      </c>
      <c r="V132" s="14" t="s">
        <v>50</v>
      </c>
      <c r="W132" s="2" t="s">
        <v>24</v>
      </c>
      <c r="X132" s="2" t="s">
        <v>373</v>
      </c>
      <c r="Y132" s="156" t="s">
        <v>1152</v>
      </c>
      <c r="Z132" s="159">
        <v>13774247</v>
      </c>
      <c r="AA132" s="160">
        <v>3967</v>
      </c>
      <c r="AB132" s="157">
        <v>3.3626446421099999E-2</v>
      </c>
      <c r="AC132" s="157">
        <v>0.16237331081100001</v>
      </c>
      <c r="AD132" s="161">
        <v>0.31361727409599999</v>
      </c>
      <c r="AE132" s="162">
        <v>13.3629119233</v>
      </c>
      <c r="AF132" s="157">
        <v>0.30784871181099999</v>
      </c>
      <c r="AG132" s="157">
        <v>8.8660805904999996E-5</v>
      </c>
    </row>
    <row r="133" spans="1:33" x14ac:dyDescent="0.2">
      <c r="A133" s="1" t="s">
        <v>201</v>
      </c>
      <c r="B133" s="2" t="s">
        <v>202</v>
      </c>
      <c r="C133" s="33">
        <v>250</v>
      </c>
      <c r="D133" s="2" t="s">
        <v>22</v>
      </c>
      <c r="E133" s="2" t="s">
        <v>23</v>
      </c>
      <c r="F133" s="2" t="s">
        <v>24</v>
      </c>
      <c r="G133" s="3" t="s">
        <v>25</v>
      </c>
      <c r="H133" s="2" t="s">
        <v>26</v>
      </c>
      <c r="I133" s="4" t="s">
        <v>67</v>
      </c>
      <c r="J133" s="2">
        <v>3</v>
      </c>
      <c r="K133" s="2" t="s">
        <v>56</v>
      </c>
      <c r="L133" s="2" t="s">
        <v>36</v>
      </c>
      <c r="M133" s="2" t="s">
        <v>70</v>
      </c>
      <c r="T133" s="2" t="s">
        <v>30</v>
      </c>
      <c r="U133" s="35">
        <v>1</v>
      </c>
      <c r="V133" s="11" t="s">
        <v>36</v>
      </c>
      <c r="W133" s="36" t="s">
        <v>24</v>
      </c>
      <c r="X133" s="36" t="s">
        <v>373</v>
      </c>
      <c r="Y133" s="65" t="s">
        <v>705</v>
      </c>
      <c r="Z133" s="38" t="s">
        <v>706</v>
      </c>
      <c r="AA133" s="37" t="s">
        <v>707</v>
      </c>
      <c r="AB133" s="39">
        <v>9.7608678000000004E-2</v>
      </c>
      <c r="AC133" s="39">
        <v>0.417733205</v>
      </c>
      <c r="AD133" s="41">
        <v>1.7852589750000001</v>
      </c>
      <c r="AE133" s="42">
        <v>52.853205510000002</v>
      </c>
      <c r="AF133" s="39">
        <v>0.66689782600000003</v>
      </c>
      <c r="AG133" s="39">
        <v>1.2697500000000001E-4</v>
      </c>
    </row>
    <row r="134" spans="1:33" x14ac:dyDescent="0.2">
      <c r="A134" s="1"/>
      <c r="C134" s="33"/>
      <c r="G134" s="3"/>
      <c r="I134" s="4"/>
      <c r="U134" s="43">
        <v>2</v>
      </c>
      <c r="V134" s="2" t="s">
        <v>70</v>
      </c>
      <c r="W134" s="2" t="s">
        <v>24</v>
      </c>
      <c r="X134" s="2" t="s">
        <v>373</v>
      </c>
      <c r="Y134" s="5" t="s">
        <v>708</v>
      </c>
      <c r="Z134" s="45" t="s">
        <v>709</v>
      </c>
      <c r="AA134" s="44" t="s">
        <v>710</v>
      </c>
      <c r="AB134" s="46">
        <v>0.12016278800000001</v>
      </c>
      <c r="AC134" s="46">
        <v>0.46188895200000002</v>
      </c>
      <c r="AD134" s="48">
        <v>2.104244826</v>
      </c>
      <c r="AE134" s="49">
        <v>58.442180950000001</v>
      </c>
      <c r="AF134" s="46">
        <v>0.64987482100000005</v>
      </c>
      <c r="AG134" s="46">
        <v>1.1524800000000001E-4</v>
      </c>
    </row>
    <row r="135" spans="1:33" x14ac:dyDescent="0.2">
      <c r="A135" s="13"/>
      <c r="B135" s="14"/>
      <c r="C135" s="34"/>
      <c r="D135" s="14"/>
      <c r="E135" s="14"/>
      <c r="F135" s="14"/>
      <c r="G135" s="15"/>
      <c r="H135" s="14"/>
      <c r="I135" s="169"/>
      <c r="J135" s="14"/>
      <c r="K135" s="14"/>
      <c r="L135" s="14"/>
      <c r="M135" s="14"/>
      <c r="N135" s="14"/>
      <c r="O135" s="14"/>
      <c r="P135" s="14"/>
      <c r="Q135" s="14"/>
      <c r="R135" s="14"/>
      <c r="S135" s="14"/>
      <c r="T135" s="15"/>
      <c r="U135" s="50">
        <v>3</v>
      </c>
      <c r="V135" s="8" t="s">
        <v>56</v>
      </c>
      <c r="W135" s="8" t="s">
        <v>24</v>
      </c>
      <c r="X135" s="8" t="s">
        <v>373</v>
      </c>
      <c r="Y135" s="66" t="s">
        <v>711</v>
      </c>
      <c r="Z135" s="52" t="s">
        <v>712</v>
      </c>
      <c r="AA135" s="51" t="s">
        <v>713</v>
      </c>
      <c r="AB135" s="53">
        <v>6.6789288000000002E-2</v>
      </c>
      <c r="AC135" s="53">
        <v>0.13761175</v>
      </c>
      <c r="AD135" s="55">
        <v>0.222427395</v>
      </c>
      <c r="AE135" s="56">
        <v>9.1757339719999997</v>
      </c>
      <c r="AF135" s="53">
        <v>0.69415875299999996</v>
      </c>
      <c r="AG135" s="53">
        <v>1.99299E-4</v>
      </c>
    </row>
    <row r="136" spans="1:33" x14ac:dyDescent="0.2">
      <c r="A136" s="1" t="s">
        <v>203</v>
      </c>
      <c r="B136" s="2" t="s">
        <v>204</v>
      </c>
      <c r="C136" s="33">
        <v>335</v>
      </c>
      <c r="D136" s="2" t="s">
        <v>22</v>
      </c>
      <c r="E136" s="2" t="s">
        <v>23</v>
      </c>
      <c r="F136" s="2" t="s">
        <v>24</v>
      </c>
      <c r="G136" s="3" t="s">
        <v>25</v>
      </c>
      <c r="H136" s="2" t="s">
        <v>26</v>
      </c>
      <c r="I136" s="4" t="s">
        <v>205</v>
      </c>
      <c r="J136" s="2">
        <v>4</v>
      </c>
      <c r="K136" s="2" t="s">
        <v>106</v>
      </c>
      <c r="L136" s="2" t="s">
        <v>92</v>
      </c>
      <c r="M136" s="2" t="s">
        <v>51</v>
      </c>
      <c r="N136" s="2" t="s">
        <v>62</v>
      </c>
      <c r="T136" s="2" t="s">
        <v>30</v>
      </c>
      <c r="U136" s="43">
        <v>1</v>
      </c>
      <c r="V136" s="2" t="s">
        <v>106</v>
      </c>
      <c r="W136" s="2" t="s">
        <v>24</v>
      </c>
      <c r="X136" s="2" t="s">
        <v>373</v>
      </c>
      <c r="Y136" s="5" t="s">
        <v>714</v>
      </c>
      <c r="Z136" s="45" t="s">
        <v>715</v>
      </c>
      <c r="AA136" s="44" t="s">
        <v>716</v>
      </c>
      <c r="AB136" s="46">
        <v>7.8385179999999999E-2</v>
      </c>
      <c r="AC136" s="46">
        <v>0.33494102199999998</v>
      </c>
      <c r="AD136" s="48">
        <v>0.29866243999999997</v>
      </c>
      <c r="AE136" s="49">
        <v>48.052007189999998</v>
      </c>
      <c r="AF136" s="46">
        <v>0.248625868</v>
      </c>
      <c r="AG136" s="46">
        <v>2.5323700000000002E-4</v>
      </c>
    </row>
    <row r="137" spans="1:33" x14ac:dyDescent="0.2">
      <c r="A137" s="1"/>
      <c r="C137" s="33"/>
      <c r="G137" s="3"/>
      <c r="I137" s="4"/>
      <c r="U137" s="43">
        <v>2</v>
      </c>
      <c r="V137" s="2" t="s">
        <v>62</v>
      </c>
      <c r="W137" s="2" t="s">
        <v>24</v>
      </c>
      <c r="X137" s="2" t="s">
        <v>373</v>
      </c>
      <c r="Y137" s="5" t="s">
        <v>717</v>
      </c>
      <c r="Z137" s="45" t="s">
        <v>718</v>
      </c>
      <c r="AA137" s="44" t="s">
        <v>719</v>
      </c>
      <c r="AB137" s="46">
        <v>0.14460610199999999</v>
      </c>
      <c r="AC137" s="46">
        <v>0.36815597100000003</v>
      </c>
      <c r="AD137" s="48">
        <v>0.26502060500000002</v>
      </c>
      <c r="AE137" s="49">
        <v>43.245775909999999</v>
      </c>
      <c r="AF137" s="46">
        <v>0.29338526700000001</v>
      </c>
      <c r="AG137" s="46">
        <v>3.0381100000000002E-4</v>
      </c>
    </row>
    <row r="138" spans="1:33" x14ac:dyDescent="0.2">
      <c r="A138" s="1"/>
      <c r="C138" s="33"/>
      <c r="G138" s="3"/>
      <c r="I138" s="4"/>
      <c r="U138" s="43">
        <v>3</v>
      </c>
      <c r="V138" s="2" t="s">
        <v>92</v>
      </c>
      <c r="W138" s="2" t="s">
        <v>24</v>
      </c>
      <c r="X138" s="2" t="s">
        <v>373</v>
      </c>
      <c r="Y138" s="5" t="s">
        <v>720</v>
      </c>
      <c r="Z138" s="45" t="s">
        <v>721</v>
      </c>
      <c r="AA138" s="44" t="s">
        <v>722</v>
      </c>
      <c r="AB138" s="46">
        <v>0.20251031</v>
      </c>
      <c r="AC138" s="46">
        <v>0.44515968299999997</v>
      </c>
      <c r="AD138" s="48">
        <v>0.31657247199999999</v>
      </c>
      <c r="AE138" s="49">
        <v>49.318693830000001</v>
      </c>
      <c r="AF138" s="46">
        <v>0.26610715400000001</v>
      </c>
      <c r="AG138" s="46">
        <v>2.61031E-4</v>
      </c>
    </row>
    <row r="139" spans="1:33" x14ac:dyDescent="0.2">
      <c r="A139" s="13"/>
      <c r="B139" s="14"/>
      <c r="C139" s="34"/>
      <c r="D139" s="14"/>
      <c r="E139" s="14"/>
      <c r="F139" s="14"/>
      <c r="G139" s="15"/>
      <c r="H139" s="14"/>
      <c r="I139" s="169"/>
      <c r="J139" s="14"/>
      <c r="K139" s="14"/>
      <c r="L139" s="14"/>
      <c r="M139" s="14"/>
      <c r="N139" s="14"/>
      <c r="O139" s="14"/>
      <c r="P139" s="14"/>
      <c r="Q139" s="14"/>
      <c r="R139" s="14"/>
      <c r="S139" s="14"/>
      <c r="T139" s="15"/>
      <c r="U139" s="43">
        <v>4</v>
      </c>
      <c r="V139" s="2" t="s">
        <v>723</v>
      </c>
      <c r="W139" s="2" t="s">
        <v>24</v>
      </c>
      <c r="X139" s="2" t="s">
        <v>373</v>
      </c>
      <c r="Y139" s="5" t="s">
        <v>724</v>
      </c>
      <c r="Z139" s="45" t="s">
        <v>725</v>
      </c>
      <c r="AA139" s="44" t="s">
        <v>726</v>
      </c>
      <c r="AB139" s="46">
        <v>0.146672835</v>
      </c>
      <c r="AC139" s="46">
        <v>0.45478053499999999</v>
      </c>
      <c r="AD139" s="48">
        <v>0.427603917</v>
      </c>
      <c r="AE139" s="49">
        <v>60.283582979999998</v>
      </c>
      <c r="AF139" s="46">
        <v>0.27172815700000003</v>
      </c>
      <c r="AG139" s="46">
        <v>2.38917E-4</v>
      </c>
    </row>
    <row r="140" spans="1:33" x14ac:dyDescent="0.2">
      <c r="A140" s="1" t="s">
        <v>207</v>
      </c>
      <c r="B140" s="2" t="s">
        <v>208</v>
      </c>
      <c r="C140" s="33">
        <v>388</v>
      </c>
      <c r="D140" s="2" t="s">
        <v>22</v>
      </c>
      <c r="E140" s="2" t="s">
        <v>23</v>
      </c>
      <c r="F140" s="2" t="s">
        <v>24</v>
      </c>
      <c r="G140" s="3" t="s">
        <v>25</v>
      </c>
      <c r="H140" s="2" t="s">
        <v>26</v>
      </c>
      <c r="I140" s="4" t="s">
        <v>166</v>
      </c>
      <c r="J140" s="2">
        <v>4</v>
      </c>
      <c r="K140" s="2" t="s">
        <v>72</v>
      </c>
      <c r="L140" s="2" t="s">
        <v>62</v>
      </c>
      <c r="M140" s="2" t="s">
        <v>42</v>
      </c>
      <c r="N140" s="2" t="s">
        <v>41</v>
      </c>
      <c r="T140" s="2" t="s">
        <v>30</v>
      </c>
      <c r="U140" s="21">
        <v>1</v>
      </c>
      <c r="V140" s="20" t="s">
        <v>41</v>
      </c>
      <c r="W140" s="20" t="s">
        <v>24</v>
      </c>
      <c r="X140" s="20" t="s">
        <v>373</v>
      </c>
      <c r="Y140" s="22" t="s">
        <v>727</v>
      </c>
      <c r="Z140" s="78" t="s">
        <v>728</v>
      </c>
      <c r="AA140" s="79" t="s">
        <v>729</v>
      </c>
      <c r="AB140" s="80">
        <v>0.114317925</v>
      </c>
      <c r="AC140" s="80">
        <v>0.27054685000000001</v>
      </c>
      <c r="AD140" s="81">
        <v>1.015506909</v>
      </c>
      <c r="AE140" s="82">
        <v>35.20958658</v>
      </c>
      <c r="AF140" s="80">
        <v>0.34960078100000003</v>
      </c>
      <c r="AG140" s="80">
        <v>8.4099999999999998E-5</v>
      </c>
    </row>
    <row r="141" spans="1:33" x14ac:dyDescent="0.2">
      <c r="A141" s="1"/>
      <c r="C141" s="33"/>
      <c r="G141" s="3"/>
      <c r="I141" s="4"/>
      <c r="U141" s="43">
        <v>2</v>
      </c>
      <c r="V141" s="2" t="s">
        <v>62</v>
      </c>
      <c r="W141" s="2" t="s">
        <v>24</v>
      </c>
      <c r="X141" s="2" t="s">
        <v>373</v>
      </c>
      <c r="Y141" s="5" t="s">
        <v>730</v>
      </c>
      <c r="Z141" s="45" t="s">
        <v>731</v>
      </c>
      <c r="AA141" s="44" t="s">
        <v>732</v>
      </c>
      <c r="AB141" s="46">
        <v>0.106704705</v>
      </c>
      <c r="AC141" s="46">
        <v>0.28260112799999998</v>
      </c>
      <c r="AD141" s="48">
        <v>1.1859689879999999</v>
      </c>
      <c r="AE141" s="49">
        <v>40.182564409999998</v>
      </c>
      <c r="AF141" s="46">
        <v>0.338933541</v>
      </c>
      <c r="AG141" s="46">
        <v>7.9499999999999994E-5</v>
      </c>
    </row>
    <row r="142" spans="1:33" x14ac:dyDescent="0.2">
      <c r="A142" s="1"/>
      <c r="C142" s="33"/>
      <c r="G142" s="3"/>
      <c r="I142" s="4"/>
      <c r="U142" s="43">
        <v>3</v>
      </c>
      <c r="V142" s="2" t="s">
        <v>72</v>
      </c>
      <c r="W142" s="2" t="s">
        <v>24</v>
      </c>
      <c r="X142" s="2" t="s">
        <v>373</v>
      </c>
      <c r="Y142" s="5" t="s">
        <v>733</v>
      </c>
      <c r="Z142" s="45" t="s">
        <v>734</v>
      </c>
      <c r="AA142" s="44" t="s">
        <v>735</v>
      </c>
      <c r="AB142" s="46">
        <v>1.190485E-2</v>
      </c>
      <c r="AC142" s="46">
        <v>2.1761658E-2</v>
      </c>
      <c r="AD142" s="48">
        <v>8.9206072999999997E-2</v>
      </c>
      <c r="AE142" s="49">
        <v>3.5206111440000001</v>
      </c>
      <c r="AF142" s="46">
        <v>0.36521348199999998</v>
      </c>
      <c r="AG142" s="46">
        <v>1.02997E-4</v>
      </c>
    </row>
    <row r="143" spans="1:33" x14ac:dyDescent="0.2">
      <c r="A143" s="13"/>
      <c r="B143" s="14"/>
      <c r="C143" s="34"/>
      <c r="D143" s="14"/>
      <c r="E143" s="14"/>
      <c r="F143" s="14"/>
      <c r="G143" s="15"/>
      <c r="H143" s="14"/>
      <c r="I143" s="169"/>
      <c r="J143" s="14"/>
      <c r="K143" s="14"/>
      <c r="L143" s="14"/>
      <c r="M143" s="14"/>
      <c r="N143" s="14"/>
      <c r="O143" s="14"/>
      <c r="P143" s="14"/>
      <c r="Q143" s="14"/>
      <c r="R143" s="14"/>
      <c r="S143" s="14"/>
      <c r="T143" s="15"/>
      <c r="U143" s="43">
        <v>4</v>
      </c>
      <c r="V143" s="2" t="s">
        <v>42</v>
      </c>
      <c r="W143" s="2" t="s">
        <v>24</v>
      </c>
      <c r="X143" s="2" t="s">
        <v>373</v>
      </c>
      <c r="Y143" s="5" t="s">
        <v>736</v>
      </c>
      <c r="Z143" s="45" t="s">
        <v>737</v>
      </c>
      <c r="AA143" s="44" t="s">
        <v>738</v>
      </c>
      <c r="AB143" s="46">
        <v>0.13421154800000001</v>
      </c>
      <c r="AC143" s="46">
        <v>0.32020949999999998</v>
      </c>
      <c r="AD143" s="48">
        <v>1.3209398000000001</v>
      </c>
      <c r="AE143" s="49">
        <v>44.037747150000001</v>
      </c>
      <c r="AF143" s="46">
        <v>0.34256901299999998</v>
      </c>
      <c r="AG143" s="46">
        <v>7.8499999999999997E-5</v>
      </c>
    </row>
    <row r="144" spans="1:33" x14ac:dyDescent="0.2">
      <c r="A144" s="1" t="s">
        <v>209</v>
      </c>
      <c r="B144" s="2" t="s">
        <v>210</v>
      </c>
      <c r="C144" s="33">
        <v>532</v>
      </c>
      <c r="D144" s="2" t="s">
        <v>22</v>
      </c>
      <c r="E144" s="2" t="s">
        <v>23</v>
      </c>
      <c r="F144" s="2" t="s">
        <v>24</v>
      </c>
      <c r="G144" s="3" t="s">
        <v>25</v>
      </c>
      <c r="H144" s="2" t="s">
        <v>26</v>
      </c>
      <c r="I144" s="4" t="s">
        <v>39</v>
      </c>
      <c r="J144" s="2">
        <v>5</v>
      </c>
      <c r="K144" s="2" t="s">
        <v>64</v>
      </c>
      <c r="L144" s="2" t="s">
        <v>72</v>
      </c>
      <c r="M144" s="2" t="s">
        <v>102</v>
      </c>
      <c r="N144" s="2" t="s">
        <v>51</v>
      </c>
      <c r="O144" s="2" t="s">
        <v>101</v>
      </c>
      <c r="T144" s="2" t="s">
        <v>30</v>
      </c>
      <c r="U144" s="35">
        <v>1</v>
      </c>
      <c r="V144" s="36" t="s">
        <v>72</v>
      </c>
      <c r="W144" s="36" t="s">
        <v>24</v>
      </c>
      <c r="X144" s="36" t="s">
        <v>373</v>
      </c>
      <c r="Y144" s="65" t="s">
        <v>739</v>
      </c>
      <c r="Z144" s="38" t="s">
        <v>740</v>
      </c>
      <c r="AA144" s="37" t="s">
        <v>741</v>
      </c>
      <c r="AB144" s="39">
        <v>0.73741796100000001</v>
      </c>
      <c r="AC144" s="39">
        <v>0.72863568199999995</v>
      </c>
      <c r="AD144" s="41">
        <v>1.696547E-2</v>
      </c>
      <c r="AE144" s="42">
        <v>2.8621330139999999</v>
      </c>
      <c r="AF144" s="39">
        <v>0.12261689000000001</v>
      </c>
      <c r="AG144" s="39">
        <v>1.4388700000000001E-4</v>
      </c>
    </row>
    <row r="145" spans="1:33" x14ac:dyDescent="0.2">
      <c r="A145" s="1"/>
      <c r="C145" s="33"/>
      <c r="G145" s="3"/>
      <c r="I145" s="4"/>
      <c r="U145" s="43">
        <v>2</v>
      </c>
      <c r="V145" s="2" t="s">
        <v>101</v>
      </c>
      <c r="W145" s="2" t="s">
        <v>24</v>
      </c>
      <c r="X145" s="2" t="s">
        <v>373</v>
      </c>
      <c r="Y145" s="5" t="s">
        <v>742</v>
      </c>
      <c r="Z145" s="45" t="s">
        <v>743</v>
      </c>
      <c r="AA145" s="44" t="s">
        <v>744</v>
      </c>
      <c r="AB145" s="46">
        <v>0.75323277099999997</v>
      </c>
      <c r="AC145" s="46">
        <v>0.72148541099999997</v>
      </c>
      <c r="AD145" s="48">
        <v>1.703936E-2</v>
      </c>
      <c r="AE145" s="49">
        <v>2.8428999400000001</v>
      </c>
      <c r="AF145" s="46">
        <v>0.11567762700000001</v>
      </c>
      <c r="AG145" s="46">
        <v>1.36983E-4</v>
      </c>
    </row>
    <row r="146" spans="1:33" x14ac:dyDescent="0.2">
      <c r="A146" s="1"/>
      <c r="C146" s="33"/>
      <c r="G146" s="3"/>
      <c r="I146" s="4"/>
      <c r="U146" s="43">
        <v>3</v>
      </c>
      <c r="V146" s="2" t="s">
        <v>102</v>
      </c>
      <c r="W146" s="2" t="s">
        <v>24</v>
      </c>
      <c r="X146" s="2" t="s">
        <v>373</v>
      </c>
      <c r="Y146" s="5" t="s">
        <v>745</v>
      </c>
      <c r="Z146" s="45" t="s">
        <v>746</v>
      </c>
      <c r="AA146" s="44" t="s">
        <v>747</v>
      </c>
      <c r="AB146" s="46">
        <v>0.75039663499999998</v>
      </c>
      <c r="AC146" s="46">
        <v>0.74718309900000002</v>
      </c>
      <c r="AD146" s="48">
        <v>1.5961860000000001E-2</v>
      </c>
      <c r="AE146" s="49">
        <v>2.7525464350000002</v>
      </c>
      <c r="AF146" s="46">
        <v>0.116976782</v>
      </c>
      <c r="AG146" s="46">
        <v>1.4378000000000001E-4</v>
      </c>
    </row>
    <row r="147" spans="1:33" x14ac:dyDescent="0.2">
      <c r="A147" s="1"/>
      <c r="C147" s="33"/>
      <c r="G147" s="3"/>
      <c r="I147" s="4"/>
      <c r="U147" s="43">
        <v>4</v>
      </c>
      <c r="V147" s="2" t="s">
        <v>51</v>
      </c>
      <c r="W147" s="2" t="s">
        <v>24</v>
      </c>
      <c r="X147" s="2" t="s">
        <v>373</v>
      </c>
      <c r="Y147" s="5" t="s">
        <v>748</v>
      </c>
      <c r="Z147" s="45" t="s">
        <v>749</v>
      </c>
      <c r="AA147" s="44" t="s">
        <v>750</v>
      </c>
      <c r="AB147" s="46">
        <v>0.76227916100000004</v>
      </c>
      <c r="AC147" s="46">
        <v>0.74243466300000005</v>
      </c>
      <c r="AD147" s="48">
        <v>1.7361031999999998E-2</v>
      </c>
      <c r="AE147" s="49">
        <v>2.9247453569999999</v>
      </c>
      <c r="AF147" s="46">
        <v>0.11160262899999999</v>
      </c>
      <c r="AG147" s="46">
        <v>1.3144400000000001E-4</v>
      </c>
    </row>
    <row r="148" spans="1:33" x14ac:dyDescent="0.2">
      <c r="A148" s="13"/>
      <c r="B148" s="14"/>
      <c r="C148" s="34"/>
      <c r="D148" s="14"/>
      <c r="E148" s="14"/>
      <c r="F148" s="14"/>
      <c r="G148" s="15"/>
      <c r="H148" s="14"/>
      <c r="I148" s="169"/>
      <c r="J148" s="14"/>
      <c r="K148" s="14"/>
      <c r="L148" s="14"/>
      <c r="M148" s="14"/>
      <c r="N148" s="14"/>
      <c r="O148" s="14"/>
      <c r="P148" s="14"/>
      <c r="Q148" s="14"/>
      <c r="R148" s="14"/>
      <c r="S148" s="14"/>
      <c r="T148" s="15"/>
      <c r="U148" s="50">
        <v>5</v>
      </c>
      <c r="V148" s="8" t="s">
        <v>64</v>
      </c>
      <c r="W148" s="8" t="s">
        <v>24</v>
      </c>
      <c r="X148" s="8" t="s">
        <v>373</v>
      </c>
      <c r="Y148" s="66" t="s">
        <v>751</v>
      </c>
      <c r="Z148" s="52" t="s">
        <v>752</v>
      </c>
      <c r="AA148" s="51" t="s">
        <v>753</v>
      </c>
      <c r="AB148" s="53">
        <v>0.15603098100000001</v>
      </c>
      <c r="AC148" s="53">
        <v>0.78110157199999997</v>
      </c>
      <c r="AD148" s="55">
        <v>1.200309493</v>
      </c>
      <c r="AE148" s="56">
        <v>103.8825045</v>
      </c>
      <c r="AF148" s="53">
        <v>0.11912502799999999</v>
      </c>
      <c r="AG148" s="53">
        <v>6.0099999999999997E-5</v>
      </c>
    </row>
    <row r="149" spans="1:33" x14ac:dyDescent="0.2">
      <c r="A149" s="1" t="s">
        <v>213</v>
      </c>
      <c r="B149" s="2" t="s">
        <v>214</v>
      </c>
      <c r="C149" s="33">
        <v>459</v>
      </c>
      <c r="D149" s="2" t="s">
        <v>22</v>
      </c>
      <c r="E149" s="2" t="s">
        <v>23</v>
      </c>
      <c r="F149" s="2" t="s">
        <v>24</v>
      </c>
      <c r="G149" s="3" t="s">
        <v>25</v>
      </c>
      <c r="H149" s="2" t="s">
        <v>26</v>
      </c>
      <c r="I149" s="4" t="s">
        <v>215</v>
      </c>
      <c r="J149" s="2">
        <v>2</v>
      </c>
      <c r="K149" s="2" t="s">
        <v>28</v>
      </c>
      <c r="L149" s="2" t="s">
        <v>45</v>
      </c>
      <c r="T149" s="2" t="s">
        <v>30</v>
      </c>
      <c r="U149" s="35">
        <v>1</v>
      </c>
      <c r="V149" s="36" t="s">
        <v>45</v>
      </c>
      <c r="W149" s="36" t="s">
        <v>24</v>
      </c>
      <c r="X149" s="36" t="s">
        <v>373</v>
      </c>
      <c r="Y149" s="65" t="s">
        <v>754</v>
      </c>
      <c r="Z149" s="38" t="s">
        <v>755</v>
      </c>
      <c r="AA149" s="37" t="s">
        <v>756</v>
      </c>
      <c r="AB149" s="39">
        <v>0.38893167000000001</v>
      </c>
      <c r="AC149" s="39">
        <v>0.77725876900000002</v>
      </c>
      <c r="AD149" s="41">
        <v>1.1297075240000001</v>
      </c>
      <c r="AE149" s="42">
        <v>78.482684239999998</v>
      </c>
      <c r="AF149" s="39">
        <v>0.28375099799999998</v>
      </c>
      <c r="AG149" s="39">
        <v>1.1822199999999999E-4</v>
      </c>
    </row>
    <row r="150" spans="1:33" x14ac:dyDescent="0.2">
      <c r="A150" s="13"/>
      <c r="B150" s="14"/>
      <c r="C150" s="34"/>
      <c r="D150" s="14"/>
      <c r="E150" s="14"/>
      <c r="F150" s="14"/>
      <c r="G150" s="15"/>
      <c r="H150" s="14"/>
      <c r="I150" s="169"/>
      <c r="J150" s="14"/>
      <c r="K150" s="14"/>
      <c r="L150" s="14"/>
      <c r="M150" s="14"/>
      <c r="N150" s="14"/>
      <c r="O150" s="14"/>
      <c r="P150" s="14"/>
      <c r="Q150" s="14"/>
      <c r="R150" s="14"/>
      <c r="S150" s="14"/>
      <c r="T150" s="15"/>
      <c r="U150" s="50">
        <v>2</v>
      </c>
      <c r="V150" s="8" t="s">
        <v>28</v>
      </c>
      <c r="W150" s="8" t="s">
        <v>24</v>
      </c>
      <c r="X150" s="8" t="s">
        <v>373</v>
      </c>
      <c r="Y150" s="66" t="s">
        <v>757</v>
      </c>
      <c r="Z150" s="52" t="s">
        <v>758</v>
      </c>
      <c r="AA150" s="51" t="s">
        <v>759</v>
      </c>
      <c r="AB150" s="53">
        <v>0.12743705</v>
      </c>
      <c r="AC150" s="53">
        <v>0.85841611799999995</v>
      </c>
      <c r="AD150" s="55">
        <v>3.714558195</v>
      </c>
      <c r="AE150" s="56">
        <v>124.9378071</v>
      </c>
      <c r="AF150" s="53">
        <v>0.40756481999999999</v>
      </c>
      <c r="AG150" s="53">
        <v>7.5300000000000001E-5</v>
      </c>
    </row>
    <row r="151" spans="1:33" x14ac:dyDescent="0.2">
      <c r="A151" s="1" t="s">
        <v>216</v>
      </c>
      <c r="B151" s="2" t="s">
        <v>217</v>
      </c>
      <c r="C151" s="33">
        <v>380</v>
      </c>
      <c r="D151" s="2" t="s">
        <v>22</v>
      </c>
      <c r="E151" s="2" t="s">
        <v>23</v>
      </c>
      <c r="F151" s="2" t="s">
        <v>24</v>
      </c>
      <c r="G151" s="3" t="s">
        <v>25</v>
      </c>
      <c r="H151" s="2" t="s">
        <v>26</v>
      </c>
      <c r="I151" s="4" t="s">
        <v>218</v>
      </c>
      <c r="J151" s="2">
        <v>2</v>
      </c>
      <c r="K151" s="2" t="s">
        <v>219</v>
      </c>
      <c r="L151" s="2" t="s">
        <v>47</v>
      </c>
      <c r="T151" s="2" t="s">
        <v>30</v>
      </c>
      <c r="U151" s="43">
        <v>1</v>
      </c>
      <c r="V151" s="2" t="s">
        <v>47</v>
      </c>
      <c r="W151" s="2" t="s">
        <v>24</v>
      </c>
      <c r="X151" s="2" t="s">
        <v>373</v>
      </c>
      <c r="Y151" s="5" t="s">
        <v>760</v>
      </c>
      <c r="Z151" s="45" t="s">
        <v>761</v>
      </c>
      <c r="AA151" s="44" t="s">
        <v>762</v>
      </c>
      <c r="AB151" s="46">
        <v>0.43399815000000003</v>
      </c>
      <c r="AC151" s="46">
        <v>0.63087778900000002</v>
      </c>
      <c r="AD151" s="48">
        <v>1.3633815090000001</v>
      </c>
      <c r="AE151" s="49">
        <v>43.196165370000003</v>
      </c>
      <c r="AF151" s="46">
        <v>0.28072780899999999</v>
      </c>
      <c r="AG151" s="46">
        <v>6.1199999999999997E-5</v>
      </c>
    </row>
    <row r="152" spans="1:33" x14ac:dyDescent="0.2">
      <c r="A152" s="13"/>
      <c r="B152" s="14"/>
      <c r="C152" s="34"/>
      <c r="D152" s="14"/>
      <c r="E152" s="14"/>
      <c r="F152" s="14"/>
      <c r="G152" s="15"/>
      <c r="H152" s="14"/>
      <c r="I152" s="169"/>
      <c r="J152" s="14"/>
      <c r="K152" s="14"/>
      <c r="L152" s="14"/>
      <c r="M152" s="14"/>
      <c r="N152" s="14"/>
      <c r="O152" s="14"/>
      <c r="P152" s="14"/>
      <c r="Q152" s="14"/>
      <c r="R152" s="14"/>
      <c r="S152" s="14"/>
      <c r="T152" s="15"/>
      <c r="U152" s="43">
        <v>2</v>
      </c>
      <c r="V152" s="2" t="s">
        <v>219</v>
      </c>
      <c r="W152" s="2" t="s">
        <v>24</v>
      </c>
      <c r="X152" s="2" t="s">
        <v>373</v>
      </c>
      <c r="Y152" s="5" t="s">
        <v>763</v>
      </c>
      <c r="Z152" s="45" t="s">
        <v>764</v>
      </c>
      <c r="AA152" s="44" t="s">
        <v>765</v>
      </c>
      <c r="AB152" s="46">
        <v>3.9186370999999998E-2</v>
      </c>
      <c r="AC152" s="46">
        <v>0.43476611399999998</v>
      </c>
      <c r="AD152" s="48">
        <v>1.789428013</v>
      </c>
      <c r="AE152" s="49">
        <v>51.881845419999998</v>
      </c>
      <c r="AF152" s="46">
        <v>0.48420661999999998</v>
      </c>
      <c r="AG152" s="46">
        <v>9.5000000000000005E-5</v>
      </c>
    </row>
    <row r="153" spans="1:33" x14ac:dyDescent="0.2">
      <c r="A153" s="1" t="s">
        <v>220</v>
      </c>
      <c r="B153" s="2" t="s">
        <v>221</v>
      </c>
      <c r="C153" s="33">
        <v>495</v>
      </c>
      <c r="D153" s="2" t="s">
        <v>22</v>
      </c>
      <c r="E153" s="2" t="s">
        <v>23</v>
      </c>
      <c r="F153" s="2" t="s">
        <v>24</v>
      </c>
      <c r="G153" s="3" t="s">
        <v>25</v>
      </c>
      <c r="H153" s="2" t="s">
        <v>26</v>
      </c>
      <c r="I153" s="2">
        <v>10</v>
      </c>
      <c r="J153" s="2">
        <v>3</v>
      </c>
      <c r="K153" s="2" t="s">
        <v>62</v>
      </c>
      <c r="L153" s="2" t="s">
        <v>36</v>
      </c>
      <c r="M153" s="2" t="s">
        <v>70</v>
      </c>
      <c r="T153" s="2" t="s">
        <v>30</v>
      </c>
      <c r="U153" s="35">
        <v>1</v>
      </c>
      <c r="V153" s="36" t="s">
        <v>62</v>
      </c>
      <c r="W153" s="36" t="s">
        <v>24</v>
      </c>
      <c r="X153" s="36" t="s">
        <v>373</v>
      </c>
      <c r="Y153" s="65" t="s">
        <v>766</v>
      </c>
      <c r="Z153" s="38" t="s">
        <v>767</v>
      </c>
      <c r="AA153" s="37" t="s">
        <v>768</v>
      </c>
      <c r="AB153" s="39">
        <v>8.7739974999999998E-2</v>
      </c>
      <c r="AC153" s="39">
        <v>0.278640059</v>
      </c>
      <c r="AD153" s="41">
        <v>0.56555428299999999</v>
      </c>
      <c r="AE153" s="42">
        <v>19.851527860000001</v>
      </c>
      <c r="AF153" s="39">
        <v>0.274368742</v>
      </c>
      <c r="AG153" s="39">
        <v>5.94E-5</v>
      </c>
    </row>
    <row r="154" spans="1:33" x14ac:dyDescent="0.2">
      <c r="A154" s="1"/>
      <c r="C154" s="33"/>
      <c r="G154" s="3"/>
      <c r="U154" s="43">
        <v>2</v>
      </c>
      <c r="V154" s="2" t="s">
        <v>36</v>
      </c>
      <c r="W154" s="2" t="s">
        <v>24</v>
      </c>
      <c r="X154" s="2" t="s">
        <v>373</v>
      </c>
      <c r="Y154" s="5" t="s">
        <v>769</v>
      </c>
      <c r="Z154" s="45" t="s">
        <v>770</v>
      </c>
      <c r="AA154" s="44" t="s">
        <v>771</v>
      </c>
      <c r="AB154" s="46">
        <v>6.4451920999999995E-2</v>
      </c>
      <c r="AC154" s="46">
        <v>0.18932874399999999</v>
      </c>
      <c r="AD154" s="48">
        <v>0.36472651099999998</v>
      </c>
      <c r="AE154" s="49">
        <v>13.48813661</v>
      </c>
      <c r="AF154" s="46">
        <v>0.29503256500000002</v>
      </c>
      <c r="AG154" s="46">
        <v>6.8300000000000007E-5</v>
      </c>
    </row>
    <row r="155" spans="1:33" x14ac:dyDescent="0.2">
      <c r="A155" s="13"/>
      <c r="B155" s="14"/>
      <c r="C155" s="34"/>
      <c r="D155" s="14"/>
      <c r="E155" s="14"/>
      <c r="F155" s="14"/>
      <c r="G155" s="15"/>
      <c r="H155" s="14"/>
      <c r="I155" s="14"/>
      <c r="J155" s="14"/>
      <c r="K155" s="14"/>
      <c r="L155" s="14"/>
      <c r="M155" s="14"/>
      <c r="N155" s="14"/>
      <c r="O155" s="14"/>
      <c r="P155" s="14"/>
      <c r="Q155" s="14"/>
      <c r="R155" s="14"/>
      <c r="S155" s="14"/>
      <c r="T155" s="15"/>
      <c r="U155" s="50">
        <v>3</v>
      </c>
      <c r="V155" s="8" t="s">
        <v>70</v>
      </c>
      <c r="W155" s="8" t="s">
        <v>24</v>
      </c>
      <c r="X155" s="8" t="s">
        <v>373</v>
      </c>
      <c r="Y155" s="66" t="s">
        <v>772</v>
      </c>
      <c r="Z155" s="52" t="s">
        <v>773</v>
      </c>
      <c r="AA155" s="51" t="s">
        <v>774</v>
      </c>
      <c r="AB155" s="53">
        <v>7.4885840999999995E-2</v>
      </c>
      <c r="AC155" s="53">
        <v>0.22966909699999999</v>
      </c>
      <c r="AD155" s="55">
        <v>0.44014975200000001</v>
      </c>
      <c r="AE155" s="56">
        <v>15.76267226</v>
      </c>
      <c r="AF155" s="53">
        <v>0.291639178</v>
      </c>
      <c r="AG155" s="53">
        <v>6.5199999999999999E-5</v>
      </c>
    </row>
    <row r="156" spans="1:33" x14ac:dyDescent="0.2">
      <c r="A156" s="1" t="s">
        <v>222</v>
      </c>
      <c r="B156" s="2" t="s">
        <v>223</v>
      </c>
      <c r="C156" s="33">
        <v>450</v>
      </c>
      <c r="D156" s="2" t="s">
        <v>22</v>
      </c>
      <c r="E156" s="2" t="s">
        <v>23</v>
      </c>
      <c r="F156" s="2" t="s">
        <v>24</v>
      </c>
      <c r="G156" s="3" t="s">
        <v>25</v>
      </c>
      <c r="H156" s="2" t="s">
        <v>26</v>
      </c>
      <c r="I156" s="4" t="s">
        <v>61</v>
      </c>
      <c r="J156" s="2">
        <v>3</v>
      </c>
      <c r="K156" s="2" t="s">
        <v>148</v>
      </c>
      <c r="L156" s="2" t="s">
        <v>62</v>
      </c>
      <c r="M156" s="2" t="s">
        <v>92</v>
      </c>
      <c r="T156" s="2" t="s">
        <v>30</v>
      </c>
      <c r="U156" s="43">
        <v>1</v>
      </c>
      <c r="V156" s="2" t="s">
        <v>62</v>
      </c>
      <c r="W156" s="2" t="s">
        <v>24</v>
      </c>
      <c r="X156" s="2" t="s">
        <v>373</v>
      </c>
      <c r="Y156" s="5" t="s">
        <v>775</v>
      </c>
      <c r="Z156" s="45" t="s">
        <v>776</v>
      </c>
      <c r="AA156" s="44" t="s">
        <v>777</v>
      </c>
      <c r="AB156" s="46">
        <v>3.2012504999999997E-2</v>
      </c>
      <c r="AC156" s="46">
        <v>0.30229629600000002</v>
      </c>
      <c r="AD156" s="48">
        <v>1.0117473829999999</v>
      </c>
      <c r="AE156" s="49">
        <v>33.15542241</v>
      </c>
      <c r="AF156" s="46">
        <v>0.66783771999999997</v>
      </c>
      <c r="AG156" s="46">
        <v>1.43645E-4</v>
      </c>
    </row>
    <row r="157" spans="1:33" x14ac:dyDescent="0.2">
      <c r="A157" s="1"/>
      <c r="C157" s="33"/>
      <c r="G157" s="3"/>
      <c r="I157" s="4"/>
      <c r="U157" s="43">
        <v>2</v>
      </c>
      <c r="V157" s="2" t="s">
        <v>92</v>
      </c>
      <c r="W157" s="2" t="s">
        <v>24</v>
      </c>
      <c r="X157" s="2" t="s">
        <v>373</v>
      </c>
      <c r="Y157" s="5" t="s">
        <v>778</v>
      </c>
      <c r="Z157" s="45" t="s">
        <v>779</v>
      </c>
      <c r="AA157" s="44" t="s">
        <v>780</v>
      </c>
      <c r="AB157" s="46">
        <v>3.5471906999999997E-2</v>
      </c>
      <c r="AC157" s="46">
        <v>0.33635179599999998</v>
      </c>
      <c r="AD157" s="48">
        <v>1.173386193</v>
      </c>
      <c r="AE157" s="49">
        <v>37.760814860000004</v>
      </c>
      <c r="AF157" s="46">
        <v>0.675648849</v>
      </c>
      <c r="AG157" s="46">
        <v>1.4160999999999999E-4</v>
      </c>
    </row>
    <row r="158" spans="1:33" x14ac:dyDescent="0.2">
      <c r="A158" s="13"/>
      <c r="B158" s="14"/>
      <c r="C158" s="34"/>
      <c r="D158" s="14"/>
      <c r="E158" s="14"/>
      <c r="F158" s="14"/>
      <c r="G158" s="15"/>
      <c r="H158" s="14"/>
      <c r="I158" s="169"/>
      <c r="J158" s="14"/>
      <c r="K158" s="14"/>
      <c r="L158" s="14"/>
      <c r="M158" s="14"/>
      <c r="N158" s="14"/>
      <c r="O158" s="14"/>
      <c r="P158" s="14"/>
      <c r="Q158" s="14"/>
      <c r="R158" s="14"/>
      <c r="S158" s="14"/>
      <c r="T158" s="15"/>
      <c r="U158" s="43">
        <v>3</v>
      </c>
      <c r="V158" s="2" t="s">
        <v>148</v>
      </c>
      <c r="W158" s="2" t="s">
        <v>24</v>
      </c>
      <c r="X158" s="2" t="s">
        <v>373</v>
      </c>
      <c r="Y158" s="5" t="s">
        <v>781</v>
      </c>
      <c r="Z158" s="45" t="s">
        <v>782</v>
      </c>
      <c r="AA158" s="44" t="s">
        <v>783</v>
      </c>
      <c r="AB158" s="46">
        <v>3.6818154999999998E-2</v>
      </c>
      <c r="AC158" s="46">
        <v>0.28789740400000002</v>
      </c>
      <c r="AD158" s="48">
        <v>0.94613953299999998</v>
      </c>
      <c r="AE158" s="49">
        <v>32.578310369999997</v>
      </c>
      <c r="AF158" s="46">
        <v>0.67306865400000004</v>
      </c>
      <c r="AG158" s="46">
        <v>1.5143200000000001E-4</v>
      </c>
    </row>
    <row r="159" spans="1:33" x14ac:dyDescent="0.2">
      <c r="A159" s="1" t="s">
        <v>224</v>
      </c>
      <c r="B159" s="2" t="s">
        <v>225</v>
      </c>
      <c r="C159" s="33">
        <v>370</v>
      </c>
      <c r="D159" s="2" t="s">
        <v>22</v>
      </c>
      <c r="E159" s="2" t="s">
        <v>23</v>
      </c>
      <c r="F159" s="2" t="s">
        <v>24</v>
      </c>
      <c r="G159" s="3" t="s">
        <v>25</v>
      </c>
      <c r="H159" s="2" t="s">
        <v>26</v>
      </c>
      <c r="I159" s="4" t="s">
        <v>95</v>
      </c>
      <c r="J159" s="2">
        <v>3</v>
      </c>
      <c r="K159" s="2" t="s">
        <v>226</v>
      </c>
      <c r="L159" s="2" t="s">
        <v>101</v>
      </c>
      <c r="M159" s="2" t="s">
        <v>102</v>
      </c>
      <c r="T159" s="2" t="s">
        <v>30</v>
      </c>
      <c r="U159" s="35">
        <v>1</v>
      </c>
      <c r="V159" s="36" t="s">
        <v>101</v>
      </c>
      <c r="W159" s="36" t="s">
        <v>24</v>
      </c>
      <c r="X159" s="36" t="s">
        <v>373</v>
      </c>
      <c r="Y159" s="65" t="s">
        <v>784</v>
      </c>
      <c r="Z159" s="38" t="s">
        <v>785</v>
      </c>
      <c r="AA159" s="37" t="s">
        <v>786</v>
      </c>
      <c r="AB159" s="39">
        <v>0.90299420200000002</v>
      </c>
      <c r="AC159" s="39">
        <v>0.93526810900000001</v>
      </c>
      <c r="AD159" s="41">
        <v>0.26118807500000002</v>
      </c>
      <c r="AE159" s="42">
        <v>41.806111440000002</v>
      </c>
      <c r="AF159" s="39">
        <v>4.8847547999999998E-2</v>
      </c>
      <c r="AG159" s="39">
        <v>5.0399999999999999E-5</v>
      </c>
    </row>
    <row r="160" spans="1:33" x14ac:dyDescent="0.2">
      <c r="A160" s="1"/>
      <c r="C160" s="33"/>
      <c r="G160" s="3"/>
      <c r="I160" s="4"/>
      <c r="U160" s="45">
        <v>2</v>
      </c>
      <c r="V160" s="2" t="s">
        <v>226</v>
      </c>
      <c r="W160" s="2" t="s">
        <v>24</v>
      </c>
      <c r="X160" s="2" t="s">
        <v>373</v>
      </c>
      <c r="Y160" s="5" t="s">
        <v>787</v>
      </c>
      <c r="Z160" s="45" t="s">
        <v>788</v>
      </c>
      <c r="AA160" s="44" t="s">
        <v>789</v>
      </c>
      <c r="AB160" s="46">
        <v>0.105856362</v>
      </c>
      <c r="AC160" s="46">
        <v>0.58599688999999999</v>
      </c>
      <c r="AD160" s="48">
        <v>0.59752311000000002</v>
      </c>
      <c r="AE160" s="49">
        <v>73.022768119999995</v>
      </c>
      <c r="AF160" s="46">
        <v>0.46528934399999999</v>
      </c>
      <c r="AG160" s="46">
        <v>3.4644800000000001E-4</v>
      </c>
    </row>
    <row r="161" spans="1:33" x14ac:dyDescent="0.2">
      <c r="A161" s="13"/>
      <c r="B161" s="14"/>
      <c r="C161" s="34"/>
      <c r="D161" s="14"/>
      <c r="E161" s="14"/>
      <c r="F161" s="14"/>
      <c r="G161" s="15"/>
      <c r="H161" s="14"/>
      <c r="I161" s="169"/>
      <c r="J161" s="14"/>
      <c r="K161" s="14"/>
      <c r="L161" s="14"/>
      <c r="M161" s="14"/>
      <c r="N161" s="14"/>
      <c r="O161" s="14"/>
      <c r="P161" s="14"/>
      <c r="Q161" s="14"/>
      <c r="R161" s="14"/>
      <c r="S161" s="14"/>
      <c r="T161" s="15"/>
      <c r="U161" s="52">
        <v>3</v>
      </c>
      <c r="V161" s="8" t="s">
        <v>102</v>
      </c>
      <c r="W161" s="8" t="s">
        <v>24</v>
      </c>
      <c r="X161" s="8" t="s">
        <v>373</v>
      </c>
      <c r="Y161" s="66" t="s">
        <v>790</v>
      </c>
      <c r="Z161" s="52" t="s">
        <v>791</v>
      </c>
      <c r="AA161" s="51" t="s">
        <v>792</v>
      </c>
      <c r="AB161" s="53">
        <v>0.84193075500000003</v>
      </c>
      <c r="AC161" s="53">
        <v>0.89040604800000001</v>
      </c>
      <c r="AD161" s="55">
        <v>0.23501382900000001</v>
      </c>
      <c r="AE161" s="56">
        <v>38.866387060000001</v>
      </c>
      <c r="AF161" s="53">
        <v>8.1534733999999998E-2</v>
      </c>
      <c r="AG161" s="53">
        <v>8.7000000000000001E-5</v>
      </c>
    </row>
    <row r="162" spans="1:33" x14ac:dyDescent="0.2">
      <c r="A162" s="1" t="s">
        <v>227</v>
      </c>
      <c r="B162" s="2" t="s">
        <v>228</v>
      </c>
      <c r="C162" s="33">
        <v>390</v>
      </c>
      <c r="D162" s="2" t="s">
        <v>22</v>
      </c>
      <c r="E162" s="2" t="s">
        <v>23</v>
      </c>
      <c r="F162" s="2" t="s">
        <v>24</v>
      </c>
      <c r="G162" s="3" t="s">
        <v>25</v>
      </c>
      <c r="H162" s="2" t="s">
        <v>26</v>
      </c>
      <c r="I162" s="4" t="s">
        <v>229</v>
      </c>
      <c r="J162" s="2">
        <v>4</v>
      </c>
      <c r="K162" s="2" t="s">
        <v>62</v>
      </c>
      <c r="L162" s="2" t="s">
        <v>127</v>
      </c>
      <c r="M162" s="2" t="s">
        <v>230</v>
      </c>
      <c r="N162" s="2" t="s">
        <v>58</v>
      </c>
      <c r="T162" s="2" t="s">
        <v>30</v>
      </c>
      <c r="U162" s="43">
        <v>1</v>
      </c>
      <c r="V162" s="2" t="s">
        <v>62</v>
      </c>
      <c r="W162" s="2" t="s">
        <v>24</v>
      </c>
      <c r="X162" s="2" t="s">
        <v>373</v>
      </c>
      <c r="Y162" s="5" t="s">
        <v>793</v>
      </c>
      <c r="Z162" s="45" t="s">
        <v>794</v>
      </c>
      <c r="AA162" s="44" t="s">
        <v>795</v>
      </c>
      <c r="AB162" s="46">
        <v>0.18472640400000001</v>
      </c>
      <c r="AC162" s="46">
        <v>0.24738292000000001</v>
      </c>
      <c r="AD162" s="48">
        <v>0.140860282</v>
      </c>
      <c r="AE162" s="49">
        <v>8.1882564410000001</v>
      </c>
      <c r="AF162" s="46">
        <v>0.58068763099999998</v>
      </c>
      <c r="AG162" s="46">
        <v>2.2922799999999999E-4</v>
      </c>
    </row>
    <row r="163" spans="1:33" x14ac:dyDescent="0.2">
      <c r="A163" s="1"/>
      <c r="C163" s="33"/>
      <c r="G163" s="3"/>
      <c r="I163" s="4"/>
      <c r="U163" s="43">
        <v>2</v>
      </c>
      <c r="V163" s="2" t="s">
        <v>58</v>
      </c>
      <c r="W163" s="2" t="s">
        <v>24</v>
      </c>
      <c r="X163" s="2" t="s">
        <v>373</v>
      </c>
      <c r="Y163" s="5" t="s">
        <v>796</v>
      </c>
      <c r="Z163" s="45" t="s">
        <v>797</v>
      </c>
      <c r="AA163" s="44" t="s">
        <v>798</v>
      </c>
      <c r="AB163" s="46">
        <v>5.272723E-2</v>
      </c>
      <c r="AC163" s="46">
        <v>0.54656830700000003</v>
      </c>
      <c r="AD163" s="48">
        <v>2.1182705629999998</v>
      </c>
      <c r="AE163" s="49">
        <v>68.75182744</v>
      </c>
      <c r="AF163" s="46">
        <v>0.59852501499999999</v>
      </c>
      <c r="AG163" s="46">
        <v>1.18023E-4</v>
      </c>
    </row>
    <row r="164" spans="1:33" x14ac:dyDescent="0.2">
      <c r="A164" s="1"/>
      <c r="C164" s="33"/>
      <c r="G164" s="3"/>
      <c r="I164" s="4"/>
      <c r="U164" s="43">
        <v>3</v>
      </c>
      <c r="V164" s="2" t="s">
        <v>127</v>
      </c>
      <c r="W164" s="2" t="s">
        <v>24</v>
      </c>
      <c r="X164" s="2" t="s">
        <v>373</v>
      </c>
      <c r="Y164" s="5" t="s">
        <v>799</v>
      </c>
      <c r="Z164" s="45" t="s">
        <v>800</v>
      </c>
      <c r="AA164" s="44" t="s">
        <v>801</v>
      </c>
      <c r="AB164" s="46">
        <v>8.0875699999999995E-2</v>
      </c>
      <c r="AC164" s="46">
        <v>0.68528515300000004</v>
      </c>
      <c r="AD164" s="48">
        <v>3.7710325980000001</v>
      </c>
      <c r="AE164" s="49">
        <v>90.922109050000003</v>
      </c>
      <c r="AF164" s="46">
        <v>0.63819465900000005</v>
      </c>
      <c r="AG164" s="46">
        <v>8.7899999999999995E-5</v>
      </c>
    </row>
    <row r="165" spans="1:33" x14ac:dyDescent="0.2">
      <c r="A165" s="13"/>
      <c r="B165" s="14"/>
      <c r="C165" s="34"/>
      <c r="D165" s="14"/>
      <c r="E165" s="14"/>
      <c r="F165" s="14"/>
      <c r="G165" s="15"/>
      <c r="H165" s="14"/>
      <c r="I165" s="169"/>
      <c r="J165" s="14"/>
      <c r="K165" s="14"/>
      <c r="L165" s="14"/>
      <c r="M165" s="14"/>
      <c r="N165" s="14"/>
      <c r="O165" s="14"/>
      <c r="P165" s="14"/>
      <c r="Q165" s="14"/>
      <c r="R165" s="14"/>
      <c r="S165" s="14"/>
      <c r="T165" s="15"/>
      <c r="U165" s="43">
        <v>4</v>
      </c>
      <c r="V165" s="2" t="s">
        <v>230</v>
      </c>
      <c r="W165" s="2" t="s">
        <v>24</v>
      </c>
      <c r="X165" s="2" t="s">
        <v>373</v>
      </c>
      <c r="Y165" s="5" t="s">
        <v>802</v>
      </c>
      <c r="Z165" s="45" t="s">
        <v>803</v>
      </c>
      <c r="AA165" s="44" t="s">
        <v>804</v>
      </c>
      <c r="AB165" s="46">
        <v>0.144390451</v>
      </c>
      <c r="AC165" s="46">
        <v>0.41442020699999998</v>
      </c>
      <c r="AD165" s="48">
        <v>0.91462338300000001</v>
      </c>
      <c r="AE165" s="49">
        <v>39.505572200000003</v>
      </c>
      <c r="AF165" s="46">
        <v>0.592785161</v>
      </c>
      <c r="AG165" s="46">
        <v>1.6517100000000001E-4</v>
      </c>
    </row>
    <row r="166" spans="1:33" x14ac:dyDescent="0.2">
      <c r="A166" s="1" t="s">
        <v>231</v>
      </c>
      <c r="B166" s="2" t="s">
        <v>232</v>
      </c>
      <c r="C166" s="33">
        <v>414</v>
      </c>
      <c r="D166" s="2" t="s">
        <v>22</v>
      </c>
      <c r="E166" s="2" t="s">
        <v>23</v>
      </c>
      <c r="F166" s="2" t="s">
        <v>24</v>
      </c>
      <c r="G166" s="3" t="s">
        <v>25</v>
      </c>
      <c r="H166" s="2" t="s">
        <v>26</v>
      </c>
      <c r="I166" s="4" t="s">
        <v>55</v>
      </c>
      <c r="J166" s="2">
        <v>5</v>
      </c>
      <c r="K166" s="2" t="s">
        <v>58</v>
      </c>
      <c r="L166" s="2" t="s">
        <v>42</v>
      </c>
      <c r="M166" s="2" t="s">
        <v>41</v>
      </c>
      <c r="N166" s="2" t="s">
        <v>62</v>
      </c>
      <c r="O166" s="2" t="s">
        <v>92</v>
      </c>
      <c r="T166" s="2" t="s">
        <v>30</v>
      </c>
      <c r="U166" s="21">
        <v>1</v>
      </c>
      <c r="V166" s="20" t="s">
        <v>42</v>
      </c>
      <c r="W166" s="20" t="s">
        <v>24</v>
      </c>
      <c r="X166" s="20" t="s">
        <v>373</v>
      </c>
      <c r="Y166" s="22" t="s">
        <v>805</v>
      </c>
      <c r="Z166" s="78" t="s">
        <v>806</v>
      </c>
      <c r="AA166" s="79" t="s">
        <v>807</v>
      </c>
      <c r="AB166" s="80">
        <v>0.22940908700000001</v>
      </c>
      <c r="AC166" s="80">
        <v>0.55859375</v>
      </c>
      <c r="AD166" s="81">
        <v>1.0325008179999999</v>
      </c>
      <c r="AE166" s="82">
        <v>79.283043739999997</v>
      </c>
      <c r="AF166" s="80">
        <v>0.48859933999999999</v>
      </c>
      <c r="AG166" s="80">
        <v>2.5320699999999998E-4</v>
      </c>
    </row>
    <row r="167" spans="1:33" x14ac:dyDescent="0.2">
      <c r="A167" s="1"/>
      <c r="C167" s="33"/>
      <c r="G167" s="3"/>
      <c r="I167" s="4"/>
      <c r="U167" s="43">
        <v>2</v>
      </c>
      <c r="V167" s="2" t="s">
        <v>41</v>
      </c>
      <c r="W167" s="2" t="s">
        <v>24</v>
      </c>
      <c r="X167" s="2" t="s">
        <v>373</v>
      </c>
      <c r="Y167" s="5" t="s">
        <v>808</v>
      </c>
      <c r="Z167" s="45" t="s">
        <v>809</v>
      </c>
      <c r="AA167" s="44" t="s">
        <v>810</v>
      </c>
      <c r="AB167" s="46">
        <v>0.29754193200000001</v>
      </c>
      <c r="AC167" s="46">
        <v>0.64230233000000003</v>
      </c>
      <c r="AD167" s="48">
        <v>1.319298858</v>
      </c>
      <c r="AE167" s="49">
        <v>91.396824449999997</v>
      </c>
      <c r="AF167" s="46">
        <v>0.44411059800000002</v>
      </c>
      <c r="AG167" s="46">
        <v>2.04475E-4</v>
      </c>
    </row>
    <row r="168" spans="1:33" x14ac:dyDescent="0.2">
      <c r="A168" s="1"/>
      <c r="C168" s="33"/>
      <c r="G168" s="3"/>
      <c r="I168" s="4"/>
      <c r="U168" s="43">
        <v>3</v>
      </c>
      <c r="V168" s="2" t="s">
        <v>62</v>
      </c>
      <c r="W168" s="2" t="s">
        <v>24</v>
      </c>
      <c r="X168" s="2" t="s">
        <v>373</v>
      </c>
      <c r="Y168" s="5" t="s">
        <v>811</v>
      </c>
      <c r="Z168" s="45" t="s">
        <v>812</v>
      </c>
      <c r="AA168" s="44" t="s">
        <v>813</v>
      </c>
      <c r="AB168" s="46">
        <v>0.22076094099999999</v>
      </c>
      <c r="AC168" s="46">
        <v>0.56915976899999998</v>
      </c>
      <c r="AD168" s="48">
        <v>1.123238637</v>
      </c>
      <c r="AE168" s="49">
        <v>83.724026359999996</v>
      </c>
      <c r="AF168" s="46">
        <v>0.49817569499999997</v>
      </c>
      <c r="AG168" s="46">
        <v>2.4861399999999997E-4</v>
      </c>
    </row>
    <row r="169" spans="1:33" x14ac:dyDescent="0.2">
      <c r="A169" s="1"/>
      <c r="C169" s="33"/>
      <c r="G169" s="3"/>
      <c r="I169" s="4"/>
      <c r="U169" s="43">
        <v>4</v>
      </c>
      <c r="V169" s="2" t="s">
        <v>92</v>
      </c>
      <c r="W169" s="2" t="s">
        <v>24</v>
      </c>
      <c r="X169" s="2" t="s">
        <v>373</v>
      </c>
      <c r="Y169" s="5" t="s">
        <v>814</v>
      </c>
      <c r="Z169" s="45" t="s">
        <v>815</v>
      </c>
      <c r="AA169" s="44" t="s">
        <v>816</v>
      </c>
      <c r="AB169" s="46">
        <v>0.26333304299999999</v>
      </c>
      <c r="AC169" s="46">
        <v>0.61145528299999996</v>
      </c>
      <c r="AD169" s="48">
        <v>1.1942737320000001</v>
      </c>
      <c r="AE169" s="49">
        <v>87.162372680000004</v>
      </c>
      <c r="AF169" s="46">
        <v>0.47116477899999998</v>
      </c>
      <c r="AG169" s="46">
        <v>2.2938099999999999E-4</v>
      </c>
    </row>
    <row r="170" spans="1:33" x14ac:dyDescent="0.2">
      <c r="A170" s="13"/>
      <c r="B170" s="14"/>
      <c r="C170" s="34"/>
      <c r="D170" s="14"/>
      <c r="E170" s="14"/>
      <c r="F170" s="14"/>
      <c r="G170" s="15"/>
      <c r="H170" s="14"/>
      <c r="I170" s="169"/>
      <c r="J170" s="14"/>
      <c r="K170" s="14"/>
      <c r="L170" s="14"/>
      <c r="M170" s="14"/>
      <c r="N170" s="14"/>
      <c r="O170" s="14"/>
      <c r="P170" s="14"/>
      <c r="Q170" s="14"/>
      <c r="R170" s="14"/>
      <c r="S170" s="14"/>
      <c r="T170" s="15"/>
      <c r="U170" s="43">
        <v>5</v>
      </c>
      <c r="V170" s="2" t="s">
        <v>58</v>
      </c>
      <c r="W170" s="2" t="s">
        <v>24</v>
      </c>
      <c r="X170" s="2" t="s">
        <v>373</v>
      </c>
      <c r="Y170" s="5" t="s">
        <v>817</v>
      </c>
      <c r="Z170" s="45" t="s">
        <v>818</v>
      </c>
      <c r="AA170" s="44" t="s">
        <v>819</v>
      </c>
      <c r="AB170" s="46">
        <v>0.22721664599999999</v>
      </c>
      <c r="AC170" s="46">
        <v>0.69061059999999996</v>
      </c>
      <c r="AD170" s="48">
        <v>2.3895496129999998</v>
      </c>
      <c r="AE170" s="49">
        <v>136.79065309999999</v>
      </c>
      <c r="AF170" s="46">
        <v>0.487725085</v>
      </c>
      <c r="AG170" s="46">
        <v>1.8084899999999999E-4</v>
      </c>
    </row>
    <row r="171" spans="1:33" x14ac:dyDescent="0.2">
      <c r="A171" s="106" t="s">
        <v>233</v>
      </c>
      <c r="B171" s="107" t="s">
        <v>232</v>
      </c>
      <c r="C171" s="175">
        <v>414</v>
      </c>
      <c r="D171" s="107" t="s">
        <v>22</v>
      </c>
      <c r="E171" s="107" t="s">
        <v>234</v>
      </c>
      <c r="F171" s="107" t="s">
        <v>24</v>
      </c>
      <c r="G171" s="176" t="s">
        <v>25</v>
      </c>
      <c r="H171" s="107" t="s">
        <v>26</v>
      </c>
      <c r="I171" s="177" t="s">
        <v>67</v>
      </c>
      <c r="J171" s="107">
        <v>1</v>
      </c>
      <c r="K171" s="107" t="s">
        <v>71</v>
      </c>
      <c r="L171" s="107"/>
      <c r="M171" s="107"/>
      <c r="N171" s="107"/>
      <c r="O171" s="107"/>
      <c r="P171" s="107"/>
      <c r="Q171" s="107"/>
      <c r="R171" s="107"/>
      <c r="S171" s="107"/>
      <c r="T171" s="176" t="s">
        <v>30</v>
      </c>
      <c r="U171" s="67">
        <v>1</v>
      </c>
      <c r="V171" s="68" t="s">
        <v>71</v>
      </c>
      <c r="W171" s="68" t="s">
        <v>24</v>
      </c>
      <c r="X171" s="68" t="s">
        <v>373</v>
      </c>
      <c r="Y171" s="69" t="s">
        <v>820</v>
      </c>
      <c r="Z171" s="70" t="s">
        <v>821</v>
      </c>
      <c r="AA171" s="71" t="s">
        <v>822</v>
      </c>
      <c r="AB171" s="72">
        <v>0.12096376</v>
      </c>
      <c r="AC171" s="72">
        <v>0.295328645</v>
      </c>
      <c r="AD171" s="73">
        <v>0.44145408899999999</v>
      </c>
      <c r="AE171" s="74">
        <v>77.454883159999994</v>
      </c>
      <c r="AF171" s="72">
        <v>0.26775930999999997</v>
      </c>
      <c r="AG171" s="72">
        <v>3.1943999999999999E-4</v>
      </c>
    </row>
    <row r="172" spans="1:33" x14ac:dyDescent="0.2">
      <c r="A172" s="1" t="s">
        <v>235</v>
      </c>
      <c r="B172" s="2" t="s">
        <v>236</v>
      </c>
      <c r="C172" s="33">
        <v>480</v>
      </c>
      <c r="D172" s="2" t="s">
        <v>22</v>
      </c>
      <c r="E172" s="2" t="s">
        <v>23</v>
      </c>
      <c r="F172" s="2" t="s">
        <v>24</v>
      </c>
      <c r="G172" s="3" t="s">
        <v>25</v>
      </c>
      <c r="H172" s="2" t="s">
        <v>26</v>
      </c>
      <c r="I172" s="4" t="s">
        <v>39</v>
      </c>
      <c r="J172" s="2">
        <v>5</v>
      </c>
      <c r="K172" s="2" t="s">
        <v>72</v>
      </c>
      <c r="L172" s="2" t="s">
        <v>101</v>
      </c>
      <c r="M172" s="2" t="s">
        <v>102</v>
      </c>
      <c r="N172" s="2" t="s">
        <v>51</v>
      </c>
      <c r="O172" s="2" t="s">
        <v>52</v>
      </c>
      <c r="T172" s="2" t="s">
        <v>30</v>
      </c>
      <c r="U172" s="43">
        <v>1</v>
      </c>
      <c r="V172" s="2" t="s">
        <v>101</v>
      </c>
      <c r="W172" s="2" t="s">
        <v>24</v>
      </c>
      <c r="X172" s="2" t="s">
        <v>373</v>
      </c>
      <c r="Y172" s="5" t="s">
        <v>823</v>
      </c>
      <c r="Z172" s="45" t="s">
        <v>824</v>
      </c>
      <c r="AA172" s="44" t="s">
        <v>825</v>
      </c>
      <c r="AB172" s="46">
        <v>9.4116143999999999E-2</v>
      </c>
      <c r="AC172" s="46">
        <v>0.50192312500000003</v>
      </c>
      <c r="AD172" s="48">
        <v>0.89376054900000002</v>
      </c>
      <c r="AE172" s="49">
        <v>84.010245659999995</v>
      </c>
      <c r="AF172" s="46">
        <v>0.38202325799999998</v>
      </c>
      <c r="AG172" s="46">
        <v>2.33995E-4</v>
      </c>
    </row>
    <row r="173" spans="1:33" x14ac:dyDescent="0.2">
      <c r="A173" s="1"/>
      <c r="C173" s="33"/>
      <c r="G173" s="3"/>
      <c r="I173" s="4"/>
      <c r="U173" s="43">
        <v>2</v>
      </c>
      <c r="V173" s="2" t="s">
        <v>102</v>
      </c>
      <c r="W173" s="2" t="s">
        <v>24</v>
      </c>
      <c r="X173" s="2" t="s">
        <v>373</v>
      </c>
      <c r="Y173" s="5" t="s">
        <v>826</v>
      </c>
      <c r="Z173" s="45" t="s">
        <v>827</v>
      </c>
      <c r="AA173" s="44" t="s">
        <v>828</v>
      </c>
      <c r="AB173" s="46">
        <v>0.14161246699999999</v>
      </c>
      <c r="AC173" s="46">
        <v>0.60903928500000004</v>
      </c>
      <c r="AD173" s="48">
        <v>1.269635029</v>
      </c>
      <c r="AE173" s="49">
        <v>100.84014380000001</v>
      </c>
      <c r="AF173" s="46">
        <v>0.35986059500000001</v>
      </c>
      <c r="AG173" s="46">
        <v>1.8206299999999999E-4</v>
      </c>
    </row>
    <row r="174" spans="1:33" x14ac:dyDescent="0.2">
      <c r="A174" s="1"/>
      <c r="C174" s="33"/>
      <c r="G174" s="3"/>
      <c r="I174" s="4"/>
      <c r="U174" s="43">
        <v>3</v>
      </c>
      <c r="V174" s="2" t="s">
        <v>51</v>
      </c>
      <c r="W174" s="2" t="s">
        <v>24</v>
      </c>
      <c r="X174" s="2" t="s">
        <v>373</v>
      </c>
      <c r="Y174" s="5" t="s">
        <v>829</v>
      </c>
      <c r="Z174" s="45" t="s">
        <v>830</v>
      </c>
      <c r="AA174" s="44" t="s">
        <v>831</v>
      </c>
      <c r="AB174" s="46">
        <v>0.10989478</v>
      </c>
      <c r="AC174" s="46">
        <v>0.52623671100000002</v>
      </c>
      <c r="AD174" s="48">
        <v>0.95527941400000005</v>
      </c>
      <c r="AE174" s="49">
        <v>87.308448170000005</v>
      </c>
      <c r="AF174" s="46">
        <v>0.377991788</v>
      </c>
      <c r="AG174" s="46">
        <v>2.2424000000000001E-4</v>
      </c>
    </row>
    <row r="175" spans="1:33" x14ac:dyDescent="0.2">
      <c r="A175" s="1"/>
      <c r="C175" s="33"/>
      <c r="G175" s="3"/>
      <c r="I175" s="4"/>
      <c r="U175" s="43">
        <v>4</v>
      </c>
      <c r="V175" s="2" t="s">
        <v>52</v>
      </c>
      <c r="W175" s="2" t="s">
        <v>24</v>
      </c>
      <c r="X175" s="2" t="s">
        <v>373</v>
      </c>
      <c r="Y175" s="5" t="s">
        <v>832</v>
      </c>
      <c r="Z175" s="45" t="s">
        <v>833</v>
      </c>
      <c r="AA175" s="44" t="s">
        <v>834</v>
      </c>
      <c r="AB175" s="46">
        <v>0.123427809</v>
      </c>
      <c r="AC175" s="46">
        <v>0.54286899200000005</v>
      </c>
      <c r="AD175" s="48">
        <v>0.98112795699999999</v>
      </c>
      <c r="AE175" s="49">
        <v>87.90581186</v>
      </c>
      <c r="AF175" s="46">
        <v>0.37030501500000002</v>
      </c>
      <c r="AG175" s="46">
        <v>2.15157E-4</v>
      </c>
    </row>
    <row r="176" spans="1:33" x14ac:dyDescent="0.2">
      <c r="A176" s="13"/>
      <c r="B176" s="14"/>
      <c r="C176" s="34"/>
      <c r="D176" s="14"/>
      <c r="E176" s="14"/>
      <c r="F176" s="14"/>
      <c r="G176" s="15"/>
      <c r="H176" s="14"/>
      <c r="I176" s="169"/>
      <c r="J176" s="14"/>
      <c r="K176" s="14"/>
      <c r="L176" s="14"/>
      <c r="M176" s="14"/>
      <c r="N176" s="14"/>
      <c r="O176" s="14"/>
      <c r="P176" s="14"/>
      <c r="Q176" s="14"/>
      <c r="R176" s="14"/>
      <c r="S176" s="14"/>
      <c r="T176" s="15"/>
      <c r="U176" s="43">
        <v>5</v>
      </c>
      <c r="V176" s="2" t="s">
        <v>72</v>
      </c>
      <c r="W176" s="2" t="s">
        <v>24</v>
      </c>
      <c r="X176" s="2" t="s">
        <v>373</v>
      </c>
      <c r="Y176" s="5" t="s">
        <v>835</v>
      </c>
      <c r="Z176" s="45" t="s">
        <v>836</v>
      </c>
      <c r="AA176" s="44" t="s">
        <v>837</v>
      </c>
      <c r="AB176" s="46">
        <v>3.6556316999999998E-2</v>
      </c>
      <c r="AC176" s="46">
        <v>0.291736728</v>
      </c>
      <c r="AD176" s="48">
        <v>0.83656172100000004</v>
      </c>
      <c r="AE176" s="49">
        <v>101.7493709</v>
      </c>
      <c r="AF176" s="46">
        <v>0.40294522100000002</v>
      </c>
      <c r="AG176" s="46">
        <v>3.3346899999999997E-4</v>
      </c>
    </row>
    <row r="177" spans="1:33" x14ac:dyDescent="0.2">
      <c r="A177" s="1" t="s">
        <v>237</v>
      </c>
      <c r="B177" s="2" t="s">
        <v>238</v>
      </c>
      <c r="C177" s="33">
        <v>500</v>
      </c>
      <c r="D177" s="2" t="s">
        <v>22</v>
      </c>
      <c r="E177" s="2" t="s">
        <v>23</v>
      </c>
      <c r="F177" s="2" t="s">
        <v>24</v>
      </c>
      <c r="G177" s="3" t="s">
        <v>25</v>
      </c>
      <c r="H177" s="2" t="s">
        <v>26</v>
      </c>
      <c r="I177" s="4" t="s">
        <v>39</v>
      </c>
      <c r="J177" s="2">
        <v>4</v>
      </c>
      <c r="K177" s="2" t="s">
        <v>102</v>
      </c>
      <c r="L177" s="2" t="s">
        <v>87</v>
      </c>
      <c r="M177" s="2" t="s">
        <v>69</v>
      </c>
      <c r="N177" s="2" t="s">
        <v>35</v>
      </c>
      <c r="T177" s="2" t="s">
        <v>30</v>
      </c>
      <c r="U177" s="35">
        <v>1</v>
      </c>
      <c r="V177" s="36" t="s">
        <v>87</v>
      </c>
      <c r="W177" s="36" t="s">
        <v>24</v>
      </c>
      <c r="X177" s="36" t="s">
        <v>373</v>
      </c>
      <c r="Y177" s="65" t="s">
        <v>838</v>
      </c>
      <c r="Z177" s="38" t="s">
        <v>839</v>
      </c>
      <c r="AA177" s="37" t="s">
        <v>840</v>
      </c>
      <c r="AB177" s="39">
        <v>3.2278685000000001E-2</v>
      </c>
      <c r="AC177" s="39">
        <v>0.33219114100000002</v>
      </c>
      <c r="AD177" s="41">
        <v>1.1537814179999999</v>
      </c>
      <c r="AE177" s="42">
        <v>41.189694430000003</v>
      </c>
      <c r="AF177" s="39">
        <v>0.74416141300000005</v>
      </c>
      <c r="AG177" s="39">
        <v>1.76928E-4</v>
      </c>
    </row>
    <row r="178" spans="1:33" x14ac:dyDescent="0.2">
      <c r="A178" s="1"/>
      <c r="C178" s="33"/>
      <c r="G178" s="3"/>
      <c r="I178" s="4"/>
      <c r="U178" s="43">
        <v>2</v>
      </c>
      <c r="V178" s="2" t="s">
        <v>69</v>
      </c>
      <c r="W178" s="2" t="s">
        <v>24</v>
      </c>
      <c r="X178" s="2" t="s">
        <v>373</v>
      </c>
      <c r="Y178" s="5" t="s">
        <v>841</v>
      </c>
      <c r="Z178" s="45" t="s">
        <v>842</v>
      </c>
      <c r="AA178" s="44" t="s">
        <v>843</v>
      </c>
      <c r="AB178" s="46">
        <v>3.2983501999999998E-2</v>
      </c>
      <c r="AC178" s="46">
        <v>0.35272086400000002</v>
      </c>
      <c r="AD178" s="48">
        <v>1.2941035160000001</v>
      </c>
      <c r="AE178" s="49">
        <v>45.693049729999998</v>
      </c>
      <c r="AF178" s="46">
        <v>0.74229056100000002</v>
      </c>
      <c r="AG178" s="46">
        <v>1.7350800000000001E-4</v>
      </c>
    </row>
    <row r="179" spans="1:33" x14ac:dyDescent="0.2">
      <c r="A179" s="1"/>
      <c r="C179" s="33"/>
      <c r="G179" s="3"/>
      <c r="I179" s="4"/>
      <c r="U179" s="43">
        <v>3</v>
      </c>
      <c r="V179" s="2" t="s">
        <v>35</v>
      </c>
      <c r="W179" s="2" t="s">
        <v>24</v>
      </c>
      <c r="X179" s="2" t="s">
        <v>373</v>
      </c>
      <c r="Y179" s="5" t="s">
        <v>844</v>
      </c>
      <c r="Z179" s="45" t="s">
        <v>845</v>
      </c>
      <c r="AA179" s="44" t="s">
        <v>846</v>
      </c>
      <c r="AB179" s="46">
        <v>3.1012607000000001E-2</v>
      </c>
      <c r="AC179" s="46">
        <v>0.30989297500000001</v>
      </c>
      <c r="AD179" s="48">
        <v>1.0265091479999999</v>
      </c>
      <c r="AE179" s="49">
        <v>38.45230677</v>
      </c>
      <c r="AF179" s="46">
        <v>0.744693041</v>
      </c>
      <c r="AG179" s="46">
        <v>1.8668499999999999E-4</v>
      </c>
    </row>
    <row r="180" spans="1:33" x14ac:dyDescent="0.2">
      <c r="A180" s="13"/>
      <c r="B180" s="14"/>
      <c r="C180" s="34"/>
      <c r="D180" s="14"/>
      <c r="E180" s="14"/>
      <c r="F180" s="14"/>
      <c r="G180" s="15"/>
      <c r="H180" s="14"/>
      <c r="I180" s="169"/>
      <c r="J180" s="14"/>
      <c r="K180" s="14"/>
      <c r="L180" s="14"/>
      <c r="M180" s="14"/>
      <c r="N180" s="14"/>
      <c r="O180" s="14"/>
      <c r="P180" s="14"/>
      <c r="Q180" s="14"/>
      <c r="R180" s="14"/>
      <c r="S180" s="14"/>
      <c r="T180" s="15"/>
      <c r="U180" s="50">
        <v>4</v>
      </c>
      <c r="V180" s="8" t="s">
        <v>52</v>
      </c>
      <c r="W180" s="8" t="s">
        <v>24</v>
      </c>
      <c r="X180" s="8" t="s">
        <v>373</v>
      </c>
      <c r="Y180" s="66" t="s">
        <v>847</v>
      </c>
      <c r="Z180" s="52" t="s">
        <v>848</v>
      </c>
      <c r="AA180" s="51" t="s">
        <v>849</v>
      </c>
      <c r="AB180" s="53">
        <v>2.8829268000000002E-2</v>
      </c>
      <c r="AC180" s="53">
        <v>0.209408554</v>
      </c>
      <c r="AD180" s="55">
        <v>1.306041995</v>
      </c>
      <c r="AE180" s="56">
        <v>48.731995210000001</v>
      </c>
      <c r="AF180" s="53">
        <v>0.75847261899999996</v>
      </c>
      <c r="AG180" s="53">
        <v>1.95525E-4</v>
      </c>
    </row>
    <row r="181" spans="1:33" x14ac:dyDescent="0.2">
      <c r="A181" s="1" t="s">
        <v>239</v>
      </c>
      <c r="B181" s="2" t="s">
        <v>238</v>
      </c>
      <c r="C181" s="33">
        <v>500</v>
      </c>
      <c r="D181" s="2" t="s">
        <v>22</v>
      </c>
      <c r="E181" s="2" t="s">
        <v>234</v>
      </c>
      <c r="F181" s="2" t="s">
        <v>24</v>
      </c>
      <c r="G181" s="3" t="s">
        <v>25</v>
      </c>
      <c r="H181" s="2" t="s">
        <v>26</v>
      </c>
      <c r="I181" s="4" t="s">
        <v>240</v>
      </c>
      <c r="J181" s="2">
        <v>1</v>
      </c>
      <c r="K181" s="2" t="s">
        <v>52</v>
      </c>
      <c r="T181" s="2" t="s">
        <v>30</v>
      </c>
      <c r="U181" s="43">
        <v>1</v>
      </c>
      <c r="V181" s="2" t="s">
        <v>102</v>
      </c>
      <c r="W181" s="2" t="s">
        <v>24</v>
      </c>
      <c r="X181" s="2" t="s">
        <v>373</v>
      </c>
      <c r="Y181" s="5" t="s">
        <v>850</v>
      </c>
      <c r="Z181" s="45" t="s">
        <v>851</v>
      </c>
      <c r="AA181" s="44" t="s">
        <v>852</v>
      </c>
      <c r="AB181" s="46">
        <v>1.3691358000000001E-2</v>
      </c>
      <c r="AC181" s="46">
        <v>5.8280439000000003E-2</v>
      </c>
      <c r="AD181" s="48">
        <v>0.26287613199999998</v>
      </c>
      <c r="AE181" s="49">
        <v>12.50509287</v>
      </c>
      <c r="AF181" s="46">
        <v>0.76048529300000001</v>
      </c>
      <c r="AG181" s="46">
        <v>2.56438E-4</v>
      </c>
    </row>
    <row r="182" spans="1:33" x14ac:dyDescent="0.2">
      <c r="A182" s="1"/>
      <c r="C182" s="33"/>
      <c r="G182" s="3"/>
      <c r="I182" s="4"/>
      <c r="U182" s="43">
        <v>2</v>
      </c>
      <c r="V182" s="2" t="s">
        <v>127</v>
      </c>
      <c r="W182" s="2" t="s">
        <v>24</v>
      </c>
      <c r="X182" s="2" t="s">
        <v>373</v>
      </c>
      <c r="Y182" s="5" t="s">
        <v>853</v>
      </c>
      <c r="Z182" s="45" t="s">
        <v>854</v>
      </c>
      <c r="AA182" s="44" t="s">
        <v>855</v>
      </c>
      <c r="AB182" s="46">
        <v>2.8481235000000001E-2</v>
      </c>
      <c r="AC182" s="46">
        <v>4.1062802000000002E-2</v>
      </c>
      <c r="AD182" s="48">
        <v>0.12313563600000001</v>
      </c>
      <c r="AE182" s="49">
        <v>4.2214499700000001</v>
      </c>
      <c r="AF182" s="46">
        <v>0.73817669299999999</v>
      </c>
      <c r="AG182" s="46">
        <v>1.76961E-4</v>
      </c>
    </row>
    <row r="183" spans="1:33" x14ac:dyDescent="0.2">
      <c r="A183" s="13"/>
      <c r="B183" s="14"/>
      <c r="C183" s="34"/>
      <c r="D183" s="14"/>
      <c r="E183" s="14"/>
      <c r="F183" s="14"/>
      <c r="G183" s="15"/>
      <c r="H183" s="14"/>
      <c r="I183" s="169"/>
      <c r="J183" s="14"/>
      <c r="K183" s="14"/>
      <c r="L183" s="14"/>
      <c r="M183" s="14"/>
      <c r="N183" s="14"/>
      <c r="O183" s="14"/>
      <c r="P183" s="14"/>
      <c r="Q183" s="14"/>
      <c r="R183" s="14"/>
      <c r="S183" s="14"/>
      <c r="T183" s="15"/>
      <c r="U183" s="43">
        <v>3</v>
      </c>
      <c r="V183" s="2" t="s">
        <v>127</v>
      </c>
      <c r="W183" s="2" t="s">
        <v>24</v>
      </c>
      <c r="X183" s="2" t="s">
        <v>373</v>
      </c>
      <c r="Y183" s="5" t="s">
        <v>856</v>
      </c>
      <c r="Z183" s="45" t="s">
        <v>857</v>
      </c>
      <c r="AA183" s="44" t="s">
        <v>858</v>
      </c>
      <c r="AB183" s="46">
        <v>3.0351906000000001E-2</v>
      </c>
      <c r="AC183" s="46">
        <v>4.6813907000000002E-2</v>
      </c>
      <c r="AD183" s="48">
        <v>0.89351721799999995</v>
      </c>
      <c r="AE183" s="49">
        <v>33.689694430000003</v>
      </c>
      <c r="AF183" s="46">
        <v>0.71600501599999999</v>
      </c>
      <c r="AG183" s="46">
        <v>1.90998E-4</v>
      </c>
    </row>
    <row r="184" spans="1:33" x14ac:dyDescent="0.2">
      <c r="A184" s="1" t="s">
        <v>241</v>
      </c>
      <c r="B184" s="2" t="s">
        <v>242</v>
      </c>
      <c r="C184" s="33">
        <v>430</v>
      </c>
      <c r="D184" s="2" t="s">
        <v>22</v>
      </c>
      <c r="E184" s="2" t="s">
        <v>23</v>
      </c>
      <c r="F184" s="2" t="s">
        <v>24</v>
      </c>
      <c r="G184" s="3" t="s">
        <v>25</v>
      </c>
      <c r="H184" s="2" t="s">
        <v>26</v>
      </c>
      <c r="I184" s="4" t="s">
        <v>33</v>
      </c>
      <c r="J184" s="2">
        <v>6</v>
      </c>
      <c r="K184" s="2" t="s">
        <v>36</v>
      </c>
      <c r="L184" s="2" t="s">
        <v>156</v>
      </c>
      <c r="M184" s="2" t="s">
        <v>70</v>
      </c>
      <c r="N184" s="2" t="s">
        <v>127</v>
      </c>
      <c r="O184" s="2" t="s">
        <v>36</v>
      </c>
      <c r="P184" s="2" t="s">
        <v>127</v>
      </c>
      <c r="T184" s="2" t="s">
        <v>30</v>
      </c>
      <c r="U184" s="35">
        <v>1</v>
      </c>
      <c r="V184" s="36" t="s">
        <v>36</v>
      </c>
      <c r="W184" s="36" t="s">
        <v>24</v>
      </c>
      <c r="X184" s="36" t="s">
        <v>373</v>
      </c>
      <c r="Y184" s="65" t="s">
        <v>859</v>
      </c>
      <c r="Z184" s="38" t="s">
        <v>860</v>
      </c>
      <c r="AA184" s="37" t="s">
        <v>861</v>
      </c>
      <c r="AB184" s="39">
        <v>2.4678789999999999E-2</v>
      </c>
      <c r="AC184" s="39">
        <v>3.5813180999999999E-2</v>
      </c>
      <c r="AD184" s="41">
        <v>0.51198587600000001</v>
      </c>
      <c r="AE184" s="42">
        <v>19.461773520000001</v>
      </c>
      <c r="AF184" s="39">
        <v>0.72137875299999998</v>
      </c>
      <c r="AG184" s="39">
        <v>1.9430599999999999E-4</v>
      </c>
    </row>
    <row r="185" spans="1:33" x14ac:dyDescent="0.2">
      <c r="A185" s="1"/>
      <c r="C185" s="33"/>
      <c r="G185" s="3"/>
      <c r="I185" s="4"/>
      <c r="U185" s="43">
        <v>2</v>
      </c>
      <c r="V185" s="2" t="s">
        <v>156</v>
      </c>
      <c r="W185" s="2" t="s">
        <v>24</v>
      </c>
      <c r="X185" s="2" t="s">
        <v>373</v>
      </c>
      <c r="Y185" s="5" t="s">
        <v>862</v>
      </c>
      <c r="Z185" s="45" t="s">
        <v>863</v>
      </c>
      <c r="AA185" s="44" t="s">
        <v>864</v>
      </c>
      <c r="AB185" s="46">
        <v>2.4263420000000001E-2</v>
      </c>
      <c r="AC185" s="46">
        <v>2.862833E-2</v>
      </c>
      <c r="AD185" s="48">
        <v>0.37354422700000001</v>
      </c>
      <c r="AE185" s="49">
        <v>14.63960455</v>
      </c>
      <c r="AF185" s="46">
        <v>0.72085503699999998</v>
      </c>
      <c r="AG185" s="46">
        <v>1.9869199999999999E-4</v>
      </c>
    </row>
    <row r="186" spans="1:33" x14ac:dyDescent="0.2">
      <c r="A186" s="1"/>
      <c r="C186" s="33"/>
      <c r="G186" s="3"/>
      <c r="I186" s="4"/>
      <c r="U186" s="43">
        <v>3</v>
      </c>
      <c r="V186" s="2" t="s">
        <v>70</v>
      </c>
      <c r="W186" s="2" t="s">
        <v>24</v>
      </c>
      <c r="X186" s="2" t="s">
        <v>373</v>
      </c>
      <c r="Y186" s="5" t="s">
        <v>865</v>
      </c>
      <c r="Z186" s="45" t="s">
        <v>866</v>
      </c>
      <c r="AA186" s="44" t="s">
        <v>867</v>
      </c>
      <c r="AB186" s="46">
        <v>2.6417494999999999E-2</v>
      </c>
      <c r="AC186" s="46">
        <v>3.9910480999999998E-2</v>
      </c>
      <c r="AD186" s="48">
        <v>0.75083739500000002</v>
      </c>
      <c r="AE186" s="49">
        <v>28.874535649999999</v>
      </c>
      <c r="AF186" s="46">
        <v>0.71977555999999998</v>
      </c>
      <c r="AG186" s="46">
        <v>1.9529399999999999E-4</v>
      </c>
    </row>
    <row r="187" spans="1:33" x14ac:dyDescent="0.2">
      <c r="A187" s="13"/>
      <c r="B187" s="14"/>
      <c r="C187" s="34"/>
      <c r="D187" s="14"/>
      <c r="E187" s="14"/>
      <c r="F187" s="14"/>
      <c r="G187" s="15"/>
      <c r="H187" s="14"/>
      <c r="I187" s="169"/>
      <c r="J187" s="14"/>
      <c r="K187" s="14"/>
      <c r="L187" s="14"/>
      <c r="M187" s="14"/>
      <c r="N187" s="14"/>
      <c r="O187" s="14"/>
      <c r="P187" s="14"/>
      <c r="Q187" s="14"/>
      <c r="R187" s="14"/>
      <c r="S187" s="14"/>
      <c r="T187" s="15"/>
      <c r="U187" s="50">
        <v>4</v>
      </c>
      <c r="V187" s="8" t="s">
        <v>36</v>
      </c>
      <c r="W187" s="8" t="s">
        <v>24</v>
      </c>
      <c r="X187" s="8" t="s">
        <v>373</v>
      </c>
      <c r="Y187" s="66" t="s">
        <v>868</v>
      </c>
      <c r="Z187" s="52" t="s">
        <v>869</v>
      </c>
      <c r="AA187" s="51" t="s">
        <v>870</v>
      </c>
      <c r="AB187" s="53">
        <v>1.969622E-2</v>
      </c>
      <c r="AC187" s="53">
        <v>0.13510723699999999</v>
      </c>
      <c r="AD187" s="55">
        <v>0.80368756699999999</v>
      </c>
      <c r="AE187" s="56">
        <v>27.79790294</v>
      </c>
      <c r="AF187" s="53">
        <v>0.72515117799999995</v>
      </c>
      <c r="AG187" s="53">
        <v>1.7398899999999999E-4</v>
      </c>
    </row>
    <row r="188" spans="1:33" x14ac:dyDescent="0.2">
      <c r="A188" s="13" t="s">
        <v>243</v>
      </c>
      <c r="B188" s="14" t="s">
        <v>244</v>
      </c>
      <c r="C188" s="34">
        <v>411</v>
      </c>
      <c r="D188" s="14" t="s">
        <v>22</v>
      </c>
      <c r="E188" s="14" t="s">
        <v>23</v>
      </c>
      <c r="F188" s="14" t="s">
        <v>24</v>
      </c>
      <c r="G188" s="15" t="s">
        <v>25</v>
      </c>
      <c r="H188" s="14" t="s">
        <v>26</v>
      </c>
      <c r="I188" s="169" t="s">
        <v>55</v>
      </c>
      <c r="J188" s="14">
        <v>1</v>
      </c>
      <c r="K188" s="14" t="s">
        <v>86</v>
      </c>
      <c r="L188" s="14"/>
      <c r="M188" s="14"/>
      <c r="N188" s="14"/>
      <c r="O188" s="14"/>
      <c r="P188" s="14"/>
      <c r="Q188" s="14"/>
      <c r="R188" s="14"/>
      <c r="S188" s="14"/>
      <c r="T188" s="14" t="s">
        <v>30</v>
      </c>
      <c r="U188" s="140">
        <v>1</v>
      </c>
      <c r="V188" s="14" t="s">
        <v>86</v>
      </c>
      <c r="W188" s="14" t="s">
        <v>24</v>
      </c>
      <c r="X188" s="14" t="s">
        <v>373</v>
      </c>
      <c r="Y188" s="59" t="s">
        <v>871</v>
      </c>
      <c r="Z188" s="171" t="s">
        <v>872</v>
      </c>
      <c r="AA188" s="170" t="s">
        <v>873</v>
      </c>
      <c r="AB188" s="60">
        <v>0.297337662</v>
      </c>
      <c r="AC188" s="60">
        <v>0.65248675899999997</v>
      </c>
      <c r="AD188" s="172">
        <v>4.1063511760000004</v>
      </c>
      <c r="AE188" s="173">
        <v>131.53349309999999</v>
      </c>
      <c r="AF188" s="60">
        <v>0.46780567499999998</v>
      </c>
      <c r="AG188" s="60">
        <v>9.3399999999999993E-5</v>
      </c>
    </row>
    <row r="189" spans="1:33" x14ac:dyDescent="0.2">
      <c r="A189" s="106" t="s">
        <v>247</v>
      </c>
      <c r="B189" s="107" t="s">
        <v>248</v>
      </c>
      <c r="C189" s="175">
        <v>480</v>
      </c>
      <c r="D189" s="107" t="s">
        <v>22</v>
      </c>
      <c r="E189" s="107" t="s">
        <v>23</v>
      </c>
      <c r="F189" s="107" t="s">
        <v>24</v>
      </c>
      <c r="G189" s="176" t="s">
        <v>25</v>
      </c>
      <c r="H189" s="107" t="s">
        <v>26</v>
      </c>
      <c r="I189" s="107">
        <v>8</v>
      </c>
      <c r="J189" s="107">
        <v>1</v>
      </c>
      <c r="K189" s="107" t="s">
        <v>87</v>
      </c>
      <c r="L189" s="107"/>
      <c r="M189" s="107"/>
      <c r="N189" s="107"/>
      <c r="O189" s="107"/>
      <c r="P189" s="107"/>
      <c r="Q189" s="107"/>
      <c r="R189" s="107"/>
      <c r="S189" s="107"/>
      <c r="T189" s="176" t="s">
        <v>30</v>
      </c>
      <c r="U189" s="43">
        <v>1</v>
      </c>
      <c r="V189" s="2" t="s">
        <v>87</v>
      </c>
      <c r="W189" s="2" t="s">
        <v>24</v>
      </c>
      <c r="X189" s="2" t="s">
        <v>373</v>
      </c>
      <c r="Y189" s="5">
        <v>179790647</v>
      </c>
      <c r="Z189" s="45">
        <v>111819942</v>
      </c>
      <c r="AA189" s="44">
        <v>19078</v>
      </c>
      <c r="AB189" s="46">
        <v>6.3128647999999996E-2</v>
      </c>
      <c r="AC189" s="46">
        <v>0.52376435300000002</v>
      </c>
      <c r="AD189" s="48">
        <v>2.4753783299999998</v>
      </c>
      <c r="AE189" s="49">
        <v>68.474355900000006</v>
      </c>
      <c r="AF189" s="46">
        <v>0.62194526699999997</v>
      </c>
      <c r="AG189" s="46">
        <v>1.06112E-4</v>
      </c>
    </row>
    <row r="190" spans="1:33" x14ac:dyDescent="0.2">
      <c r="A190" s="1" t="s">
        <v>249</v>
      </c>
      <c r="B190" s="2" t="s">
        <v>250</v>
      </c>
      <c r="C190" s="33">
        <v>436</v>
      </c>
      <c r="D190" s="2" t="s">
        <v>22</v>
      </c>
      <c r="E190" s="2" t="s">
        <v>23</v>
      </c>
      <c r="F190" s="2" t="s">
        <v>24</v>
      </c>
      <c r="G190" s="3" t="s">
        <v>25</v>
      </c>
      <c r="H190" s="2" t="s">
        <v>26</v>
      </c>
      <c r="I190" s="4" t="s">
        <v>33</v>
      </c>
      <c r="J190" s="2">
        <v>4</v>
      </c>
      <c r="K190" s="2" t="s">
        <v>57</v>
      </c>
      <c r="L190" s="2" t="s">
        <v>71</v>
      </c>
      <c r="M190" s="2" t="s">
        <v>72</v>
      </c>
      <c r="N190" s="2" t="s">
        <v>132</v>
      </c>
      <c r="T190" s="2" t="s">
        <v>30</v>
      </c>
      <c r="U190" s="35">
        <v>1</v>
      </c>
      <c r="V190" s="36" t="s">
        <v>57</v>
      </c>
      <c r="W190" s="36" t="s">
        <v>24</v>
      </c>
      <c r="X190" s="36" t="s">
        <v>373</v>
      </c>
      <c r="Y190" s="65" t="s">
        <v>874</v>
      </c>
      <c r="Z190" s="38" t="s">
        <v>875</v>
      </c>
      <c r="AA190" s="37" t="s">
        <v>876</v>
      </c>
      <c r="AB190" s="39">
        <v>5.6133648000000001E-2</v>
      </c>
      <c r="AC190" s="39">
        <v>0.48911936299999997</v>
      </c>
      <c r="AD190" s="41">
        <v>2.7374930040000001</v>
      </c>
      <c r="AE190" s="42">
        <v>59.505751949999997</v>
      </c>
      <c r="AF190" s="39">
        <v>0.70030164100000003</v>
      </c>
      <c r="AG190" s="39">
        <v>9.2100000000000003E-5</v>
      </c>
    </row>
    <row r="191" spans="1:33" x14ac:dyDescent="0.2">
      <c r="A191" s="1"/>
      <c r="C191" s="33"/>
      <c r="G191" s="3"/>
      <c r="I191" s="4"/>
      <c r="U191" s="43">
        <v>2</v>
      </c>
      <c r="V191" s="2" t="s">
        <v>71</v>
      </c>
      <c r="W191" s="2" t="s">
        <v>24</v>
      </c>
      <c r="X191" s="2" t="s">
        <v>373</v>
      </c>
      <c r="Y191" s="5" t="s">
        <v>877</v>
      </c>
      <c r="Z191" s="45" t="s">
        <v>878</v>
      </c>
      <c r="AA191" s="44" t="s">
        <v>879</v>
      </c>
      <c r="AB191" s="46">
        <v>3.9072124E-2</v>
      </c>
      <c r="AC191" s="46">
        <v>0.35473310400000002</v>
      </c>
      <c r="AD191" s="48">
        <v>1.5630071640000001</v>
      </c>
      <c r="AE191" s="49">
        <v>39.936788499999999</v>
      </c>
      <c r="AF191" s="46">
        <v>0.71336202000000004</v>
      </c>
      <c r="AG191" s="46">
        <v>1.15126E-4</v>
      </c>
    </row>
    <row r="192" spans="1:33" x14ac:dyDescent="0.2">
      <c r="A192" s="1"/>
      <c r="C192" s="33"/>
      <c r="G192" s="3"/>
      <c r="I192" s="4"/>
      <c r="U192" s="43">
        <v>3</v>
      </c>
      <c r="V192" s="2" t="s">
        <v>72</v>
      </c>
      <c r="W192" s="2" t="s">
        <v>24</v>
      </c>
      <c r="X192" s="2" t="s">
        <v>373</v>
      </c>
      <c r="Y192" s="5" t="s">
        <v>880</v>
      </c>
      <c r="Z192" s="45" t="s">
        <v>881</v>
      </c>
      <c r="AA192" s="44" t="s">
        <v>882</v>
      </c>
      <c r="AB192" s="46">
        <v>3.9023414999999999E-2</v>
      </c>
      <c r="AC192" s="46">
        <v>0.35407577499999998</v>
      </c>
      <c r="AD192" s="48">
        <v>1.5130640799999999</v>
      </c>
      <c r="AE192" s="49">
        <v>38.663930499999999</v>
      </c>
      <c r="AF192" s="46">
        <v>0.71240400599999998</v>
      </c>
      <c r="AG192" s="46">
        <v>1.1497699999999999E-4</v>
      </c>
    </row>
    <row r="193" spans="1:33" x14ac:dyDescent="0.2">
      <c r="A193" s="13"/>
      <c r="B193" s="14"/>
      <c r="C193" s="34"/>
      <c r="D193" s="14"/>
      <c r="E193" s="14"/>
      <c r="F193" s="14"/>
      <c r="G193" s="15"/>
      <c r="H193" s="14"/>
      <c r="I193" s="169"/>
      <c r="J193" s="14"/>
      <c r="K193" s="14"/>
      <c r="L193" s="14"/>
      <c r="M193" s="14"/>
      <c r="N193" s="14"/>
      <c r="O193" s="14"/>
      <c r="P193" s="14"/>
      <c r="Q193" s="14"/>
      <c r="R193" s="14"/>
      <c r="S193" s="14"/>
      <c r="T193" s="15"/>
      <c r="U193" s="50">
        <v>4</v>
      </c>
      <c r="V193" s="8" t="s">
        <v>132</v>
      </c>
      <c r="W193" s="8" t="s">
        <v>24</v>
      </c>
      <c r="X193" s="8" t="s">
        <v>373</v>
      </c>
      <c r="Y193" s="66" t="s">
        <v>883</v>
      </c>
      <c r="Z193" s="52" t="s">
        <v>884</v>
      </c>
      <c r="AA193" s="51" t="s">
        <v>885</v>
      </c>
      <c r="AB193" s="53">
        <v>9.6873099999999993E-3</v>
      </c>
      <c r="AC193" s="53">
        <v>7.1253071000000001E-2</v>
      </c>
      <c r="AD193" s="55">
        <v>0.255608267</v>
      </c>
      <c r="AE193" s="56">
        <v>8.5445775909999995</v>
      </c>
      <c r="AF193" s="53">
        <v>0.73244603699999999</v>
      </c>
      <c r="AG193" s="53">
        <v>1.6346899999999999E-4</v>
      </c>
    </row>
    <row r="194" spans="1:33" x14ac:dyDescent="0.2">
      <c r="A194" s="1" t="s">
        <v>251</v>
      </c>
      <c r="B194" s="2" t="s">
        <v>252</v>
      </c>
      <c r="C194" s="33">
        <v>502</v>
      </c>
      <c r="D194" s="2" t="s">
        <v>22</v>
      </c>
      <c r="E194" s="2" t="s">
        <v>23</v>
      </c>
      <c r="F194" s="2" t="s">
        <v>24</v>
      </c>
      <c r="G194" s="3" t="s">
        <v>25</v>
      </c>
      <c r="H194" s="2" t="s">
        <v>26</v>
      </c>
      <c r="I194" s="4" t="s">
        <v>85</v>
      </c>
      <c r="J194" s="2">
        <v>4</v>
      </c>
      <c r="K194" s="2" t="s">
        <v>87</v>
      </c>
      <c r="L194" s="2" t="s">
        <v>57</v>
      </c>
      <c r="M194" s="2" t="s">
        <v>71</v>
      </c>
      <c r="N194" s="2" t="s">
        <v>72</v>
      </c>
      <c r="T194" s="2" t="s">
        <v>30</v>
      </c>
      <c r="U194" s="43">
        <v>1</v>
      </c>
      <c r="V194" s="2" t="s">
        <v>57</v>
      </c>
      <c r="W194" s="2" t="s">
        <v>24</v>
      </c>
      <c r="X194" s="2" t="s">
        <v>373</v>
      </c>
      <c r="Y194" s="5" t="s">
        <v>886</v>
      </c>
      <c r="Z194" s="45" t="s">
        <v>887</v>
      </c>
      <c r="AA194" s="44" t="s">
        <v>888</v>
      </c>
      <c r="AB194" s="46">
        <v>0.278235805</v>
      </c>
      <c r="AC194" s="46">
        <v>0.54014340699999996</v>
      </c>
      <c r="AD194" s="48">
        <v>1.144581243</v>
      </c>
      <c r="AE194" s="49">
        <v>43.525943679999997</v>
      </c>
      <c r="AF194" s="46">
        <v>0.47156168700000001</v>
      </c>
      <c r="AG194" s="46">
        <v>1.17008E-4</v>
      </c>
    </row>
    <row r="195" spans="1:33" x14ac:dyDescent="0.2">
      <c r="A195" s="1"/>
      <c r="C195" s="33"/>
      <c r="G195" s="3"/>
      <c r="I195" s="4"/>
      <c r="U195" s="43">
        <v>2</v>
      </c>
      <c r="V195" s="2" t="s">
        <v>71</v>
      </c>
      <c r="W195" s="2" t="s">
        <v>24</v>
      </c>
      <c r="X195" s="2" t="s">
        <v>373</v>
      </c>
      <c r="Y195" s="5" t="s">
        <v>889</v>
      </c>
      <c r="Z195" s="45" t="s">
        <v>890</v>
      </c>
      <c r="AA195" s="44" t="s">
        <v>891</v>
      </c>
      <c r="AB195" s="46">
        <v>0.23851829199999999</v>
      </c>
      <c r="AC195" s="46">
        <v>0.48231426700000002</v>
      </c>
      <c r="AD195" s="48">
        <v>0.995544176</v>
      </c>
      <c r="AE195" s="49">
        <v>38.984002400000001</v>
      </c>
      <c r="AF195" s="46">
        <v>0.49851941500000002</v>
      </c>
      <c r="AG195" s="46">
        <v>1.2951099999999999E-4</v>
      </c>
    </row>
    <row r="196" spans="1:33" x14ac:dyDescent="0.2">
      <c r="A196" s="1"/>
      <c r="C196" s="33"/>
      <c r="G196" s="3"/>
      <c r="I196" s="4"/>
      <c r="U196" s="43">
        <v>3</v>
      </c>
      <c r="V196" s="2" t="s">
        <v>72</v>
      </c>
      <c r="W196" s="2" t="s">
        <v>24</v>
      </c>
      <c r="X196" s="2" t="s">
        <v>373</v>
      </c>
      <c r="Y196" s="5" t="s">
        <v>892</v>
      </c>
      <c r="Z196" s="45" t="s">
        <v>893</v>
      </c>
      <c r="AA196" s="44" t="s">
        <v>894</v>
      </c>
      <c r="AB196" s="46">
        <v>0.16776453899999999</v>
      </c>
      <c r="AC196" s="46">
        <v>0.37832492200000001</v>
      </c>
      <c r="AD196" s="48">
        <v>0.69139219100000004</v>
      </c>
      <c r="AE196" s="49">
        <v>29.512162969999999</v>
      </c>
      <c r="AF196" s="46">
        <v>0.54463562799999998</v>
      </c>
      <c r="AG196" s="46">
        <v>1.56303E-4</v>
      </c>
    </row>
    <row r="197" spans="1:33" x14ac:dyDescent="0.2">
      <c r="A197" s="13"/>
      <c r="B197" s="14"/>
      <c r="C197" s="34"/>
      <c r="D197" s="14"/>
      <c r="E197" s="14"/>
      <c r="F197" s="14"/>
      <c r="G197" s="15"/>
      <c r="H197" s="14"/>
      <c r="I197" s="169"/>
      <c r="J197" s="14"/>
      <c r="K197" s="14"/>
      <c r="L197" s="14"/>
      <c r="M197" s="14"/>
      <c r="N197" s="14"/>
      <c r="O197" s="14"/>
      <c r="P197" s="14"/>
      <c r="Q197" s="14"/>
      <c r="R197" s="14"/>
      <c r="S197" s="14"/>
      <c r="T197" s="15"/>
      <c r="U197" s="43">
        <v>4</v>
      </c>
      <c r="V197" s="2" t="s">
        <v>87</v>
      </c>
      <c r="W197" s="2" t="s">
        <v>24</v>
      </c>
      <c r="X197" s="2" t="s">
        <v>373</v>
      </c>
      <c r="Y197" s="5" t="s">
        <v>895</v>
      </c>
      <c r="Z197" s="45" t="s">
        <v>896</v>
      </c>
      <c r="AA197" s="44" t="s">
        <v>897</v>
      </c>
      <c r="AB197" s="46">
        <v>0.10018503199999999</v>
      </c>
      <c r="AC197" s="46">
        <v>0.57731044499999995</v>
      </c>
      <c r="AD197" s="48">
        <v>2.3808884290000001</v>
      </c>
      <c r="AE197" s="49">
        <v>70.336009590000003</v>
      </c>
      <c r="AF197" s="46">
        <v>0.58583758100000005</v>
      </c>
      <c r="AG197" s="46">
        <v>1.0671900000000001E-4</v>
      </c>
    </row>
    <row r="198" spans="1:33" x14ac:dyDescent="0.2">
      <c r="A198" s="106" t="s">
        <v>253</v>
      </c>
      <c r="B198" s="107" t="s">
        <v>254</v>
      </c>
      <c r="C198" s="175">
        <v>160</v>
      </c>
      <c r="D198" s="107" t="s">
        <v>22</v>
      </c>
      <c r="E198" s="107" t="s">
        <v>23</v>
      </c>
      <c r="F198" s="107" t="s">
        <v>24</v>
      </c>
      <c r="G198" s="176" t="s">
        <v>25</v>
      </c>
      <c r="H198" s="107" t="s">
        <v>26</v>
      </c>
      <c r="I198" s="107">
        <v>6</v>
      </c>
      <c r="J198" s="107">
        <v>1</v>
      </c>
      <c r="K198" s="107" t="s">
        <v>40</v>
      </c>
      <c r="L198" s="107"/>
      <c r="M198" s="107"/>
      <c r="N198" s="107"/>
      <c r="O198" s="107"/>
      <c r="P198" s="107"/>
      <c r="Q198" s="107"/>
      <c r="R198" s="107"/>
      <c r="S198" s="107"/>
      <c r="T198" s="176" t="s">
        <v>30</v>
      </c>
      <c r="U198" s="67">
        <v>1</v>
      </c>
      <c r="V198" s="68" t="s">
        <v>40</v>
      </c>
      <c r="W198" s="68" t="s">
        <v>24</v>
      </c>
      <c r="X198" s="68" t="s">
        <v>373</v>
      </c>
      <c r="Y198" s="69">
        <v>159631538</v>
      </c>
      <c r="Z198" s="70">
        <v>104120142</v>
      </c>
      <c r="AA198" s="71">
        <v>14839</v>
      </c>
      <c r="AB198" s="72">
        <v>4.7619586999999998E-2</v>
      </c>
      <c r="AC198" s="72">
        <v>0.43038654900000001</v>
      </c>
      <c r="AD198" s="73">
        <v>2.3996901839999998</v>
      </c>
      <c r="AE198" s="74">
        <v>52.8104254</v>
      </c>
      <c r="AF198" s="72">
        <v>0.65225295299999997</v>
      </c>
      <c r="AG198" s="72">
        <v>9.2999999999999997E-5</v>
      </c>
    </row>
    <row r="199" spans="1:33" x14ac:dyDescent="0.2">
      <c r="A199" s="1" t="s">
        <v>255</v>
      </c>
      <c r="B199" s="2" t="s">
        <v>256</v>
      </c>
      <c r="C199" s="33">
        <v>425</v>
      </c>
      <c r="D199" s="2" t="s">
        <v>22</v>
      </c>
      <c r="E199" s="2" t="s">
        <v>23</v>
      </c>
      <c r="F199" s="2" t="s">
        <v>24</v>
      </c>
      <c r="G199" s="3" t="s">
        <v>25</v>
      </c>
      <c r="H199" s="2" t="s">
        <v>26</v>
      </c>
      <c r="I199" s="4" t="s">
        <v>85</v>
      </c>
      <c r="J199" s="2">
        <v>5</v>
      </c>
      <c r="K199" s="2" t="s">
        <v>42</v>
      </c>
      <c r="L199" s="2" t="s">
        <v>107</v>
      </c>
      <c r="M199" s="2" t="s">
        <v>69</v>
      </c>
      <c r="N199" s="2" t="s">
        <v>35</v>
      </c>
      <c r="O199" s="2" t="s">
        <v>36</v>
      </c>
      <c r="T199" s="2" t="s">
        <v>30</v>
      </c>
      <c r="U199" s="43">
        <v>1</v>
      </c>
      <c r="V199" s="2" t="s">
        <v>107</v>
      </c>
      <c r="W199" s="2" t="s">
        <v>24</v>
      </c>
      <c r="X199" s="2" t="s">
        <v>373</v>
      </c>
      <c r="Y199" s="5" t="s">
        <v>898</v>
      </c>
      <c r="Z199" s="45" t="s">
        <v>899</v>
      </c>
      <c r="AA199" s="44" t="s">
        <v>900</v>
      </c>
      <c r="AB199" s="46">
        <v>9.6721907999999995E-2</v>
      </c>
      <c r="AC199" s="46">
        <v>0.58881090599999997</v>
      </c>
      <c r="AD199" s="48">
        <v>2.325443908</v>
      </c>
      <c r="AE199" s="49">
        <v>66.208508089999995</v>
      </c>
      <c r="AF199" s="46">
        <v>0.66167086500000005</v>
      </c>
      <c r="AG199" s="46">
        <v>1.10795E-4</v>
      </c>
    </row>
    <row r="200" spans="1:33" x14ac:dyDescent="0.2">
      <c r="A200" s="1"/>
      <c r="C200" s="33"/>
      <c r="G200" s="3"/>
      <c r="I200" s="4"/>
      <c r="U200" s="43">
        <v>2</v>
      </c>
      <c r="V200" s="2" t="s">
        <v>69</v>
      </c>
      <c r="W200" s="2" t="s">
        <v>24</v>
      </c>
      <c r="X200" s="2" t="s">
        <v>373</v>
      </c>
      <c r="Y200" s="5" t="s">
        <v>901</v>
      </c>
      <c r="Z200" s="45" t="s">
        <v>902</v>
      </c>
      <c r="AA200" s="44" t="s">
        <v>903</v>
      </c>
      <c r="AB200" s="46">
        <v>5.6987889E-2</v>
      </c>
      <c r="AC200" s="46">
        <v>0.44484787799999997</v>
      </c>
      <c r="AD200" s="48">
        <v>1.3103226569999999</v>
      </c>
      <c r="AE200" s="49">
        <v>45.8</v>
      </c>
      <c r="AF200" s="46">
        <v>0.68864821499999995</v>
      </c>
      <c r="AG200" s="46">
        <v>1.48558E-4</v>
      </c>
    </row>
    <row r="201" spans="1:33" x14ac:dyDescent="0.2">
      <c r="A201" s="1"/>
      <c r="C201" s="33"/>
      <c r="G201" s="3"/>
      <c r="I201" s="4"/>
      <c r="U201" s="43">
        <v>3</v>
      </c>
      <c r="V201" s="2" t="s">
        <v>35</v>
      </c>
      <c r="W201" s="2" t="s">
        <v>24</v>
      </c>
      <c r="X201" s="2" t="s">
        <v>373</v>
      </c>
      <c r="Y201" s="5" t="s">
        <v>904</v>
      </c>
      <c r="Z201" s="45" t="s">
        <v>905</v>
      </c>
      <c r="AA201" s="44" t="s">
        <v>906</v>
      </c>
      <c r="AB201" s="46">
        <v>5.8814149000000003E-2</v>
      </c>
      <c r="AC201" s="46">
        <v>0.45543092099999999</v>
      </c>
      <c r="AD201" s="48">
        <v>1.3869688179999999</v>
      </c>
      <c r="AE201" s="49">
        <v>47.485680049999999</v>
      </c>
      <c r="AF201" s="46">
        <v>0.68905509700000001</v>
      </c>
      <c r="AG201" s="46">
        <v>1.44702E-4</v>
      </c>
    </row>
    <row r="202" spans="1:33" x14ac:dyDescent="0.2">
      <c r="A202" s="1"/>
      <c r="C202" s="33"/>
      <c r="G202" s="3"/>
      <c r="I202" s="4"/>
      <c r="U202" s="43">
        <v>4</v>
      </c>
      <c r="V202" s="2" t="s">
        <v>36</v>
      </c>
      <c r="W202" s="2" t="s">
        <v>24</v>
      </c>
      <c r="X202" s="2" t="s">
        <v>373</v>
      </c>
      <c r="Y202" s="5" t="s">
        <v>907</v>
      </c>
      <c r="Z202" s="45" t="s">
        <v>908</v>
      </c>
      <c r="AA202" s="44" t="s">
        <v>909</v>
      </c>
      <c r="AB202" s="46">
        <v>4.6575446999999999E-2</v>
      </c>
      <c r="AC202" s="46">
        <v>0.36306555899999998</v>
      </c>
      <c r="AD202" s="48">
        <v>0.88564414499999999</v>
      </c>
      <c r="AE202" s="49">
        <v>34.85326543</v>
      </c>
      <c r="AF202" s="46">
        <v>0.70219777999999999</v>
      </c>
      <c r="AG202" s="46">
        <v>1.7404399999999999E-4</v>
      </c>
    </row>
    <row r="203" spans="1:33" x14ac:dyDescent="0.2">
      <c r="A203" s="13"/>
      <c r="B203" s="14"/>
      <c r="C203" s="34"/>
      <c r="D203" s="14"/>
      <c r="E203" s="14"/>
      <c r="F203" s="14"/>
      <c r="G203" s="15"/>
      <c r="H203" s="14"/>
      <c r="I203" s="169"/>
      <c r="J203" s="14"/>
      <c r="K203" s="14"/>
      <c r="L203" s="14"/>
      <c r="M203" s="14"/>
      <c r="N203" s="14"/>
      <c r="O203" s="14"/>
      <c r="P203" s="14"/>
      <c r="Q203" s="14"/>
      <c r="R203" s="14"/>
      <c r="S203" s="14"/>
      <c r="T203" s="15"/>
      <c r="U203" s="43">
        <v>5</v>
      </c>
      <c r="V203" s="2" t="s">
        <v>42</v>
      </c>
      <c r="W203" s="2" t="s">
        <v>24</v>
      </c>
      <c r="X203" s="2" t="s">
        <v>373</v>
      </c>
      <c r="Y203" s="5" t="s">
        <v>910</v>
      </c>
      <c r="Z203" s="45" t="s">
        <v>911</v>
      </c>
      <c r="AA203" s="44" t="s">
        <v>912</v>
      </c>
      <c r="AB203" s="46">
        <v>1.462336E-2</v>
      </c>
      <c r="AC203" s="46">
        <v>0.117859912</v>
      </c>
      <c r="AD203" s="48">
        <v>0.23222586200000001</v>
      </c>
      <c r="AE203" s="49">
        <v>11.23600959</v>
      </c>
      <c r="AF203" s="46">
        <v>0.69834288099999997</v>
      </c>
      <c r="AG203" s="46">
        <v>2.2639000000000001E-4</v>
      </c>
    </row>
    <row r="204" spans="1:33" x14ac:dyDescent="0.2">
      <c r="A204" s="106" t="s">
        <v>257</v>
      </c>
      <c r="B204" s="107" t="s">
        <v>258</v>
      </c>
      <c r="C204" s="175">
        <v>520</v>
      </c>
      <c r="D204" s="107" t="s">
        <v>22</v>
      </c>
      <c r="E204" s="107" t="s">
        <v>23</v>
      </c>
      <c r="F204" s="107" t="s">
        <v>24</v>
      </c>
      <c r="G204" s="176" t="s">
        <v>25</v>
      </c>
      <c r="H204" s="107" t="s">
        <v>26</v>
      </c>
      <c r="I204" s="107">
        <v>7</v>
      </c>
      <c r="J204" s="107">
        <v>1</v>
      </c>
      <c r="K204" s="107" t="s">
        <v>259</v>
      </c>
      <c r="L204" s="107"/>
      <c r="M204" s="107"/>
      <c r="N204" s="107"/>
      <c r="O204" s="107"/>
      <c r="P204" s="107"/>
      <c r="Q204" s="107"/>
      <c r="R204" s="107"/>
      <c r="S204" s="107"/>
      <c r="T204" s="176" t="s">
        <v>30</v>
      </c>
      <c r="U204" s="67">
        <v>1</v>
      </c>
      <c r="V204" s="68" t="s">
        <v>259</v>
      </c>
      <c r="W204" s="68" t="s">
        <v>24</v>
      </c>
      <c r="X204" s="68" t="s">
        <v>373</v>
      </c>
      <c r="Y204" s="69">
        <v>145755952</v>
      </c>
      <c r="Z204" s="70">
        <v>90203008</v>
      </c>
      <c r="AA204" s="71">
        <v>19727</v>
      </c>
      <c r="AB204" s="72">
        <v>4.5045480999999998E-2</v>
      </c>
      <c r="AC204" s="72">
        <v>0.57051728599999996</v>
      </c>
      <c r="AD204" s="73">
        <v>1.9131668770000001</v>
      </c>
      <c r="AE204" s="74">
        <v>69.683283399999993</v>
      </c>
      <c r="AF204" s="72">
        <v>0.61886328999999995</v>
      </c>
      <c r="AG204" s="72">
        <v>1.3534300000000001E-4</v>
      </c>
    </row>
    <row r="205" spans="1:33" x14ac:dyDescent="0.2">
      <c r="A205" s="1" t="s">
        <v>260</v>
      </c>
      <c r="B205" s="2" t="s">
        <v>261</v>
      </c>
      <c r="C205" s="33">
        <v>466</v>
      </c>
      <c r="D205" s="2" t="s">
        <v>22</v>
      </c>
      <c r="E205" s="2" t="s">
        <v>23</v>
      </c>
      <c r="F205" s="2" t="s">
        <v>24</v>
      </c>
      <c r="G205" s="3" t="s">
        <v>25</v>
      </c>
      <c r="H205" s="2" t="s">
        <v>26</v>
      </c>
      <c r="I205" s="4" t="s">
        <v>55</v>
      </c>
      <c r="J205" s="2">
        <v>5</v>
      </c>
      <c r="K205" s="2" t="s">
        <v>140</v>
      </c>
      <c r="L205" s="2" t="s">
        <v>86</v>
      </c>
      <c r="M205" s="2" t="s">
        <v>58</v>
      </c>
      <c r="N205" s="2" t="s">
        <v>57</v>
      </c>
      <c r="O205" s="2" t="s">
        <v>71</v>
      </c>
      <c r="T205" s="2" t="s">
        <v>30</v>
      </c>
      <c r="U205" s="43">
        <v>1</v>
      </c>
      <c r="V205" s="2" t="s">
        <v>86</v>
      </c>
      <c r="W205" s="2" t="s">
        <v>24</v>
      </c>
      <c r="X205" s="2" t="s">
        <v>373</v>
      </c>
      <c r="Y205" s="5" t="s">
        <v>913</v>
      </c>
      <c r="Z205" s="45" t="s">
        <v>914</v>
      </c>
      <c r="AA205" s="44" t="s">
        <v>915</v>
      </c>
      <c r="AB205" s="46">
        <v>7.5813593999999998E-2</v>
      </c>
      <c r="AC205" s="46">
        <v>9.0226406999999995E-2</v>
      </c>
      <c r="AD205" s="48">
        <v>0.71399534499999995</v>
      </c>
      <c r="AE205" s="49">
        <v>33.691012579999999</v>
      </c>
      <c r="AF205" s="46">
        <v>0.65152818300000004</v>
      </c>
      <c r="AG205" s="46">
        <v>2.09853E-4</v>
      </c>
    </row>
    <row r="206" spans="1:33" x14ac:dyDescent="0.2">
      <c r="A206" s="1"/>
      <c r="C206" s="33"/>
      <c r="G206" s="3"/>
      <c r="I206" s="4"/>
      <c r="U206" s="43">
        <v>2</v>
      </c>
      <c r="V206" s="2" t="s">
        <v>58</v>
      </c>
      <c r="W206" s="2" t="s">
        <v>24</v>
      </c>
      <c r="X206" s="2" t="s">
        <v>373</v>
      </c>
      <c r="Y206" s="5" t="s">
        <v>916</v>
      </c>
      <c r="Z206" s="45" t="s">
        <v>917</v>
      </c>
      <c r="AA206" s="44" t="s">
        <v>918</v>
      </c>
      <c r="AB206" s="46">
        <v>7.2999863999999998E-2</v>
      </c>
      <c r="AC206" s="46">
        <v>9.4718464000000002E-2</v>
      </c>
      <c r="AD206" s="48">
        <v>0.71924373900000005</v>
      </c>
      <c r="AE206" s="49">
        <v>34.070161769999999</v>
      </c>
      <c r="AF206" s="46">
        <v>0.65532053700000004</v>
      </c>
      <c r="AG206" s="46">
        <v>2.1416E-4</v>
      </c>
    </row>
    <row r="207" spans="1:33" x14ac:dyDescent="0.2">
      <c r="A207" s="1"/>
      <c r="C207" s="33"/>
      <c r="G207" s="3"/>
      <c r="I207" s="4"/>
      <c r="U207" s="43">
        <v>3</v>
      </c>
      <c r="V207" s="2" t="s">
        <v>57</v>
      </c>
      <c r="W207" s="2" t="s">
        <v>24</v>
      </c>
      <c r="X207" s="2" t="s">
        <v>373</v>
      </c>
      <c r="Y207" s="5" t="s">
        <v>919</v>
      </c>
      <c r="Z207" s="45" t="s">
        <v>920</v>
      </c>
      <c r="AA207" s="44" t="s">
        <v>921</v>
      </c>
      <c r="AB207" s="46">
        <v>7.9586709000000005E-2</v>
      </c>
      <c r="AC207" s="46">
        <v>9.5163968000000002E-2</v>
      </c>
      <c r="AD207" s="48">
        <v>0.77752415200000002</v>
      </c>
      <c r="AE207" s="49">
        <v>36.061294189999998</v>
      </c>
      <c r="AF207" s="46">
        <v>0.64881742899999995</v>
      </c>
      <c r="AG207" s="46">
        <v>2.07157E-4</v>
      </c>
    </row>
    <row r="208" spans="1:33" x14ac:dyDescent="0.2">
      <c r="A208" s="1"/>
      <c r="C208" s="33"/>
      <c r="G208" s="3"/>
      <c r="I208" s="4"/>
      <c r="U208" s="43">
        <v>4</v>
      </c>
      <c r="V208" s="2" t="s">
        <v>71</v>
      </c>
      <c r="W208" s="2" t="s">
        <v>24</v>
      </c>
      <c r="X208" s="2" t="s">
        <v>373</v>
      </c>
      <c r="Y208" s="5" t="s">
        <v>922</v>
      </c>
      <c r="Z208" s="45" t="s">
        <v>923</v>
      </c>
      <c r="AA208" s="44" t="s">
        <v>924</v>
      </c>
      <c r="AB208" s="46">
        <v>7.0955766000000003E-2</v>
      </c>
      <c r="AC208" s="46">
        <v>8.8682326000000006E-2</v>
      </c>
      <c r="AD208" s="48">
        <v>0.62042792300000005</v>
      </c>
      <c r="AE208" s="49">
        <v>29.683882560000001</v>
      </c>
      <c r="AF208" s="46">
        <v>0.65924583000000003</v>
      </c>
      <c r="AG208" s="46">
        <v>2.1780000000000001E-4</v>
      </c>
    </row>
    <row r="209" spans="1:33" x14ac:dyDescent="0.2">
      <c r="A209" s="1"/>
      <c r="C209" s="33"/>
      <c r="G209" s="3"/>
      <c r="I209" s="4"/>
      <c r="U209" s="43">
        <v>5</v>
      </c>
      <c r="V209" s="2" t="s">
        <v>140</v>
      </c>
      <c r="W209" s="2" t="s">
        <v>24</v>
      </c>
      <c r="X209" s="2" t="s">
        <v>373</v>
      </c>
      <c r="Y209" s="5" t="s">
        <v>925</v>
      </c>
      <c r="Z209" s="45" t="s">
        <v>926</v>
      </c>
      <c r="AA209" s="44" t="s">
        <v>927</v>
      </c>
      <c r="AB209" s="46">
        <v>8.3904119999999999E-2</v>
      </c>
      <c r="AC209" s="46">
        <v>0.22220588199999999</v>
      </c>
      <c r="AD209" s="48">
        <v>1.001942544</v>
      </c>
      <c r="AE209" s="49">
        <v>42.538346320000002</v>
      </c>
      <c r="AF209" s="46">
        <v>0.64963412899999995</v>
      </c>
      <c r="AG209" s="46">
        <v>1.8531900000000001E-4</v>
      </c>
    </row>
    <row r="210" spans="1:33" x14ac:dyDescent="0.2">
      <c r="A210" s="1"/>
      <c r="C210" s="33"/>
      <c r="G210" s="3"/>
      <c r="I210" s="4"/>
      <c r="U210" s="43">
        <v>2</v>
      </c>
      <c r="V210" s="2" t="s">
        <v>69</v>
      </c>
      <c r="W210" s="2" t="s">
        <v>24</v>
      </c>
      <c r="X210" s="2" t="s">
        <v>373</v>
      </c>
      <c r="Y210" s="5" t="s">
        <v>470</v>
      </c>
      <c r="Z210" s="45" t="s">
        <v>471</v>
      </c>
      <c r="AA210" s="44" t="s">
        <v>472</v>
      </c>
      <c r="AB210" s="46">
        <v>2.8743716999999998E-2</v>
      </c>
      <c r="AC210" s="46">
        <v>0.25097584099999998</v>
      </c>
      <c r="AD210" s="48">
        <v>0.74936882000000005</v>
      </c>
      <c r="AE210" s="49">
        <v>25.588855599999999</v>
      </c>
      <c r="AF210" s="46">
        <v>0.695017836</v>
      </c>
      <c r="AG210" s="46">
        <v>1.6175599999999999E-4</v>
      </c>
    </row>
    <row r="211" spans="1:33" x14ac:dyDescent="0.2">
      <c r="A211" s="13"/>
      <c r="B211" s="14"/>
      <c r="C211" s="34"/>
      <c r="D211" s="14"/>
      <c r="E211" s="14"/>
      <c r="F211" s="14"/>
      <c r="G211" s="15"/>
      <c r="H211" s="14"/>
      <c r="I211" s="169"/>
      <c r="J211" s="14"/>
      <c r="K211" s="14"/>
      <c r="L211" s="14"/>
      <c r="M211" s="14"/>
      <c r="N211" s="14"/>
      <c r="O211" s="14"/>
      <c r="P211" s="14"/>
      <c r="Q211" s="14"/>
      <c r="R211" s="14"/>
      <c r="S211" s="14"/>
      <c r="T211" s="15"/>
      <c r="U211" s="43">
        <v>3</v>
      </c>
      <c r="V211" s="2" t="s">
        <v>86</v>
      </c>
      <c r="W211" s="2" t="s">
        <v>24</v>
      </c>
      <c r="X211" s="2" t="s">
        <v>373</v>
      </c>
      <c r="Y211" s="5" t="s">
        <v>473</v>
      </c>
      <c r="Z211" s="45" t="s">
        <v>474</v>
      </c>
      <c r="AA211" s="44" t="s">
        <v>475</v>
      </c>
      <c r="AB211" s="46">
        <v>3.4748846E-2</v>
      </c>
      <c r="AC211" s="46">
        <v>0.265070423</v>
      </c>
      <c r="AD211" s="48">
        <v>0.85001394900000005</v>
      </c>
      <c r="AE211" s="49">
        <v>28.34751348</v>
      </c>
      <c r="AF211" s="46">
        <v>0.69724123199999999</v>
      </c>
      <c r="AG211" s="46">
        <v>1.57765E-4</v>
      </c>
    </row>
    <row r="212" spans="1:33" x14ac:dyDescent="0.2">
      <c r="A212" s="125" t="s">
        <v>264</v>
      </c>
      <c r="B212" s="20" t="s">
        <v>265</v>
      </c>
      <c r="C212" s="30">
        <v>380</v>
      </c>
      <c r="D212" s="20" t="s">
        <v>22</v>
      </c>
      <c r="E212" s="20" t="s">
        <v>23</v>
      </c>
      <c r="F212" s="20" t="s">
        <v>24</v>
      </c>
      <c r="G212" s="178" t="s">
        <v>25</v>
      </c>
      <c r="H212" s="20" t="s">
        <v>26</v>
      </c>
      <c r="I212" s="20">
        <v>10</v>
      </c>
      <c r="J212" s="20">
        <v>2</v>
      </c>
      <c r="K212" s="20" t="s">
        <v>206</v>
      </c>
      <c r="L212" s="20" t="s">
        <v>57</v>
      </c>
      <c r="M212" s="20"/>
      <c r="N212" s="20"/>
      <c r="O212" s="20"/>
      <c r="P212" s="20"/>
      <c r="Q212" s="20"/>
      <c r="R212" s="20"/>
      <c r="S212" s="20"/>
      <c r="T212" s="178" t="s">
        <v>30</v>
      </c>
      <c r="U212" s="35">
        <v>1</v>
      </c>
      <c r="V212" s="36" t="s">
        <v>206</v>
      </c>
      <c r="W212" s="36" t="s">
        <v>24</v>
      </c>
      <c r="X212" s="36" t="s">
        <v>373</v>
      </c>
      <c r="Y212" s="65">
        <v>12104134</v>
      </c>
      <c r="Z212" s="38">
        <v>8769518</v>
      </c>
      <c r="AA212" s="37">
        <v>3212</v>
      </c>
      <c r="AB212" s="39">
        <v>7.1453318000000002E-2</v>
      </c>
      <c r="AC212" s="39">
        <v>0.15828092199999999</v>
      </c>
      <c r="AD212" s="41">
        <v>0.23024904500000001</v>
      </c>
      <c r="AE212" s="42">
        <v>11.850928700000001</v>
      </c>
      <c r="AF212" s="39">
        <v>0.72450602399999997</v>
      </c>
      <c r="AG212" s="39">
        <v>2.6536399999999998E-4</v>
      </c>
    </row>
    <row r="213" spans="1:33" x14ac:dyDescent="0.2">
      <c r="A213" s="13"/>
      <c r="B213" s="14"/>
      <c r="C213" s="34"/>
      <c r="D213" s="14"/>
      <c r="E213" s="14"/>
      <c r="F213" s="14"/>
      <c r="G213" s="15"/>
      <c r="H213" s="14"/>
      <c r="I213" s="14"/>
      <c r="J213" s="14"/>
      <c r="K213" s="14"/>
      <c r="L213" s="14"/>
      <c r="M213" s="14"/>
      <c r="N213" s="14"/>
      <c r="O213" s="14"/>
      <c r="P213" s="14"/>
      <c r="Q213" s="14"/>
      <c r="R213" s="14"/>
      <c r="S213" s="14"/>
      <c r="T213" s="15"/>
      <c r="U213" s="50">
        <v>2</v>
      </c>
      <c r="V213" s="8" t="s">
        <v>57</v>
      </c>
      <c r="W213" s="8" t="s">
        <v>24</v>
      </c>
      <c r="X213" s="8" t="s">
        <v>373</v>
      </c>
      <c r="Y213" s="66">
        <v>53305824</v>
      </c>
      <c r="Z213" s="52">
        <v>34284645</v>
      </c>
      <c r="AA213" s="51">
        <v>10005</v>
      </c>
      <c r="AB213" s="53">
        <v>0.17610093099999999</v>
      </c>
      <c r="AC213" s="53">
        <v>0.39848494000000001</v>
      </c>
      <c r="AD213" s="55">
        <v>0.90579528300000001</v>
      </c>
      <c r="AE213" s="56">
        <v>38.17603355</v>
      </c>
      <c r="AF213" s="53">
        <v>0.64316883999999996</v>
      </c>
      <c r="AG213" s="53">
        <v>1.87691E-4</v>
      </c>
    </row>
    <row r="214" spans="1:33" x14ac:dyDescent="0.2">
      <c r="A214" s="106" t="s">
        <v>266</v>
      </c>
      <c r="B214" s="107" t="s">
        <v>267</v>
      </c>
      <c r="C214" s="175">
        <v>440</v>
      </c>
      <c r="D214" s="107" t="s">
        <v>22</v>
      </c>
      <c r="E214" s="107" t="s">
        <v>23</v>
      </c>
      <c r="F214" s="107" t="s">
        <v>24</v>
      </c>
      <c r="G214" s="176" t="s">
        <v>25</v>
      </c>
      <c r="H214" s="107" t="s">
        <v>26</v>
      </c>
      <c r="I214" s="134">
        <v>9</v>
      </c>
      <c r="J214" s="107">
        <v>1</v>
      </c>
      <c r="K214" s="107" t="s">
        <v>226</v>
      </c>
      <c r="L214" s="107"/>
      <c r="M214" s="107"/>
      <c r="N214" s="107"/>
      <c r="O214" s="107"/>
      <c r="P214" s="107"/>
      <c r="Q214" s="107"/>
      <c r="R214" s="107"/>
      <c r="S214" s="107"/>
      <c r="T214" s="176" t="s">
        <v>30</v>
      </c>
      <c r="U214" s="67">
        <v>1</v>
      </c>
      <c r="V214" s="68" t="s">
        <v>226</v>
      </c>
      <c r="W214" s="68" t="s">
        <v>24</v>
      </c>
      <c r="X214" s="68" t="s">
        <v>373</v>
      </c>
      <c r="Y214" s="69" t="s">
        <v>928</v>
      </c>
      <c r="Z214" s="70" t="s">
        <v>929</v>
      </c>
      <c r="AA214" s="71" t="s">
        <v>930</v>
      </c>
      <c r="AB214" s="72">
        <v>3.8878586999999999E-2</v>
      </c>
      <c r="AC214" s="72">
        <v>0.48196648199999997</v>
      </c>
      <c r="AD214" s="73">
        <v>2.4375088730000001</v>
      </c>
      <c r="AE214" s="74">
        <v>62.392031160000002</v>
      </c>
      <c r="AF214" s="72">
        <v>0.73771208899999996</v>
      </c>
      <c r="AG214" s="72">
        <v>1.2008E-4</v>
      </c>
    </row>
    <row r="215" spans="1:33" x14ac:dyDescent="0.2">
      <c r="A215" s="13" t="s">
        <v>268</v>
      </c>
      <c r="B215" s="14" t="s">
        <v>269</v>
      </c>
      <c r="C215" s="34">
        <v>495</v>
      </c>
      <c r="D215" s="14" t="s">
        <v>22</v>
      </c>
      <c r="E215" s="14" t="s">
        <v>23</v>
      </c>
      <c r="F215" s="14" t="s">
        <v>24</v>
      </c>
      <c r="G215" s="15" t="s">
        <v>25</v>
      </c>
      <c r="H215" s="14" t="s">
        <v>26</v>
      </c>
      <c r="I215" s="59">
        <v>12</v>
      </c>
      <c r="J215" s="14">
        <v>1</v>
      </c>
      <c r="K215" s="14" t="s">
        <v>270</v>
      </c>
      <c r="L215" s="14"/>
      <c r="M215" s="14"/>
      <c r="N215" s="14"/>
      <c r="O215" s="14"/>
      <c r="P215" s="14"/>
      <c r="Q215" s="14"/>
      <c r="R215" s="14"/>
      <c r="S215" s="14"/>
      <c r="T215" s="15" t="s">
        <v>30</v>
      </c>
      <c r="U215" s="67">
        <v>1</v>
      </c>
      <c r="V215" s="68" t="s">
        <v>270</v>
      </c>
      <c r="W215" s="68" t="s">
        <v>24</v>
      </c>
      <c r="X215" s="68" t="s">
        <v>373</v>
      </c>
      <c r="Y215" s="69" t="s">
        <v>931</v>
      </c>
      <c r="Z215" s="70" t="s">
        <v>932</v>
      </c>
      <c r="AA215" s="71" t="s">
        <v>933</v>
      </c>
      <c r="AB215" s="72">
        <v>9.6655959999999999E-2</v>
      </c>
      <c r="AC215" s="72">
        <v>0.58354383899999995</v>
      </c>
      <c r="AD215" s="73">
        <v>3.0707612709999998</v>
      </c>
      <c r="AE215" s="74">
        <v>76.896524869999993</v>
      </c>
      <c r="AF215" s="72">
        <v>0.70419918500000001</v>
      </c>
      <c r="AG215" s="72">
        <v>1.10802E-4</v>
      </c>
    </row>
    <row r="216" spans="1:33" x14ac:dyDescent="0.2">
      <c r="A216" s="106" t="s">
        <v>271</v>
      </c>
      <c r="B216" s="107" t="s">
        <v>272</v>
      </c>
      <c r="C216" s="175">
        <v>310</v>
      </c>
      <c r="D216" s="107" t="s">
        <v>22</v>
      </c>
      <c r="E216" s="107" t="s">
        <v>23</v>
      </c>
      <c r="F216" s="107" t="s">
        <v>24</v>
      </c>
      <c r="G216" s="176" t="s">
        <v>25</v>
      </c>
      <c r="H216" s="107" t="s">
        <v>26</v>
      </c>
      <c r="I216" s="134">
        <v>9</v>
      </c>
      <c r="J216" s="107">
        <v>1</v>
      </c>
      <c r="K216" s="107" t="s">
        <v>273</v>
      </c>
      <c r="L216" s="107"/>
      <c r="M216" s="107"/>
      <c r="N216" s="107"/>
      <c r="O216" s="107"/>
      <c r="P216" s="107"/>
      <c r="Q216" s="107"/>
      <c r="R216" s="107"/>
      <c r="S216" s="107"/>
      <c r="T216" s="176" t="s">
        <v>30</v>
      </c>
      <c r="U216" s="67">
        <v>1</v>
      </c>
      <c r="V216" s="68" t="s">
        <v>273</v>
      </c>
      <c r="W216" s="68" t="s">
        <v>24</v>
      </c>
      <c r="X216" s="68" t="s">
        <v>373</v>
      </c>
      <c r="Y216" s="69" t="s">
        <v>934</v>
      </c>
      <c r="Z216" s="70" t="s">
        <v>935</v>
      </c>
      <c r="AA216" s="71" t="s">
        <v>936</v>
      </c>
      <c r="AB216" s="72">
        <v>4.8972964000000001E-2</v>
      </c>
      <c r="AC216" s="72">
        <v>0.446028902</v>
      </c>
      <c r="AD216" s="73">
        <v>2.049019538</v>
      </c>
      <c r="AE216" s="74">
        <v>54.391791490000003</v>
      </c>
      <c r="AF216" s="72">
        <v>0.72743806099999997</v>
      </c>
      <c r="AG216" s="72">
        <v>1.2434699999999999E-4</v>
      </c>
    </row>
    <row r="217" spans="1:33" x14ac:dyDescent="0.2">
      <c r="A217" s="1" t="s">
        <v>276</v>
      </c>
      <c r="B217" s="2" t="s">
        <v>277</v>
      </c>
      <c r="C217" s="33">
        <v>308</v>
      </c>
      <c r="D217" s="2" t="s">
        <v>22</v>
      </c>
      <c r="E217" s="2" t="s">
        <v>23</v>
      </c>
      <c r="F217" s="2" t="s">
        <v>24</v>
      </c>
      <c r="G217" s="3" t="s">
        <v>25</v>
      </c>
      <c r="H217" s="2" t="s">
        <v>26</v>
      </c>
      <c r="I217" s="4" t="s">
        <v>278</v>
      </c>
      <c r="J217" s="2">
        <v>5</v>
      </c>
      <c r="K217" s="6" t="s">
        <v>52</v>
      </c>
      <c r="L217" s="6" t="s">
        <v>87</v>
      </c>
      <c r="M217" s="2" t="s">
        <v>107</v>
      </c>
      <c r="N217" s="2" t="s">
        <v>35</v>
      </c>
      <c r="O217" s="2" t="s">
        <v>69</v>
      </c>
      <c r="T217" s="2" t="s">
        <v>30</v>
      </c>
      <c r="U217" s="35">
        <v>1</v>
      </c>
      <c r="V217" s="36" t="s">
        <v>87</v>
      </c>
      <c r="W217" s="36" t="s">
        <v>24</v>
      </c>
      <c r="X217" s="36" t="s">
        <v>373</v>
      </c>
      <c r="Y217" s="65" t="s">
        <v>937</v>
      </c>
      <c r="Z217" s="38" t="s">
        <v>938</v>
      </c>
      <c r="AA217" s="37" t="s">
        <v>939</v>
      </c>
      <c r="AB217" s="39">
        <v>4.0799182000000003E-2</v>
      </c>
      <c r="AC217" s="39">
        <v>0.31219774300000003</v>
      </c>
      <c r="AD217" s="41">
        <v>1.122357437</v>
      </c>
      <c r="AE217" s="42">
        <v>29.309886160000001</v>
      </c>
      <c r="AF217" s="39">
        <v>0.71797620299999998</v>
      </c>
      <c r="AG217" s="39">
        <v>1.2374799999999999E-4</v>
      </c>
    </row>
    <row r="218" spans="1:33" x14ac:dyDescent="0.2">
      <c r="A218" s="1"/>
      <c r="C218" s="33"/>
      <c r="G218" s="3"/>
      <c r="I218" s="4"/>
      <c r="K218" s="6"/>
      <c r="L218" s="6"/>
      <c r="U218" s="43">
        <v>2</v>
      </c>
      <c r="V218" s="2" t="s">
        <v>107</v>
      </c>
      <c r="W218" s="2" t="s">
        <v>24</v>
      </c>
      <c r="X218" s="2" t="s">
        <v>373</v>
      </c>
      <c r="Y218" s="5" t="s">
        <v>940</v>
      </c>
      <c r="Z218" s="45" t="s">
        <v>941</v>
      </c>
      <c r="AA218" s="44" t="s">
        <v>641</v>
      </c>
      <c r="AB218" s="46">
        <v>4.4110470999999998E-2</v>
      </c>
      <c r="AC218" s="46">
        <v>0.35292609400000002</v>
      </c>
      <c r="AD218" s="48">
        <v>1.313634865</v>
      </c>
      <c r="AE218" s="49">
        <v>33.342180949999999</v>
      </c>
      <c r="AF218" s="46">
        <v>0.71552878900000005</v>
      </c>
      <c r="AG218" s="46">
        <v>1.18719E-4</v>
      </c>
    </row>
    <row r="219" spans="1:33" x14ac:dyDescent="0.2">
      <c r="A219" s="1"/>
      <c r="C219" s="33"/>
      <c r="G219" s="3"/>
      <c r="I219" s="4"/>
      <c r="K219" s="6"/>
      <c r="L219" s="6"/>
      <c r="U219" s="43">
        <v>3</v>
      </c>
      <c r="V219" s="2" t="s">
        <v>69</v>
      </c>
      <c r="W219" s="2" t="s">
        <v>24</v>
      </c>
      <c r="X219" s="2" t="s">
        <v>373</v>
      </c>
      <c r="Y219" s="5" t="s">
        <v>942</v>
      </c>
      <c r="Z219" s="45" t="s">
        <v>943</v>
      </c>
      <c r="AA219" s="44" t="s">
        <v>944</v>
      </c>
      <c r="AB219" s="46">
        <v>3.8611661999999998E-2</v>
      </c>
      <c r="AC219" s="46">
        <v>0.290797957</v>
      </c>
      <c r="AD219" s="48">
        <v>1.001187184</v>
      </c>
      <c r="AE219" s="49">
        <v>27.607669260000002</v>
      </c>
      <c r="AF219" s="46">
        <v>0.71747897999999999</v>
      </c>
      <c r="AG219" s="46">
        <v>1.31128E-4</v>
      </c>
    </row>
    <row r="220" spans="1:33" x14ac:dyDescent="0.2">
      <c r="A220" s="1"/>
      <c r="C220" s="33"/>
      <c r="G220" s="3"/>
      <c r="I220" s="4"/>
      <c r="K220" s="6"/>
      <c r="L220" s="6"/>
      <c r="U220" s="43">
        <v>4</v>
      </c>
      <c r="V220" s="2" t="s">
        <v>35</v>
      </c>
      <c r="W220" s="2" t="s">
        <v>24</v>
      </c>
      <c r="X220" s="2" t="s">
        <v>373</v>
      </c>
      <c r="Y220" s="5" t="s">
        <v>945</v>
      </c>
      <c r="Z220" s="45" t="s">
        <v>946</v>
      </c>
      <c r="AA220" s="44" t="s">
        <v>947</v>
      </c>
      <c r="AB220" s="46">
        <v>3.8204724000000002E-2</v>
      </c>
      <c r="AC220" s="46">
        <v>0.29442009400000002</v>
      </c>
      <c r="AD220" s="48">
        <v>1.0033162309999999</v>
      </c>
      <c r="AE220" s="49">
        <v>27.240563210000001</v>
      </c>
      <c r="AF220" s="46">
        <v>0.72036809899999998</v>
      </c>
      <c r="AG220" s="46">
        <v>1.29598E-4</v>
      </c>
    </row>
    <row r="221" spans="1:33" x14ac:dyDescent="0.2">
      <c r="A221" s="13"/>
      <c r="B221" s="14"/>
      <c r="C221" s="34"/>
      <c r="D221" s="14"/>
      <c r="E221" s="14"/>
      <c r="F221" s="14"/>
      <c r="G221" s="15"/>
      <c r="H221" s="14"/>
      <c r="I221" s="169"/>
      <c r="J221" s="14"/>
      <c r="K221" s="181"/>
      <c r="L221" s="181"/>
      <c r="M221" s="14"/>
      <c r="N221" s="14"/>
      <c r="O221" s="14"/>
      <c r="P221" s="14"/>
      <c r="Q221" s="14"/>
      <c r="R221" s="14"/>
      <c r="S221" s="14"/>
      <c r="T221" s="15"/>
      <c r="U221" s="50">
        <v>5</v>
      </c>
      <c r="V221" s="8" t="s">
        <v>52</v>
      </c>
      <c r="W221" s="8" t="s">
        <v>24</v>
      </c>
      <c r="X221" s="8" t="s">
        <v>373</v>
      </c>
      <c r="Y221" s="66" t="s">
        <v>948</v>
      </c>
      <c r="Z221" s="52" t="s">
        <v>949</v>
      </c>
      <c r="AA221" s="51" t="s">
        <v>950</v>
      </c>
      <c r="AB221" s="53">
        <v>3.9227624000000003E-2</v>
      </c>
      <c r="AC221" s="53">
        <v>0.31372999499999998</v>
      </c>
      <c r="AD221" s="55">
        <v>1.116293196</v>
      </c>
      <c r="AE221" s="56">
        <v>29.46716597</v>
      </c>
      <c r="AF221" s="53">
        <v>0.72310033399999996</v>
      </c>
      <c r="AG221" s="53">
        <v>1.25344E-4</v>
      </c>
    </row>
    <row r="222" spans="1:33" x14ac:dyDescent="0.2">
      <c r="A222" s="1" t="s">
        <v>279</v>
      </c>
      <c r="B222" s="2" t="s">
        <v>280</v>
      </c>
      <c r="C222" s="33">
        <v>467</v>
      </c>
      <c r="D222" s="2" t="s">
        <v>22</v>
      </c>
      <c r="E222" s="2" t="s">
        <v>23</v>
      </c>
      <c r="F222" s="2" t="s">
        <v>24</v>
      </c>
      <c r="G222" s="3" t="s">
        <v>25</v>
      </c>
      <c r="H222" s="2" t="s">
        <v>26</v>
      </c>
      <c r="I222" s="4" t="s">
        <v>281</v>
      </c>
      <c r="J222" s="2">
        <v>5</v>
      </c>
      <c r="K222" s="2" t="s">
        <v>62</v>
      </c>
      <c r="L222" s="2" t="s">
        <v>36</v>
      </c>
      <c r="M222" s="2" t="s">
        <v>156</v>
      </c>
      <c r="N222" s="2" t="s">
        <v>70</v>
      </c>
      <c r="O222" s="2" t="s">
        <v>127</v>
      </c>
      <c r="T222" s="2" t="s">
        <v>30</v>
      </c>
      <c r="U222" s="43">
        <v>1</v>
      </c>
      <c r="V222" s="2" t="s">
        <v>36</v>
      </c>
      <c r="W222" s="2" t="s">
        <v>24</v>
      </c>
      <c r="X222" s="2" t="s">
        <v>373</v>
      </c>
      <c r="Y222" s="5" t="s">
        <v>951</v>
      </c>
      <c r="Z222" s="45" t="s">
        <v>952</v>
      </c>
      <c r="AA222" s="44" t="s">
        <v>953</v>
      </c>
      <c r="AB222" s="46">
        <v>2.9713982E-2</v>
      </c>
      <c r="AC222" s="46">
        <v>0.36938882699999998</v>
      </c>
      <c r="AD222" s="48">
        <v>0.77741902900000004</v>
      </c>
      <c r="AE222" s="49">
        <v>35.994787299999999</v>
      </c>
      <c r="AF222" s="46">
        <v>0.73763701500000001</v>
      </c>
      <c r="AG222" s="46">
        <v>2.3251500000000001E-4</v>
      </c>
    </row>
    <row r="223" spans="1:33" x14ac:dyDescent="0.2">
      <c r="A223" s="1"/>
      <c r="C223" s="33"/>
      <c r="G223" s="3"/>
      <c r="I223" s="4"/>
      <c r="U223" s="43">
        <v>2</v>
      </c>
      <c r="V223" s="2" t="s">
        <v>156</v>
      </c>
      <c r="W223" s="2" t="s">
        <v>24</v>
      </c>
      <c r="X223" s="2" t="s">
        <v>373</v>
      </c>
      <c r="Y223" s="5" t="s">
        <v>954</v>
      </c>
      <c r="Z223" s="45" t="s">
        <v>955</v>
      </c>
      <c r="AA223" s="44" t="s">
        <v>956</v>
      </c>
      <c r="AB223" s="46">
        <v>3.2094089999999999E-2</v>
      </c>
      <c r="AC223" s="46">
        <v>0.41155006300000002</v>
      </c>
      <c r="AD223" s="48">
        <v>0.93500672699999998</v>
      </c>
      <c r="AE223" s="49">
        <v>40.674535650000003</v>
      </c>
      <c r="AF223" s="46">
        <v>0.73522792999999997</v>
      </c>
      <c r="AG223" s="46">
        <v>2.15596E-4</v>
      </c>
    </row>
    <row r="224" spans="1:33" x14ac:dyDescent="0.2">
      <c r="A224" s="1"/>
      <c r="C224" s="33"/>
      <c r="G224" s="3"/>
      <c r="I224" s="4"/>
      <c r="U224" s="43">
        <v>3</v>
      </c>
      <c r="V224" s="2" t="s">
        <v>70</v>
      </c>
      <c r="W224" s="2" t="s">
        <v>24</v>
      </c>
      <c r="X224" s="2" t="s">
        <v>373</v>
      </c>
      <c r="Y224" s="5" t="s">
        <v>957</v>
      </c>
      <c r="Z224" s="45" t="s">
        <v>958</v>
      </c>
      <c r="AA224" s="44" t="s">
        <v>959</v>
      </c>
      <c r="AB224" s="46">
        <v>3.0687882E-2</v>
      </c>
      <c r="AC224" s="46">
        <v>0.37943832100000002</v>
      </c>
      <c r="AD224" s="48">
        <v>0.82694419200000002</v>
      </c>
      <c r="AE224" s="49">
        <v>37.294367889999997</v>
      </c>
      <c r="AF224" s="46">
        <v>0.736749565</v>
      </c>
      <c r="AG224" s="46">
        <v>2.2629200000000001E-4</v>
      </c>
    </row>
    <row r="225" spans="1:33" x14ac:dyDescent="0.2">
      <c r="A225" s="1"/>
      <c r="C225" s="33"/>
      <c r="G225" s="3"/>
      <c r="I225" s="4"/>
      <c r="U225" s="43">
        <v>4</v>
      </c>
      <c r="V225" s="2" t="s">
        <v>127</v>
      </c>
      <c r="W225" s="2" t="s">
        <v>24</v>
      </c>
      <c r="X225" s="2" t="s">
        <v>373</v>
      </c>
      <c r="Y225" s="5" t="s">
        <v>960</v>
      </c>
      <c r="Z225" s="45" t="s">
        <v>961</v>
      </c>
      <c r="AA225" s="44" t="s">
        <v>962</v>
      </c>
      <c r="AB225" s="46">
        <v>3.7432583999999998E-2</v>
      </c>
      <c r="AC225" s="46">
        <v>0.46276227800000003</v>
      </c>
      <c r="AD225" s="48">
        <v>1.169365964</v>
      </c>
      <c r="AE225" s="49">
        <v>47.728819649999998</v>
      </c>
      <c r="AF225" s="46">
        <v>0.73317449499999998</v>
      </c>
      <c r="AG225" s="46">
        <v>1.9914100000000001E-4</v>
      </c>
    </row>
    <row r="226" spans="1:33" x14ac:dyDescent="0.2">
      <c r="A226" s="13"/>
      <c r="B226" s="14"/>
      <c r="C226" s="34"/>
      <c r="D226" s="14"/>
      <c r="E226" s="14"/>
      <c r="F226" s="14"/>
      <c r="G226" s="15"/>
      <c r="H226" s="14"/>
      <c r="I226" s="169"/>
      <c r="J226" s="14"/>
      <c r="K226" s="14"/>
      <c r="L226" s="14"/>
      <c r="M226" s="14"/>
      <c r="N226" s="14"/>
      <c r="O226" s="14"/>
      <c r="P226" s="14"/>
      <c r="Q226" s="14"/>
      <c r="R226" s="14"/>
      <c r="S226" s="14"/>
      <c r="T226" s="14"/>
      <c r="U226" s="140">
        <v>5</v>
      </c>
      <c r="V226" s="2" t="s">
        <v>62</v>
      </c>
      <c r="W226" s="2" t="s">
        <v>24</v>
      </c>
      <c r="X226" s="2" t="s">
        <v>373</v>
      </c>
      <c r="Y226" s="5" t="s">
        <v>963</v>
      </c>
      <c r="Z226" s="45" t="s">
        <v>964</v>
      </c>
      <c r="AA226" s="44" t="s">
        <v>965</v>
      </c>
      <c r="AB226" s="46">
        <v>3.2781294000000002E-2</v>
      </c>
      <c r="AC226" s="46">
        <v>0.44766460299999999</v>
      </c>
      <c r="AD226" s="48">
        <v>1.0682416429999999</v>
      </c>
      <c r="AE226" s="49">
        <v>46.89652487</v>
      </c>
      <c r="AF226" s="46">
        <v>0.73223548999999999</v>
      </c>
      <c r="AG226" s="46">
        <v>2.12537E-4</v>
      </c>
    </row>
    <row r="227" spans="1:33" x14ac:dyDescent="0.2">
      <c r="A227" s="1" t="s">
        <v>282</v>
      </c>
      <c r="B227" s="2" t="s">
        <v>283</v>
      </c>
      <c r="C227" s="33">
        <v>473</v>
      </c>
      <c r="D227" s="2" t="s">
        <v>22</v>
      </c>
      <c r="E227" s="2" t="s">
        <v>23</v>
      </c>
      <c r="F227" s="2" t="s">
        <v>24</v>
      </c>
      <c r="G227" s="3" t="s">
        <v>25</v>
      </c>
      <c r="H227" s="2" t="s">
        <v>26</v>
      </c>
      <c r="I227" s="4" t="s">
        <v>278</v>
      </c>
      <c r="J227" s="2">
        <v>5</v>
      </c>
      <c r="K227" s="2" t="s">
        <v>92</v>
      </c>
      <c r="L227" s="2" t="s">
        <v>132</v>
      </c>
      <c r="M227" s="2" t="s">
        <v>140</v>
      </c>
      <c r="N227" s="2" t="s">
        <v>40</v>
      </c>
      <c r="O227" s="2" t="s">
        <v>148</v>
      </c>
      <c r="T227" s="2" t="s">
        <v>30</v>
      </c>
      <c r="U227" s="43">
        <v>1</v>
      </c>
      <c r="V227" s="36" t="s">
        <v>132</v>
      </c>
      <c r="W227" s="36" t="s">
        <v>24</v>
      </c>
      <c r="X227" s="36" t="s">
        <v>373</v>
      </c>
      <c r="Y227" s="65" t="s">
        <v>966</v>
      </c>
      <c r="Z227" s="38" t="s">
        <v>967</v>
      </c>
      <c r="AA227" s="37" t="s">
        <v>968</v>
      </c>
      <c r="AB227" s="39">
        <v>4.5883235000000001E-2</v>
      </c>
      <c r="AC227" s="39">
        <v>0.34345442500000001</v>
      </c>
      <c r="AD227" s="41">
        <v>1.425945485</v>
      </c>
      <c r="AE227" s="42">
        <v>37.689634509999998</v>
      </c>
      <c r="AF227" s="39">
        <v>0.71037927599999995</v>
      </c>
      <c r="AG227" s="39">
        <v>1.22275E-4</v>
      </c>
    </row>
    <row r="228" spans="1:33" x14ac:dyDescent="0.2">
      <c r="A228" s="1"/>
      <c r="C228" s="33"/>
      <c r="G228" s="3"/>
      <c r="I228" s="4"/>
      <c r="U228" s="43">
        <v>2</v>
      </c>
      <c r="V228" s="2" t="s">
        <v>140</v>
      </c>
      <c r="W228" s="2" t="s">
        <v>24</v>
      </c>
      <c r="X228" s="2" t="s">
        <v>373</v>
      </c>
      <c r="Y228" s="5" t="s">
        <v>969</v>
      </c>
      <c r="Z228" s="45" t="s">
        <v>970</v>
      </c>
      <c r="AA228" s="44" t="s">
        <v>971</v>
      </c>
      <c r="AB228" s="46">
        <v>5.90363E-2</v>
      </c>
      <c r="AC228" s="46">
        <v>0.43269608999999998</v>
      </c>
      <c r="AD228" s="48">
        <v>2.225877638</v>
      </c>
      <c r="AE228" s="49">
        <v>52.860515280000001</v>
      </c>
      <c r="AF228" s="46">
        <v>0.69596988299999996</v>
      </c>
      <c r="AG228" s="46">
        <v>1.04759E-4</v>
      </c>
    </row>
    <row r="229" spans="1:33" x14ac:dyDescent="0.2">
      <c r="A229" s="1"/>
      <c r="C229" s="33"/>
      <c r="G229" s="3"/>
      <c r="I229" s="4"/>
      <c r="U229" s="43">
        <v>3</v>
      </c>
      <c r="V229" s="2" t="s">
        <v>40</v>
      </c>
      <c r="W229" s="2" t="s">
        <v>24</v>
      </c>
      <c r="X229" s="2" t="s">
        <v>373</v>
      </c>
      <c r="Y229" s="5" t="s">
        <v>972</v>
      </c>
      <c r="Z229" s="45" t="s">
        <v>973</v>
      </c>
      <c r="AA229" s="44" t="s">
        <v>974</v>
      </c>
      <c r="AB229" s="46">
        <v>4.1003029000000003E-2</v>
      </c>
      <c r="AC229" s="46">
        <v>0.29511137700000001</v>
      </c>
      <c r="AD229" s="48">
        <v>1.162793811</v>
      </c>
      <c r="AE229" s="49">
        <v>31.893049730000001</v>
      </c>
      <c r="AF229" s="46">
        <v>0.713854655</v>
      </c>
      <c r="AG229" s="46">
        <v>1.30245E-4</v>
      </c>
    </row>
    <row r="230" spans="1:33" x14ac:dyDescent="0.2">
      <c r="A230" s="1"/>
      <c r="C230" s="33"/>
      <c r="G230" s="3"/>
      <c r="I230" s="4"/>
      <c r="U230" s="43">
        <v>4</v>
      </c>
      <c r="V230" s="2" t="s">
        <v>148</v>
      </c>
      <c r="W230" s="2" t="s">
        <v>24</v>
      </c>
      <c r="X230" s="2" t="s">
        <v>373</v>
      </c>
      <c r="Y230" s="5" t="s">
        <v>975</v>
      </c>
      <c r="Z230" s="45" t="s">
        <v>976</v>
      </c>
      <c r="AA230" s="44" t="s">
        <v>977</v>
      </c>
      <c r="AB230" s="46">
        <v>3.9394760000000001E-2</v>
      </c>
      <c r="AC230" s="46">
        <v>0.29439288800000002</v>
      </c>
      <c r="AD230" s="48">
        <v>1.102332375</v>
      </c>
      <c r="AE230" s="49">
        <v>30.835110839999999</v>
      </c>
      <c r="AF230" s="46">
        <v>0.71343604299999996</v>
      </c>
      <c r="AG230" s="46">
        <v>1.3171100000000001E-4</v>
      </c>
    </row>
    <row r="231" spans="1:33" x14ac:dyDescent="0.2">
      <c r="A231" s="13"/>
      <c r="B231" s="14"/>
      <c r="C231" s="34"/>
      <c r="D231" s="14"/>
      <c r="E231" s="14"/>
      <c r="F231" s="14"/>
      <c r="G231" s="15"/>
      <c r="H231" s="14"/>
      <c r="I231" s="169"/>
      <c r="J231" s="14"/>
      <c r="K231" s="14"/>
      <c r="L231" s="14"/>
      <c r="M231" s="14"/>
      <c r="N231" s="14"/>
      <c r="O231" s="14"/>
      <c r="P231" s="14"/>
      <c r="Q231" s="14"/>
      <c r="R231" s="14"/>
      <c r="S231" s="14"/>
      <c r="T231" s="15"/>
      <c r="U231" s="50">
        <v>5</v>
      </c>
      <c r="V231" s="8" t="s">
        <v>92</v>
      </c>
      <c r="W231" s="8" t="s">
        <v>24</v>
      </c>
      <c r="X231" s="8" t="s">
        <v>373</v>
      </c>
      <c r="Y231" s="66" t="s">
        <v>978</v>
      </c>
      <c r="Z231" s="52" t="s">
        <v>979</v>
      </c>
      <c r="AA231" s="51" t="s">
        <v>980</v>
      </c>
      <c r="AB231" s="53">
        <v>4.6620012000000002E-2</v>
      </c>
      <c r="AC231" s="53">
        <v>0.402708968</v>
      </c>
      <c r="AD231" s="55">
        <v>1.9022103130000001</v>
      </c>
      <c r="AE231" s="56">
        <v>46.259376869999997</v>
      </c>
      <c r="AF231" s="53">
        <v>0.706859974</v>
      </c>
      <c r="AG231" s="53">
        <v>1.1026099999999999E-4</v>
      </c>
    </row>
    <row r="232" spans="1:33" x14ac:dyDescent="0.2">
      <c r="A232" s="1" t="s">
        <v>284</v>
      </c>
      <c r="B232" s="2" t="s">
        <v>285</v>
      </c>
      <c r="C232" s="33">
        <v>311</v>
      </c>
      <c r="D232" s="2" t="s">
        <v>22</v>
      </c>
      <c r="E232" s="2" t="s">
        <v>23</v>
      </c>
      <c r="F232" s="2" t="s">
        <v>24</v>
      </c>
      <c r="G232" s="3" t="s">
        <v>25</v>
      </c>
      <c r="H232" s="2" t="s">
        <v>26</v>
      </c>
      <c r="I232" s="4" t="s">
        <v>278</v>
      </c>
      <c r="J232" s="2">
        <v>5</v>
      </c>
      <c r="K232" s="2" t="s">
        <v>35</v>
      </c>
      <c r="L232" s="2" t="s">
        <v>52</v>
      </c>
      <c r="M232" s="2" t="s">
        <v>42</v>
      </c>
      <c r="N232" s="2" t="s">
        <v>41</v>
      </c>
      <c r="O232" s="2" t="s">
        <v>62</v>
      </c>
      <c r="T232" s="2" t="s">
        <v>30</v>
      </c>
      <c r="U232" s="43">
        <v>1</v>
      </c>
      <c r="V232" s="2" t="s">
        <v>52</v>
      </c>
      <c r="W232" s="2" t="s">
        <v>24</v>
      </c>
      <c r="X232" s="2" t="s">
        <v>373</v>
      </c>
      <c r="Y232" s="5" t="s">
        <v>981</v>
      </c>
      <c r="Z232" s="45" t="s">
        <v>982</v>
      </c>
      <c r="AA232" s="44" t="s">
        <v>983</v>
      </c>
      <c r="AB232" s="46">
        <v>4.3939113000000002E-2</v>
      </c>
      <c r="AC232" s="46">
        <v>0.225468431</v>
      </c>
      <c r="AD232" s="48">
        <v>3.0916262200000002</v>
      </c>
      <c r="AE232" s="49">
        <v>124.45811860000001</v>
      </c>
      <c r="AF232" s="46">
        <v>0.70529606199999995</v>
      </c>
      <c r="AG232" s="46">
        <v>1.9139100000000001E-4</v>
      </c>
    </row>
    <row r="233" spans="1:33" x14ac:dyDescent="0.2">
      <c r="A233" s="1"/>
      <c r="C233" s="33"/>
      <c r="G233" s="3"/>
      <c r="I233" s="4"/>
      <c r="U233" s="43">
        <v>2</v>
      </c>
      <c r="V233" s="2" t="s">
        <v>42</v>
      </c>
      <c r="W233" s="2" t="s">
        <v>24</v>
      </c>
      <c r="X233" s="2" t="s">
        <v>373</v>
      </c>
      <c r="Y233" s="5" t="s">
        <v>984</v>
      </c>
      <c r="Z233" s="45" t="s">
        <v>985</v>
      </c>
      <c r="AA233" s="44" t="s">
        <v>986</v>
      </c>
      <c r="AB233" s="46">
        <v>3.1688827000000003E-2</v>
      </c>
      <c r="AC233" s="46">
        <v>0.134099252</v>
      </c>
      <c r="AD233" s="48">
        <v>1.4666515369999999</v>
      </c>
      <c r="AE233" s="49">
        <v>64.365727980000003</v>
      </c>
      <c r="AF233" s="46">
        <v>0.70977667300000002</v>
      </c>
      <c r="AG233" s="46">
        <v>2.1348299999999999E-4</v>
      </c>
    </row>
    <row r="234" spans="1:33" x14ac:dyDescent="0.2">
      <c r="A234" s="1"/>
      <c r="C234" s="33"/>
      <c r="G234" s="3"/>
      <c r="I234" s="4"/>
      <c r="U234" s="43">
        <v>3</v>
      </c>
      <c r="V234" s="2" t="s">
        <v>41</v>
      </c>
      <c r="W234" s="2" t="s">
        <v>24</v>
      </c>
      <c r="X234" s="2" t="s">
        <v>373</v>
      </c>
      <c r="Y234" s="5" t="s">
        <v>987</v>
      </c>
      <c r="Z234" s="45" t="s">
        <v>988</v>
      </c>
      <c r="AA234" s="44" t="s">
        <v>989</v>
      </c>
      <c r="AB234" s="46">
        <v>3.4569042000000001E-2</v>
      </c>
      <c r="AC234" s="46">
        <v>0.152066116</v>
      </c>
      <c r="AD234" s="48">
        <v>1.6841141550000001</v>
      </c>
      <c r="AE234" s="49">
        <v>72.339304970000001</v>
      </c>
      <c r="AF234" s="46">
        <v>0.712662829</v>
      </c>
      <c r="AG234" s="46">
        <v>2.1023099999999999E-4</v>
      </c>
    </row>
    <row r="235" spans="1:33" x14ac:dyDescent="0.2">
      <c r="A235" s="1"/>
      <c r="C235" s="33"/>
      <c r="G235" s="3"/>
      <c r="I235" s="4"/>
      <c r="U235" s="43">
        <v>4</v>
      </c>
      <c r="V235" s="2" t="s">
        <v>62</v>
      </c>
      <c r="W235" s="2" t="s">
        <v>24</v>
      </c>
      <c r="X235" s="2" t="s">
        <v>373</v>
      </c>
      <c r="Y235" s="5" t="s">
        <v>990</v>
      </c>
      <c r="Z235" s="45" t="s">
        <v>991</v>
      </c>
      <c r="AA235" s="44" t="s">
        <v>992</v>
      </c>
      <c r="AB235" s="46">
        <v>3.1268246999999999E-2</v>
      </c>
      <c r="AC235" s="46">
        <v>0.122272216</v>
      </c>
      <c r="AD235" s="48">
        <v>1.2395914429999999</v>
      </c>
      <c r="AE235" s="49">
        <v>54.742660280000003</v>
      </c>
      <c r="AF235" s="46">
        <v>0.71032236999999998</v>
      </c>
      <c r="AG235" s="46">
        <v>2.1750799999999999E-4</v>
      </c>
    </row>
    <row r="236" spans="1:33" x14ac:dyDescent="0.2">
      <c r="A236" s="13"/>
      <c r="B236" s="14"/>
      <c r="C236" s="34"/>
      <c r="D236" s="14"/>
      <c r="E236" s="14"/>
      <c r="F236" s="14"/>
      <c r="G236" s="15"/>
      <c r="H236" s="14"/>
      <c r="I236" s="169"/>
      <c r="J236" s="14"/>
      <c r="K236" s="14"/>
      <c r="L236" s="14"/>
      <c r="M236" s="14"/>
      <c r="N236" s="14"/>
      <c r="O236" s="14"/>
      <c r="P236" s="14"/>
      <c r="Q236" s="14"/>
      <c r="R236" s="14"/>
      <c r="S236" s="14"/>
      <c r="T236" s="15"/>
      <c r="U236" s="43">
        <v>5</v>
      </c>
      <c r="V236" s="2" t="s">
        <v>35</v>
      </c>
      <c r="W236" s="2" t="s">
        <v>24</v>
      </c>
      <c r="X236" s="2" t="s">
        <v>373</v>
      </c>
      <c r="Y236" s="5" t="s">
        <v>993</v>
      </c>
      <c r="Z236" s="45" t="s">
        <v>994</v>
      </c>
      <c r="AA236" s="44" t="s">
        <v>995</v>
      </c>
      <c r="AB236" s="46">
        <v>1.0340425E-2</v>
      </c>
      <c r="AC236" s="46">
        <v>5.715841E-2</v>
      </c>
      <c r="AD236" s="48">
        <v>0.13620333700000001</v>
      </c>
      <c r="AE236" s="49">
        <v>6.0886758539999999</v>
      </c>
      <c r="AF236" s="46">
        <v>0.72203484900000003</v>
      </c>
      <c r="AG236" s="46">
        <v>2.2489999999999999E-4</v>
      </c>
    </row>
    <row r="237" spans="1:33" x14ac:dyDescent="0.2">
      <c r="A237" s="1" t="s">
        <v>286</v>
      </c>
      <c r="B237" s="2" t="s">
        <v>287</v>
      </c>
      <c r="C237" s="33">
        <v>472</v>
      </c>
      <c r="D237" s="2" t="s">
        <v>22</v>
      </c>
      <c r="E237" s="2" t="s">
        <v>23</v>
      </c>
      <c r="F237" s="2" t="s">
        <v>24</v>
      </c>
      <c r="G237" s="3" t="s">
        <v>25</v>
      </c>
      <c r="H237" s="2" t="s">
        <v>26</v>
      </c>
      <c r="I237" s="4" t="s">
        <v>288</v>
      </c>
      <c r="J237" s="2">
        <v>5</v>
      </c>
      <c r="K237" s="2" t="s">
        <v>36</v>
      </c>
      <c r="L237" s="2" t="s">
        <v>92</v>
      </c>
      <c r="M237" s="2" t="s">
        <v>87</v>
      </c>
      <c r="N237" s="2" t="s">
        <v>107</v>
      </c>
      <c r="O237" s="2" t="s">
        <v>69</v>
      </c>
      <c r="T237" s="2" t="s">
        <v>30</v>
      </c>
      <c r="U237" s="35">
        <v>1</v>
      </c>
      <c r="V237" s="36" t="s">
        <v>92</v>
      </c>
      <c r="W237" s="36" t="s">
        <v>24</v>
      </c>
      <c r="X237" s="36" t="s">
        <v>373</v>
      </c>
      <c r="Y237" s="65" t="s">
        <v>996</v>
      </c>
      <c r="Z237" s="38" t="s">
        <v>997</v>
      </c>
      <c r="AA237" s="37" t="s">
        <v>998</v>
      </c>
      <c r="AB237" s="39">
        <v>2.7120364000000001E-2</v>
      </c>
      <c r="AC237" s="39">
        <v>0.117885921</v>
      </c>
      <c r="AD237" s="41">
        <v>1.049045424</v>
      </c>
      <c r="AE237" s="42">
        <v>48.028939479999998</v>
      </c>
      <c r="AF237" s="39">
        <v>0.72927612900000005</v>
      </c>
      <c r="AG237" s="39">
        <v>2.2788300000000001E-4</v>
      </c>
    </row>
    <row r="238" spans="1:33" x14ac:dyDescent="0.2">
      <c r="A238" s="1"/>
      <c r="C238" s="33"/>
      <c r="G238" s="3"/>
      <c r="I238" s="4"/>
      <c r="U238" s="43">
        <v>2</v>
      </c>
      <c r="V238" s="2" t="s">
        <v>87</v>
      </c>
      <c r="W238" s="2" t="s">
        <v>24</v>
      </c>
      <c r="X238" s="2" t="s">
        <v>373</v>
      </c>
      <c r="Y238" s="5" t="s">
        <v>999</v>
      </c>
      <c r="Z238" s="45" t="s">
        <v>1000</v>
      </c>
      <c r="AA238" s="44" t="s">
        <v>1001</v>
      </c>
      <c r="AB238" s="46">
        <v>2.8045687999999999E-2</v>
      </c>
      <c r="AC238" s="46">
        <v>0.14218102899999999</v>
      </c>
      <c r="AD238" s="48">
        <v>1.339849622</v>
      </c>
      <c r="AE238" s="49">
        <v>60.64451768</v>
      </c>
      <c r="AF238" s="46">
        <v>0.72679582899999995</v>
      </c>
      <c r="AG238" s="46">
        <v>2.2281300000000001E-4</v>
      </c>
    </row>
    <row r="239" spans="1:33" x14ac:dyDescent="0.2">
      <c r="A239" s="1"/>
      <c r="C239" s="33"/>
      <c r="G239" s="3"/>
      <c r="I239" s="4"/>
      <c r="U239" s="43">
        <v>3</v>
      </c>
      <c r="V239" s="2" t="s">
        <v>107</v>
      </c>
      <c r="W239" s="2" t="s">
        <v>24</v>
      </c>
      <c r="X239" s="2" t="s">
        <v>373</v>
      </c>
      <c r="Y239" s="5" t="s">
        <v>1002</v>
      </c>
      <c r="Z239" s="45" t="s">
        <v>1003</v>
      </c>
      <c r="AA239" s="44" t="s">
        <v>1004</v>
      </c>
      <c r="AB239" s="46">
        <v>2.7872022E-2</v>
      </c>
      <c r="AC239" s="46">
        <v>0.12781091</v>
      </c>
      <c r="AD239" s="48">
        <v>1.2432288659999999</v>
      </c>
      <c r="AE239" s="49">
        <v>55.456321150000001</v>
      </c>
      <c r="AF239" s="46">
        <v>0.72729048100000004</v>
      </c>
      <c r="AG239" s="46">
        <v>2.2048700000000001E-4</v>
      </c>
    </row>
    <row r="240" spans="1:33" x14ac:dyDescent="0.2">
      <c r="A240" s="1"/>
      <c r="C240" s="33"/>
      <c r="G240" s="3"/>
      <c r="I240" s="4"/>
      <c r="U240" s="43">
        <v>4</v>
      </c>
      <c r="V240" s="2" t="s">
        <v>69</v>
      </c>
      <c r="W240" s="2" t="s">
        <v>24</v>
      </c>
      <c r="X240" s="2" t="s">
        <v>373</v>
      </c>
      <c r="Y240" s="5" t="s">
        <v>1005</v>
      </c>
      <c r="Z240" s="45" t="s">
        <v>1006</v>
      </c>
      <c r="AA240" s="44" t="s">
        <v>1007</v>
      </c>
      <c r="AB240" s="46">
        <v>2.6825425E-2</v>
      </c>
      <c r="AC240" s="46">
        <v>0.11992059100000001</v>
      </c>
      <c r="AD240" s="48">
        <v>1.0492518200000001</v>
      </c>
      <c r="AE240" s="49">
        <v>49.599281009999999</v>
      </c>
      <c r="AF240" s="46">
        <v>0.72722122</v>
      </c>
      <c r="AG240" s="46">
        <v>2.3235700000000001E-4</v>
      </c>
    </row>
    <row r="241" spans="1:33" x14ac:dyDescent="0.2">
      <c r="A241" s="13"/>
      <c r="B241" s="14"/>
      <c r="C241" s="34"/>
      <c r="D241" s="14"/>
      <c r="E241" s="14"/>
      <c r="F241" s="14"/>
      <c r="G241" s="15"/>
      <c r="H241" s="14"/>
      <c r="I241" s="169"/>
      <c r="J241" s="14"/>
      <c r="K241" s="14"/>
      <c r="L241" s="14"/>
      <c r="M241" s="14"/>
      <c r="N241" s="14"/>
      <c r="O241" s="14"/>
      <c r="P241" s="14"/>
      <c r="Q241" s="14"/>
      <c r="R241" s="14"/>
      <c r="S241" s="14"/>
      <c r="T241" s="15"/>
      <c r="U241" s="50">
        <v>5</v>
      </c>
      <c r="V241" s="8" t="s">
        <v>36</v>
      </c>
      <c r="W241" s="8" t="s">
        <v>24</v>
      </c>
      <c r="X241" s="8" t="s">
        <v>373</v>
      </c>
      <c r="Y241" s="66" t="s">
        <v>1008</v>
      </c>
      <c r="Z241" s="52" t="s">
        <v>1009</v>
      </c>
      <c r="AA241" s="51" t="s">
        <v>1010</v>
      </c>
      <c r="AB241" s="53">
        <v>1.0515170000000001E-2</v>
      </c>
      <c r="AC241" s="53">
        <v>8.7255611999999996E-2</v>
      </c>
      <c r="AD241" s="55">
        <v>0.19587713200000001</v>
      </c>
      <c r="AE241" s="56">
        <v>8.8241461950000009</v>
      </c>
      <c r="AF241" s="53">
        <v>0.73221884599999998</v>
      </c>
      <c r="AG241" s="53">
        <v>2.2453999999999999E-4</v>
      </c>
    </row>
    <row r="242" spans="1:33" x14ac:dyDescent="0.2">
      <c r="A242" s="1" t="s">
        <v>289</v>
      </c>
      <c r="B242" s="2" t="s">
        <v>290</v>
      </c>
      <c r="C242" s="33">
        <v>115</v>
      </c>
      <c r="D242" s="2" t="s">
        <v>22</v>
      </c>
      <c r="E242" s="2" t="s">
        <v>23</v>
      </c>
      <c r="F242" s="2" t="s">
        <v>24</v>
      </c>
      <c r="G242" s="3" t="s">
        <v>25</v>
      </c>
      <c r="H242" s="2" t="s">
        <v>26</v>
      </c>
      <c r="I242" s="4" t="s">
        <v>291</v>
      </c>
      <c r="J242" s="2">
        <v>6</v>
      </c>
      <c r="K242" s="5" t="s">
        <v>57</v>
      </c>
      <c r="L242" s="2" t="s">
        <v>107</v>
      </c>
      <c r="M242" s="2" t="s">
        <v>41</v>
      </c>
      <c r="N242" s="2" t="s">
        <v>62</v>
      </c>
      <c r="O242" s="2" t="s">
        <v>92</v>
      </c>
      <c r="P242" s="2" t="s">
        <v>87</v>
      </c>
      <c r="T242" s="2" t="s">
        <v>30</v>
      </c>
      <c r="U242" s="43">
        <v>1</v>
      </c>
      <c r="V242" s="2" t="s">
        <v>41</v>
      </c>
      <c r="W242" s="2" t="s">
        <v>24</v>
      </c>
      <c r="X242" s="2" t="s">
        <v>373</v>
      </c>
      <c r="Y242" s="5" t="s">
        <v>1011</v>
      </c>
      <c r="Z242" s="45" t="s">
        <v>1012</v>
      </c>
      <c r="AA242" s="44" t="s">
        <v>1013</v>
      </c>
      <c r="AB242" s="46">
        <v>4.4544238999999999E-2</v>
      </c>
      <c r="AC242" s="46">
        <v>0.32904388899999998</v>
      </c>
      <c r="AD242" s="48">
        <v>0.91674602999999999</v>
      </c>
      <c r="AE242" s="49">
        <v>36.29910126</v>
      </c>
      <c r="AF242" s="46">
        <v>0.71189803600000001</v>
      </c>
      <c r="AG242" s="46">
        <v>1.8552600000000001E-4</v>
      </c>
    </row>
    <row r="243" spans="1:33" x14ac:dyDescent="0.2">
      <c r="A243" s="1"/>
      <c r="C243" s="33"/>
      <c r="G243" s="3"/>
      <c r="I243" s="4"/>
      <c r="K243" s="5"/>
      <c r="U243" s="43">
        <v>2</v>
      </c>
      <c r="V243" s="2" t="s">
        <v>57</v>
      </c>
      <c r="W243" s="2" t="s">
        <v>24</v>
      </c>
      <c r="X243" s="2" t="s">
        <v>373</v>
      </c>
      <c r="Y243" s="5" t="s">
        <v>1014</v>
      </c>
      <c r="Z243" s="45" t="s">
        <v>1015</v>
      </c>
      <c r="AA243" s="44" t="s">
        <v>1016</v>
      </c>
      <c r="AB243" s="46">
        <v>1.6549002E-2</v>
      </c>
      <c r="AC243" s="46">
        <v>0.13987514600000001</v>
      </c>
      <c r="AD243" s="48">
        <v>0.30213155899999999</v>
      </c>
      <c r="AE243" s="49">
        <v>14.241342120000001</v>
      </c>
      <c r="AF243" s="46">
        <v>0.72624813600000004</v>
      </c>
      <c r="AG243" s="46">
        <v>2.3528399999999999E-4</v>
      </c>
    </row>
    <row r="244" spans="1:33" x14ac:dyDescent="0.2">
      <c r="A244" s="1"/>
      <c r="C244" s="33"/>
      <c r="G244" s="3"/>
      <c r="I244" s="4"/>
      <c r="K244" s="5"/>
      <c r="U244" s="43">
        <v>3</v>
      </c>
      <c r="V244" s="2" t="s">
        <v>62</v>
      </c>
      <c r="W244" s="2" t="s">
        <v>24</v>
      </c>
      <c r="X244" s="2" t="s">
        <v>373</v>
      </c>
      <c r="Y244" s="5" t="s">
        <v>1017</v>
      </c>
      <c r="Z244" s="45" t="s">
        <v>1018</v>
      </c>
      <c r="AA244" s="44" t="s">
        <v>1019</v>
      </c>
      <c r="AB244" s="46">
        <v>5.5340885999999999E-2</v>
      </c>
      <c r="AC244" s="46">
        <v>0.34662250100000003</v>
      </c>
      <c r="AD244" s="48">
        <v>0.96519024399999997</v>
      </c>
      <c r="AE244" s="49">
        <v>37.612043139999997</v>
      </c>
      <c r="AF244" s="46">
        <v>0.69016592600000004</v>
      </c>
      <c r="AG244" s="46">
        <v>1.7607500000000001E-4</v>
      </c>
    </row>
    <row r="245" spans="1:33" x14ac:dyDescent="0.2">
      <c r="A245" s="1"/>
      <c r="C245" s="33"/>
      <c r="G245" s="3"/>
      <c r="I245" s="4"/>
      <c r="K245" s="5"/>
      <c r="U245" s="43">
        <v>4</v>
      </c>
      <c r="V245" s="2" t="s">
        <v>92</v>
      </c>
      <c r="W245" s="2" t="s">
        <v>24</v>
      </c>
      <c r="X245" s="2" t="s">
        <v>373</v>
      </c>
      <c r="Y245" s="5" t="s">
        <v>1020</v>
      </c>
      <c r="Z245" s="45" t="s">
        <v>1021</v>
      </c>
      <c r="AA245" s="44" t="s">
        <v>1022</v>
      </c>
      <c r="AB245" s="46">
        <v>6.3927421999999998E-2</v>
      </c>
      <c r="AC245" s="46">
        <v>0.36092097099999998</v>
      </c>
      <c r="AD245" s="48">
        <v>1.000693075</v>
      </c>
      <c r="AE245" s="49">
        <v>38.379688440000002</v>
      </c>
      <c r="AF245" s="46">
        <v>0.69543553199999997</v>
      </c>
      <c r="AG245" s="46">
        <v>1.7433699999999999E-4</v>
      </c>
    </row>
    <row r="246" spans="1:33" x14ac:dyDescent="0.2">
      <c r="A246" s="1"/>
      <c r="C246" s="33"/>
      <c r="G246" s="3"/>
      <c r="I246" s="4"/>
      <c r="K246" s="5"/>
      <c r="U246" s="43">
        <v>5</v>
      </c>
      <c r="V246" s="2" t="s">
        <v>87</v>
      </c>
      <c r="W246" s="2" t="s">
        <v>24</v>
      </c>
      <c r="X246" s="2" t="s">
        <v>373</v>
      </c>
      <c r="Y246" s="5" t="s">
        <v>1023</v>
      </c>
      <c r="Z246" s="45" t="s">
        <v>1024</v>
      </c>
      <c r="AA246" s="44" t="s">
        <v>1025</v>
      </c>
      <c r="AB246" s="46">
        <v>6.5575432000000003E-2</v>
      </c>
      <c r="AC246" s="46">
        <v>0.33988940600000001</v>
      </c>
      <c r="AD246" s="48">
        <v>0.90317915500000001</v>
      </c>
      <c r="AE246" s="49">
        <v>35.528639900000002</v>
      </c>
      <c r="AF246" s="46">
        <v>0.69087723099999998</v>
      </c>
      <c r="AG246" s="46">
        <v>1.79037E-4</v>
      </c>
    </row>
    <row r="247" spans="1:33" x14ac:dyDescent="0.2">
      <c r="A247" s="1"/>
      <c r="C247" s="33"/>
      <c r="G247" s="3"/>
      <c r="I247" s="4"/>
      <c r="K247" s="5"/>
      <c r="U247" s="43">
        <v>6</v>
      </c>
      <c r="V247" s="2" t="s">
        <v>107</v>
      </c>
      <c r="W247" s="2" t="s">
        <v>24</v>
      </c>
      <c r="X247" s="2" t="s">
        <v>373</v>
      </c>
      <c r="Y247" s="5" t="s">
        <v>1026</v>
      </c>
      <c r="Z247" s="45" t="s">
        <v>1027</v>
      </c>
      <c r="AA247" s="44" t="s">
        <v>1028</v>
      </c>
      <c r="AB247" s="46">
        <v>1.7782850999999999E-2</v>
      </c>
      <c r="AC247" s="46">
        <v>0.155518395</v>
      </c>
      <c r="AD247" s="48">
        <v>0.34902137799999999</v>
      </c>
      <c r="AE247" s="49">
        <v>16.491851409999999</v>
      </c>
      <c r="AF247" s="46">
        <v>0.71831109100000001</v>
      </c>
      <c r="AG247" s="46">
        <v>2.3195400000000001E-4</v>
      </c>
    </row>
    <row r="248" spans="1:33" x14ac:dyDescent="0.2">
      <c r="A248" s="1" t="s">
        <v>292</v>
      </c>
      <c r="B248" s="2" t="s">
        <v>293</v>
      </c>
      <c r="C248" s="33">
        <v>551</v>
      </c>
      <c r="D248" s="2" t="s">
        <v>22</v>
      </c>
      <c r="E248" s="2" t="s">
        <v>23</v>
      </c>
      <c r="F248" s="2" t="s">
        <v>24</v>
      </c>
      <c r="G248" s="3" t="s">
        <v>25</v>
      </c>
      <c r="H248" s="2" t="s">
        <v>26</v>
      </c>
      <c r="I248" s="4" t="s">
        <v>33</v>
      </c>
      <c r="J248" s="2">
        <v>5</v>
      </c>
      <c r="K248" s="2" t="s">
        <v>35</v>
      </c>
      <c r="L248" s="5" t="s">
        <v>36</v>
      </c>
      <c r="M248" s="2" t="s">
        <v>156</v>
      </c>
      <c r="N248" s="2" t="s">
        <v>70</v>
      </c>
      <c r="O248" s="2" t="s">
        <v>86</v>
      </c>
      <c r="T248" s="2" t="s">
        <v>30</v>
      </c>
      <c r="U248" s="35">
        <v>1</v>
      </c>
      <c r="V248" s="36" t="s">
        <v>35</v>
      </c>
      <c r="W248" s="36" t="s">
        <v>24</v>
      </c>
      <c r="X248" s="36" t="s">
        <v>373</v>
      </c>
      <c r="Y248" s="65" t="s">
        <v>1029</v>
      </c>
      <c r="Z248" s="38" t="s">
        <v>1030</v>
      </c>
      <c r="AA248" s="37" t="s">
        <v>1031</v>
      </c>
      <c r="AB248" s="39">
        <v>2.7558415999999999E-2</v>
      </c>
      <c r="AC248" s="39">
        <v>9.7651116999999996E-2</v>
      </c>
      <c r="AD248" s="41">
        <v>0.81944750700000002</v>
      </c>
      <c r="AE248" s="42">
        <v>38.682025160000002</v>
      </c>
      <c r="AF248" s="39">
        <v>0.71137549200000005</v>
      </c>
      <c r="AG248" s="39">
        <v>2.3873399999999999E-4</v>
      </c>
    </row>
    <row r="249" spans="1:33" x14ac:dyDescent="0.2">
      <c r="A249" s="1"/>
      <c r="C249" s="33"/>
      <c r="G249" s="3"/>
      <c r="I249" s="4"/>
      <c r="L249" s="5"/>
      <c r="U249" s="43">
        <v>2</v>
      </c>
      <c r="V249" s="2" t="s">
        <v>36</v>
      </c>
      <c r="W249" s="2" t="s">
        <v>24</v>
      </c>
      <c r="X249" s="2" t="s">
        <v>373</v>
      </c>
      <c r="Y249" s="5" t="s">
        <v>1032</v>
      </c>
      <c r="Z249" s="45" t="s">
        <v>1033</v>
      </c>
      <c r="AA249" s="44" t="s">
        <v>1034</v>
      </c>
      <c r="AB249" s="46">
        <v>2.6815700000000001E-2</v>
      </c>
      <c r="AC249" s="46">
        <v>0.101161369</v>
      </c>
      <c r="AD249" s="48">
        <v>0.88826910199999998</v>
      </c>
      <c r="AE249" s="49">
        <v>41.536249249999997</v>
      </c>
      <c r="AF249" s="46">
        <v>0.713128184</v>
      </c>
      <c r="AG249" s="46">
        <v>2.3627699999999999E-4</v>
      </c>
    </row>
    <row r="250" spans="1:33" x14ac:dyDescent="0.2">
      <c r="A250" s="1"/>
      <c r="C250" s="33"/>
      <c r="G250" s="3"/>
      <c r="I250" s="4"/>
      <c r="L250" s="5"/>
      <c r="U250" s="43">
        <v>3</v>
      </c>
      <c r="V250" s="2" t="s">
        <v>156</v>
      </c>
      <c r="W250" s="2" t="s">
        <v>24</v>
      </c>
      <c r="X250" s="2" t="s">
        <v>373</v>
      </c>
      <c r="Y250" s="5" t="s">
        <v>1035</v>
      </c>
      <c r="Z250" s="45" t="s">
        <v>1036</v>
      </c>
      <c r="AA250" s="44" t="s">
        <v>1037</v>
      </c>
      <c r="AB250" s="46">
        <v>2.5981638000000001E-2</v>
      </c>
      <c r="AC250" s="46">
        <v>8.5019393999999998E-2</v>
      </c>
      <c r="AD250" s="48">
        <v>0.65128271400000004</v>
      </c>
      <c r="AE250" s="49">
        <v>30.872738170000002</v>
      </c>
      <c r="AF250" s="46">
        <v>0.71383622599999996</v>
      </c>
      <c r="AG250" s="46">
        <v>2.3959299999999999E-4</v>
      </c>
    </row>
    <row r="251" spans="1:33" x14ac:dyDescent="0.2">
      <c r="A251" s="9"/>
      <c r="B251" s="11"/>
      <c r="C251" s="33"/>
      <c r="D251" s="11"/>
      <c r="E251" s="11"/>
      <c r="F251" s="11"/>
      <c r="G251" s="3"/>
      <c r="H251" s="11"/>
      <c r="I251" s="10"/>
      <c r="J251" s="11"/>
      <c r="K251" s="11"/>
      <c r="L251" s="57"/>
      <c r="M251" s="11"/>
      <c r="N251" s="11"/>
      <c r="O251" s="11"/>
      <c r="P251" s="11"/>
      <c r="Q251" s="11"/>
      <c r="R251" s="11"/>
      <c r="S251" s="11"/>
      <c r="T251" s="3"/>
      <c r="U251" s="43">
        <v>4</v>
      </c>
      <c r="V251" s="2" t="s">
        <v>70</v>
      </c>
      <c r="W251" s="2" t="s">
        <v>24</v>
      </c>
      <c r="X251" s="2" t="s">
        <v>373</v>
      </c>
      <c r="Y251" s="5" t="s">
        <v>1038</v>
      </c>
      <c r="Z251" s="45" t="s">
        <v>1039</v>
      </c>
      <c r="AA251" s="44" t="s">
        <v>1040</v>
      </c>
      <c r="AB251" s="46">
        <v>2.7367374999999999E-2</v>
      </c>
      <c r="AC251" s="46">
        <v>0.111865618</v>
      </c>
      <c r="AD251" s="48">
        <v>0.95469233799999997</v>
      </c>
      <c r="AE251" s="49">
        <v>43.889754340000003</v>
      </c>
      <c r="AF251" s="46">
        <v>0.712659288</v>
      </c>
      <c r="AG251" s="46">
        <v>2.3230899999999999E-4</v>
      </c>
    </row>
    <row r="252" spans="1:33" x14ac:dyDescent="0.2">
      <c r="A252" s="13"/>
      <c r="B252" s="14"/>
      <c r="C252" s="34"/>
      <c r="D252" s="14"/>
      <c r="E252" s="14"/>
      <c r="F252" s="14"/>
      <c r="G252" s="15"/>
      <c r="H252" s="14"/>
      <c r="I252" s="169"/>
      <c r="J252" s="14"/>
      <c r="K252" s="14"/>
      <c r="L252" s="59"/>
      <c r="M252" s="14"/>
      <c r="N252" s="14"/>
      <c r="O252" s="14"/>
      <c r="P252" s="14"/>
      <c r="Q252" s="14"/>
      <c r="R252" s="14"/>
      <c r="S252" s="14"/>
      <c r="T252" s="15"/>
      <c r="U252" s="50">
        <v>5</v>
      </c>
      <c r="V252" s="8" t="s">
        <v>86</v>
      </c>
      <c r="W252" s="8" t="s">
        <v>24</v>
      </c>
      <c r="X252" s="8" t="s">
        <v>373</v>
      </c>
      <c r="Y252" s="66" t="s">
        <v>1041</v>
      </c>
      <c r="Z252" s="52" t="s">
        <v>1042</v>
      </c>
      <c r="AA252" s="51" t="s">
        <v>1043</v>
      </c>
      <c r="AB252" s="53">
        <v>2.8644902E-2</v>
      </c>
      <c r="AC252" s="53">
        <v>0.17354218399999999</v>
      </c>
      <c r="AD252" s="55">
        <v>1.3119846509999999</v>
      </c>
      <c r="AE252" s="56">
        <v>57.118873579999999</v>
      </c>
      <c r="AF252" s="53">
        <v>0.70929723899999997</v>
      </c>
      <c r="AG252" s="53">
        <v>2.1544500000000001E-4</v>
      </c>
    </row>
    <row r="253" spans="1:33" x14ac:dyDescent="0.2">
      <c r="A253" s="1" t="s">
        <v>294</v>
      </c>
      <c r="B253" s="2" t="s">
        <v>295</v>
      </c>
      <c r="C253" s="33">
        <v>359</v>
      </c>
      <c r="D253" s="2" t="s">
        <v>22</v>
      </c>
      <c r="E253" s="2" t="s">
        <v>23</v>
      </c>
      <c r="F253" s="2" t="s">
        <v>24</v>
      </c>
      <c r="G253" s="3" t="s">
        <v>25</v>
      </c>
      <c r="H253" s="2" t="s">
        <v>26</v>
      </c>
      <c r="I253" s="4" t="s">
        <v>278</v>
      </c>
      <c r="J253" s="2">
        <v>5</v>
      </c>
      <c r="K253" s="2" t="s">
        <v>87</v>
      </c>
      <c r="L253" s="5" t="s">
        <v>127</v>
      </c>
      <c r="M253" s="2" t="s">
        <v>132</v>
      </c>
      <c r="N253" s="2" t="s">
        <v>140</v>
      </c>
      <c r="O253" s="2" t="s">
        <v>40</v>
      </c>
      <c r="T253" s="2" t="s">
        <v>30</v>
      </c>
      <c r="U253" s="43">
        <v>1</v>
      </c>
      <c r="V253" s="2" t="s">
        <v>127</v>
      </c>
      <c r="W253" s="2" t="s">
        <v>24</v>
      </c>
      <c r="X253" s="2" t="s">
        <v>373</v>
      </c>
      <c r="Y253" s="5" t="s">
        <v>1044</v>
      </c>
      <c r="Z253" s="45" t="s">
        <v>1045</v>
      </c>
      <c r="AA253" s="44" t="s">
        <v>1046</v>
      </c>
      <c r="AB253" s="46">
        <v>3.2337404E-2</v>
      </c>
      <c r="AC253" s="46">
        <v>0.158104102</v>
      </c>
      <c r="AD253" s="48">
        <v>1.454190715</v>
      </c>
      <c r="AE253" s="49">
        <v>72.507130020000005</v>
      </c>
      <c r="AF253" s="46">
        <v>0.64432186700000005</v>
      </c>
      <c r="AG253" s="46">
        <v>2.16598E-4</v>
      </c>
    </row>
    <row r="254" spans="1:33" x14ac:dyDescent="0.2">
      <c r="A254" s="1"/>
      <c r="C254" s="33"/>
      <c r="G254" s="3"/>
      <c r="I254" s="4"/>
      <c r="L254" s="5"/>
      <c r="U254" s="43">
        <v>2</v>
      </c>
      <c r="V254" s="2" t="s">
        <v>132</v>
      </c>
      <c r="W254" s="2" t="s">
        <v>24</v>
      </c>
      <c r="X254" s="2" t="s">
        <v>373</v>
      </c>
      <c r="Y254" s="5" t="s">
        <v>1047</v>
      </c>
      <c r="Z254" s="45" t="s">
        <v>1048</v>
      </c>
      <c r="AA254" s="44" t="s">
        <v>1049</v>
      </c>
      <c r="AB254" s="46">
        <v>3.3012859999999998E-2</v>
      </c>
      <c r="AC254" s="46">
        <v>0.162044937</v>
      </c>
      <c r="AD254" s="48">
        <v>1.5341475979999999</v>
      </c>
      <c r="AE254" s="49">
        <v>75.55212702</v>
      </c>
      <c r="AF254" s="46">
        <v>0.64763861700000003</v>
      </c>
      <c r="AG254" s="46">
        <v>2.15942E-4</v>
      </c>
    </row>
    <row r="255" spans="1:33" x14ac:dyDescent="0.2">
      <c r="A255" s="1"/>
      <c r="C255" s="33"/>
      <c r="G255" s="3"/>
      <c r="I255" s="4"/>
      <c r="L255" s="5"/>
      <c r="U255" s="43">
        <v>3</v>
      </c>
      <c r="V255" s="2" t="s">
        <v>140</v>
      </c>
      <c r="W255" s="2" t="s">
        <v>24</v>
      </c>
      <c r="X255" s="2" t="s">
        <v>373</v>
      </c>
      <c r="Y255" s="5" t="s">
        <v>1050</v>
      </c>
      <c r="Z255" s="45" t="s">
        <v>1051</v>
      </c>
      <c r="AA255" s="44" t="s">
        <v>1052</v>
      </c>
      <c r="AB255" s="46">
        <v>4.1028071999999999E-2</v>
      </c>
      <c r="AC255" s="46">
        <v>0.23600570700000001</v>
      </c>
      <c r="AD255" s="48">
        <v>2.5747713760000002</v>
      </c>
      <c r="AE255" s="49">
        <v>120.5751947</v>
      </c>
      <c r="AF255" s="46">
        <v>0.64421567499999999</v>
      </c>
      <c r="AG255" s="46">
        <v>1.9993100000000001E-4</v>
      </c>
    </row>
    <row r="256" spans="1:33" x14ac:dyDescent="0.2">
      <c r="A256" s="1"/>
      <c r="C256" s="33"/>
      <c r="G256" s="3"/>
      <c r="I256" s="4"/>
      <c r="L256" s="5"/>
      <c r="U256" s="43">
        <v>4</v>
      </c>
      <c r="V256" s="2" t="s">
        <v>40</v>
      </c>
      <c r="W256" s="2" t="s">
        <v>24</v>
      </c>
      <c r="X256" s="2" t="s">
        <v>373</v>
      </c>
      <c r="Y256" s="5" t="s">
        <v>1053</v>
      </c>
      <c r="Z256" s="45" t="s">
        <v>1054</v>
      </c>
      <c r="AA256" s="44" t="s">
        <v>1055</v>
      </c>
      <c r="AB256" s="46">
        <v>2.9301608999999999E-2</v>
      </c>
      <c r="AC256" s="46">
        <v>0.11831660099999999</v>
      </c>
      <c r="AD256" s="48">
        <v>0.93432178600000004</v>
      </c>
      <c r="AE256" s="49">
        <v>48.198082679999999</v>
      </c>
      <c r="AF256" s="46">
        <v>0.648658913</v>
      </c>
      <c r="AG256" s="46">
        <v>2.2798600000000001E-4</v>
      </c>
    </row>
    <row r="257" spans="1:33" x14ac:dyDescent="0.2">
      <c r="A257" s="13"/>
      <c r="B257" s="14"/>
      <c r="C257" s="34"/>
      <c r="D257" s="14"/>
      <c r="E257" s="14"/>
      <c r="F257" s="14"/>
      <c r="G257" s="15"/>
      <c r="H257" s="14"/>
      <c r="I257" s="169"/>
      <c r="J257" s="14"/>
      <c r="K257" s="14"/>
      <c r="L257" s="59"/>
      <c r="M257" s="14"/>
      <c r="N257" s="14"/>
      <c r="O257" s="14"/>
      <c r="P257" s="14"/>
      <c r="Q257" s="14"/>
      <c r="R257" s="14"/>
      <c r="S257" s="14"/>
      <c r="T257" s="15"/>
      <c r="U257" s="43">
        <v>5</v>
      </c>
      <c r="V257" s="2" t="s">
        <v>87</v>
      </c>
      <c r="W257" s="2" t="s">
        <v>24</v>
      </c>
      <c r="X257" s="2" t="s">
        <v>373</v>
      </c>
      <c r="Y257" s="5" t="s">
        <v>1056</v>
      </c>
      <c r="Z257" s="45" t="s">
        <v>1057</v>
      </c>
      <c r="AA257" s="44" t="s">
        <v>1058</v>
      </c>
      <c r="AB257" s="46">
        <v>1.2791643E-2</v>
      </c>
      <c r="AC257" s="46">
        <v>0.12184961499999999</v>
      </c>
      <c r="AD257" s="48">
        <v>0.26519697399999997</v>
      </c>
      <c r="AE257" s="49">
        <v>13.6163571</v>
      </c>
      <c r="AF257" s="46">
        <v>0.654323502</v>
      </c>
      <c r="AG257" s="46">
        <v>2.26989E-4</v>
      </c>
    </row>
    <row r="258" spans="1:33" x14ac:dyDescent="0.2">
      <c r="A258" s="1" t="s">
        <v>296</v>
      </c>
      <c r="B258" s="2" t="s">
        <v>297</v>
      </c>
      <c r="C258" s="33">
        <v>360</v>
      </c>
      <c r="D258" s="2" t="s">
        <v>22</v>
      </c>
      <c r="E258" s="2" t="s">
        <v>23</v>
      </c>
      <c r="F258" s="2" t="s">
        <v>24</v>
      </c>
      <c r="G258" s="3" t="s">
        <v>25</v>
      </c>
      <c r="H258" s="2" t="s">
        <v>26</v>
      </c>
      <c r="I258" s="2">
        <v>9</v>
      </c>
      <c r="J258" s="2">
        <v>2</v>
      </c>
      <c r="K258" s="2" t="s">
        <v>35</v>
      </c>
      <c r="L258" s="2" t="s">
        <v>34</v>
      </c>
      <c r="T258" s="2" t="s">
        <v>30</v>
      </c>
      <c r="U258" s="35">
        <v>1</v>
      </c>
      <c r="V258" s="36" t="s">
        <v>35</v>
      </c>
      <c r="W258" s="36" t="s">
        <v>24</v>
      </c>
      <c r="X258" s="36" t="s">
        <v>373</v>
      </c>
      <c r="Y258" s="65">
        <v>6676510</v>
      </c>
      <c r="Z258" s="38">
        <v>3521866</v>
      </c>
      <c r="AA258" s="37">
        <v>1288</v>
      </c>
      <c r="AB258" s="39">
        <v>0.28726499300000002</v>
      </c>
      <c r="AC258" s="39">
        <v>0.31086142300000003</v>
      </c>
      <c r="AD258" s="41">
        <v>8.1396519000000001E-2</v>
      </c>
      <c r="AE258" s="42">
        <v>4.3665668059999998</v>
      </c>
      <c r="AF258" s="39">
        <v>0.52750104499999995</v>
      </c>
      <c r="AG258" s="39">
        <v>1.9291499999999999E-4</v>
      </c>
    </row>
    <row r="259" spans="1:33" x14ac:dyDescent="0.2">
      <c r="A259" s="13"/>
      <c r="B259" s="14"/>
      <c r="C259" s="34"/>
      <c r="D259" s="14"/>
      <c r="E259" s="14"/>
      <c r="F259" s="14"/>
      <c r="G259" s="15"/>
      <c r="H259" s="14"/>
      <c r="I259" s="14"/>
      <c r="J259" s="14"/>
      <c r="K259" s="14"/>
      <c r="L259" s="14"/>
      <c r="M259" s="14"/>
      <c r="N259" s="14"/>
      <c r="O259" s="14"/>
      <c r="P259" s="14"/>
      <c r="Q259" s="14"/>
      <c r="R259" s="14"/>
      <c r="S259" s="14"/>
      <c r="T259" s="15"/>
      <c r="U259" s="50">
        <v>2</v>
      </c>
      <c r="V259" s="8" t="s">
        <v>34</v>
      </c>
      <c r="W259" s="8" t="s">
        <v>24</v>
      </c>
      <c r="X259" s="8" t="s">
        <v>373</v>
      </c>
      <c r="Y259" s="66">
        <v>158879011</v>
      </c>
      <c r="Z259" s="52">
        <v>113446355</v>
      </c>
      <c r="AA259" s="51">
        <v>17890</v>
      </c>
      <c r="AB259" s="53">
        <v>4.4415470999999998E-2</v>
      </c>
      <c r="AC259" s="53">
        <v>0.55104396700000002</v>
      </c>
      <c r="AD259" s="55">
        <v>2.617780405</v>
      </c>
      <c r="AE259" s="56">
        <v>68.408028759999993</v>
      </c>
      <c r="AF259" s="53">
        <v>0.71404242900000003</v>
      </c>
      <c r="AG259" s="53">
        <v>1.12601E-4</v>
      </c>
    </row>
    <row r="260" spans="1:33" x14ac:dyDescent="0.2">
      <c r="A260" s="1" t="s">
        <v>298</v>
      </c>
      <c r="B260" s="2" t="s">
        <v>299</v>
      </c>
      <c r="C260" s="33">
        <v>500</v>
      </c>
      <c r="D260" s="2" t="s">
        <v>22</v>
      </c>
      <c r="E260" s="2" t="s">
        <v>23</v>
      </c>
      <c r="F260" s="2" t="s">
        <v>24</v>
      </c>
      <c r="G260" s="3" t="s">
        <v>25</v>
      </c>
      <c r="H260" s="2" t="s">
        <v>26</v>
      </c>
      <c r="I260" s="7">
        <v>43318</v>
      </c>
      <c r="J260" s="2">
        <v>2</v>
      </c>
      <c r="K260" s="2" t="s">
        <v>57</v>
      </c>
      <c r="L260" s="2" t="s">
        <v>35</v>
      </c>
      <c r="T260" s="2" t="s">
        <v>30</v>
      </c>
      <c r="U260" s="43">
        <v>1</v>
      </c>
      <c r="V260" s="2" t="s">
        <v>57</v>
      </c>
      <c r="W260" s="2" t="s">
        <v>24</v>
      </c>
      <c r="X260" s="2" t="s">
        <v>373</v>
      </c>
      <c r="Y260" s="5">
        <v>5861039</v>
      </c>
      <c r="Z260" s="45">
        <v>3091700</v>
      </c>
      <c r="AA260" s="44">
        <v>686</v>
      </c>
      <c r="AB260" s="46">
        <v>0.26290570600000002</v>
      </c>
      <c r="AC260" s="46">
        <v>0.28467153299999998</v>
      </c>
      <c r="AD260" s="48">
        <v>7.7874567000000006E-2</v>
      </c>
      <c r="AE260" s="49">
        <v>2.4108448170000001</v>
      </c>
      <c r="AF260" s="46">
        <v>0.52750032899999999</v>
      </c>
      <c r="AG260" s="46">
        <v>1.17044E-4</v>
      </c>
    </row>
    <row r="261" spans="1:33" x14ac:dyDescent="0.2">
      <c r="A261" s="13"/>
      <c r="B261" s="14"/>
      <c r="C261" s="34"/>
      <c r="D261" s="14"/>
      <c r="E261" s="14"/>
      <c r="F261" s="14"/>
      <c r="G261" s="15"/>
      <c r="H261" s="14"/>
      <c r="I261" s="182"/>
      <c r="J261" s="14"/>
      <c r="K261" s="14"/>
      <c r="L261" s="14"/>
      <c r="M261" s="14"/>
      <c r="N261" s="14"/>
      <c r="O261" s="14"/>
      <c r="P261" s="14"/>
      <c r="Q261" s="14"/>
      <c r="R261" s="14"/>
      <c r="S261" s="14"/>
      <c r="T261" s="15"/>
      <c r="U261" s="43">
        <v>2</v>
      </c>
      <c r="V261" s="2" t="s">
        <v>35</v>
      </c>
      <c r="W261" s="2" t="s">
        <v>24</v>
      </c>
      <c r="X261" s="2" t="s">
        <v>373</v>
      </c>
      <c r="Y261" s="5">
        <v>163751442</v>
      </c>
      <c r="Z261" s="45">
        <v>106278512</v>
      </c>
      <c r="AA261" s="44">
        <v>15104</v>
      </c>
      <c r="AB261" s="46">
        <v>6.5798669000000004E-2</v>
      </c>
      <c r="AC261" s="46">
        <v>0.43451890700000001</v>
      </c>
      <c r="AD261" s="48">
        <v>2.5155139320000002</v>
      </c>
      <c r="AE261" s="49">
        <v>53.806411019999999</v>
      </c>
      <c r="AF261" s="46">
        <v>0.64902336599999999</v>
      </c>
      <c r="AG261" s="46">
        <v>9.2200000000000005E-5</v>
      </c>
    </row>
    <row r="262" spans="1:33" x14ac:dyDescent="0.2">
      <c r="A262" s="1" t="s">
        <v>300</v>
      </c>
      <c r="B262" s="2" t="s">
        <v>301</v>
      </c>
      <c r="C262" s="33">
        <v>440</v>
      </c>
      <c r="D262" s="2" t="s">
        <v>22</v>
      </c>
      <c r="E262" s="2" t="s">
        <v>23</v>
      </c>
      <c r="F262" s="2" t="s">
        <v>24</v>
      </c>
      <c r="G262" s="3" t="s">
        <v>25</v>
      </c>
      <c r="H262" s="2" t="s">
        <v>26</v>
      </c>
      <c r="I262" s="7">
        <v>43351</v>
      </c>
      <c r="J262" s="2">
        <v>3</v>
      </c>
      <c r="K262" s="2" t="s">
        <v>72</v>
      </c>
      <c r="L262" s="2" t="s">
        <v>36</v>
      </c>
      <c r="M262" s="2" t="s">
        <v>92</v>
      </c>
      <c r="T262" s="2" t="s">
        <v>30</v>
      </c>
      <c r="U262" s="35">
        <v>1</v>
      </c>
      <c r="V262" s="36" t="s">
        <v>72</v>
      </c>
      <c r="W262" s="36" t="s">
        <v>24</v>
      </c>
      <c r="X262" s="36" t="s">
        <v>373</v>
      </c>
      <c r="Y262" s="65">
        <v>5299619</v>
      </c>
      <c r="Z262" s="38">
        <v>2976125</v>
      </c>
      <c r="AA262" s="37">
        <v>763</v>
      </c>
      <c r="AB262" s="39">
        <v>0.25608182600000001</v>
      </c>
      <c r="AC262" s="39">
        <v>0.278827977</v>
      </c>
      <c r="AD262" s="41">
        <v>7.4704169000000001E-2</v>
      </c>
      <c r="AE262" s="42">
        <v>2.744517675</v>
      </c>
      <c r="AF262" s="39">
        <v>0.56157338899999998</v>
      </c>
      <c r="AG262" s="39">
        <v>1.4397300000000001E-4</v>
      </c>
    </row>
    <row r="263" spans="1:33" x14ac:dyDescent="0.2">
      <c r="A263" s="1"/>
      <c r="C263" s="33"/>
      <c r="G263" s="3"/>
      <c r="I263" s="7"/>
      <c r="U263" s="43">
        <v>2</v>
      </c>
      <c r="V263" s="2" t="s">
        <v>36</v>
      </c>
      <c r="W263" s="2" t="s">
        <v>24</v>
      </c>
      <c r="X263" s="2" t="s">
        <v>373</v>
      </c>
      <c r="Y263" s="5">
        <v>54438795</v>
      </c>
      <c r="Z263" s="45">
        <v>37192233</v>
      </c>
      <c r="AA263" s="44">
        <v>7651</v>
      </c>
      <c r="AB263" s="46">
        <v>8.4234169999999997E-2</v>
      </c>
      <c r="AC263" s="46">
        <v>0.27382308300000002</v>
      </c>
      <c r="AD263" s="48">
        <v>0.86794095800000004</v>
      </c>
      <c r="AE263" s="49">
        <v>26.4639305</v>
      </c>
      <c r="AF263" s="46">
        <v>0.68319353900000002</v>
      </c>
      <c r="AG263" s="46">
        <v>1.40543E-4</v>
      </c>
    </row>
    <row r="264" spans="1:33" x14ac:dyDescent="0.2">
      <c r="A264" s="13"/>
      <c r="B264" s="14"/>
      <c r="C264" s="34"/>
      <c r="D264" s="14"/>
      <c r="E264" s="14"/>
      <c r="F264" s="14"/>
      <c r="G264" s="15"/>
      <c r="H264" s="14"/>
      <c r="I264" s="182"/>
      <c r="J264" s="14"/>
      <c r="K264" s="14"/>
      <c r="L264" s="14"/>
      <c r="M264" s="14"/>
      <c r="N264" s="14"/>
      <c r="O264" s="14"/>
      <c r="P264" s="14"/>
      <c r="Q264" s="14"/>
      <c r="R264" s="14"/>
      <c r="S264" s="14"/>
      <c r="T264" s="15"/>
      <c r="U264" s="50">
        <v>3</v>
      </c>
      <c r="V264" s="8" t="s">
        <v>92</v>
      </c>
      <c r="W264" s="8" t="s">
        <v>24</v>
      </c>
      <c r="X264" s="8" t="s">
        <v>373</v>
      </c>
      <c r="Y264" s="66">
        <v>108170158</v>
      </c>
      <c r="Z264" s="52">
        <v>71129025</v>
      </c>
      <c r="AA264" s="51">
        <v>12327</v>
      </c>
      <c r="AB264" s="53">
        <v>0.12009861099999999</v>
      </c>
      <c r="AC264" s="53">
        <v>0.41765872999999998</v>
      </c>
      <c r="AD264" s="55">
        <v>1.668568485</v>
      </c>
      <c r="AE264" s="56">
        <v>44.5509287</v>
      </c>
      <c r="AF264" s="53">
        <v>0.65756606399999995</v>
      </c>
      <c r="AG264" s="53">
        <v>1.13959E-4</v>
      </c>
    </row>
    <row r="265" spans="1:33" x14ac:dyDescent="0.2">
      <c r="A265" s="106" t="s">
        <v>302</v>
      </c>
      <c r="B265" s="107" t="s">
        <v>303</v>
      </c>
      <c r="C265" s="175">
        <v>540</v>
      </c>
      <c r="D265" s="107" t="s">
        <v>22</v>
      </c>
      <c r="E265" s="107" t="s">
        <v>23</v>
      </c>
      <c r="F265" s="107" t="s">
        <v>24</v>
      </c>
      <c r="G265" s="176" t="s">
        <v>25</v>
      </c>
      <c r="H265" s="107" t="s">
        <v>26</v>
      </c>
      <c r="I265" s="107">
        <v>9</v>
      </c>
      <c r="J265" s="107">
        <v>1</v>
      </c>
      <c r="K265" s="107" t="s">
        <v>171</v>
      </c>
      <c r="L265" s="107"/>
      <c r="M265" s="107"/>
      <c r="N265" s="107"/>
      <c r="O265" s="107"/>
      <c r="P265" s="107"/>
      <c r="Q265" s="107"/>
      <c r="R265" s="107"/>
      <c r="S265" s="107"/>
      <c r="T265" s="176" t="s">
        <v>30</v>
      </c>
      <c r="U265" s="43">
        <v>1</v>
      </c>
      <c r="V265" s="2" t="s">
        <v>171</v>
      </c>
      <c r="W265" s="2" t="s">
        <v>24</v>
      </c>
      <c r="X265" s="2" t="s">
        <v>373</v>
      </c>
      <c r="Y265" s="5">
        <v>154277307</v>
      </c>
      <c r="Z265" s="45">
        <v>110361138</v>
      </c>
      <c r="AA265" s="44">
        <v>19803</v>
      </c>
      <c r="AB265" s="46">
        <v>5.7991417000000003E-2</v>
      </c>
      <c r="AC265" s="46">
        <v>0.600238206</v>
      </c>
      <c r="AD265" s="48">
        <v>2.649548351</v>
      </c>
      <c r="AE265" s="49">
        <v>77.039604550000007</v>
      </c>
      <c r="AF265" s="46">
        <v>0.71534265200000002</v>
      </c>
      <c r="AG265" s="46">
        <v>1.2836E-4</v>
      </c>
    </row>
    <row r="266" spans="1:33" x14ac:dyDescent="0.2">
      <c r="A266" s="1" t="s">
        <v>304</v>
      </c>
      <c r="B266" s="2" t="s">
        <v>305</v>
      </c>
      <c r="C266" s="33">
        <v>180</v>
      </c>
      <c r="D266" s="2" t="s">
        <v>22</v>
      </c>
      <c r="E266" s="2" t="s">
        <v>23</v>
      </c>
      <c r="F266" s="2" t="s">
        <v>24</v>
      </c>
      <c r="G266" s="3" t="s">
        <v>25</v>
      </c>
      <c r="H266" s="2" t="s">
        <v>26</v>
      </c>
      <c r="I266" s="4" t="s">
        <v>278</v>
      </c>
      <c r="J266" s="2">
        <v>4</v>
      </c>
      <c r="K266" s="2" t="s">
        <v>132</v>
      </c>
      <c r="L266" s="5" t="s">
        <v>148</v>
      </c>
      <c r="M266" s="2" t="s">
        <v>86</v>
      </c>
      <c r="N266" s="2" t="s">
        <v>156</v>
      </c>
      <c r="T266" s="2" t="s">
        <v>30</v>
      </c>
      <c r="U266" s="35">
        <v>1</v>
      </c>
      <c r="V266" s="36" t="s">
        <v>148</v>
      </c>
      <c r="W266" s="36" t="s">
        <v>24</v>
      </c>
      <c r="X266" s="36" t="s">
        <v>373</v>
      </c>
      <c r="Y266" s="65" t="s">
        <v>1059</v>
      </c>
      <c r="Z266" s="38" t="s">
        <v>1060</v>
      </c>
      <c r="AA266" s="37" t="s">
        <v>1061</v>
      </c>
      <c r="AB266" s="39">
        <v>0.31908437099999998</v>
      </c>
      <c r="AC266" s="39">
        <v>0.46021031699999998</v>
      </c>
      <c r="AD266" s="41">
        <v>0.92740741900000001</v>
      </c>
      <c r="AE266" s="42">
        <v>25.14307969</v>
      </c>
      <c r="AF266" s="39">
        <v>0.49711163899999999</v>
      </c>
      <c r="AG266" s="39">
        <v>8.9800000000000001E-5</v>
      </c>
    </row>
    <row r="267" spans="1:33" x14ac:dyDescent="0.2">
      <c r="A267" s="1"/>
      <c r="C267" s="33"/>
      <c r="G267" s="3"/>
      <c r="I267" s="4"/>
      <c r="L267" s="5"/>
      <c r="U267" s="43">
        <v>2</v>
      </c>
      <c r="V267" s="2" t="s">
        <v>86</v>
      </c>
      <c r="W267" s="2" t="s">
        <v>24</v>
      </c>
      <c r="X267" s="2" t="s">
        <v>373</v>
      </c>
      <c r="Y267" s="5" t="s">
        <v>1062</v>
      </c>
      <c r="Z267" s="45" t="s">
        <v>1063</v>
      </c>
      <c r="AA267" s="44" t="s">
        <v>1064</v>
      </c>
      <c r="AB267" s="46">
        <v>0.31947911899999998</v>
      </c>
      <c r="AC267" s="46">
        <v>0.443999384</v>
      </c>
      <c r="AD267" s="48">
        <v>0.85723023600000003</v>
      </c>
      <c r="AE267" s="49">
        <v>23.69634512</v>
      </c>
      <c r="AF267" s="46">
        <v>0.49798501699999997</v>
      </c>
      <c r="AG267" s="46">
        <v>9.2200000000000005E-5</v>
      </c>
    </row>
    <row r="268" spans="1:33" x14ac:dyDescent="0.2">
      <c r="A268" s="1"/>
      <c r="C268" s="33"/>
      <c r="G268" s="3"/>
      <c r="I268" s="4"/>
      <c r="L268" s="5"/>
      <c r="U268" s="43">
        <v>3</v>
      </c>
      <c r="V268" s="2" t="s">
        <v>156</v>
      </c>
      <c r="W268" s="2" t="s">
        <v>24</v>
      </c>
      <c r="X268" s="2" t="s">
        <v>373</v>
      </c>
      <c r="Y268" s="5" t="s">
        <v>1065</v>
      </c>
      <c r="Z268" s="45" t="s">
        <v>1066</v>
      </c>
      <c r="AA268" s="44" t="s">
        <v>1067</v>
      </c>
      <c r="AB268" s="46">
        <v>0.38875316500000001</v>
      </c>
      <c r="AC268" s="46">
        <v>0.53880079299999994</v>
      </c>
      <c r="AD268" s="48">
        <v>1.188779544</v>
      </c>
      <c r="AE268" s="49">
        <v>31.110305570000001</v>
      </c>
      <c r="AF268" s="46">
        <v>0.44699650400000002</v>
      </c>
      <c r="AG268" s="46">
        <v>7.7100000000000004E-5</v>
      </c>
    </row>
    <row r="269" spans="1:33" x14ac:dyDescent="0.2">
      <c r="A269" s="13"/>
      <c r="B269" s="14"/>
      <c r="C269" s="34"/>
      <c r="D269" s="14"/>
      <c r="E269" s="14"/>
      <c r="F269" s="14"/>
      <c r="G269" s="15"/>
      <c r="H269" s="14"/>
      <c r="I269" s="169"/>
      <c r="J269" s="14"/>
      <c r="K269" s="14"/>
      <c r="L269" s="59"/>
      <c r="M269" s="14"/>
      <c r="N269" s="14"/>
      <c r="O269" s="14"/>
      <c r="P269" s="14"/>
      <c r="Q269" s="14"/>
      <c r="R269" s="14"/>
      <c r="S269" s="14"/>
      <c r="T269" s="15"/>
      <c r="U269" s="50">
        <v>4</v>
      </c>
      <c r="V269" s="8" t="s">
        <v>132</v>
      </c>
      <c r="W269" s="8" t="s">
        <v>24</v>
      </c>
      <c r="X269" s="8" t="s">
        <v>373</v>
      </c>
      <c r="Y269" s="66" t="s">
        <v>1068</v>
      </c>
      <c r="Z269" s="52" t="s">
        <v>1069</v>
      </c>
      <c r="AA269" s="51" t="s">
        <v>1070</v>
      </c>
      <c r="AB269" s="53">
        <v>1.8484804000000001E-2</v>
      </c>
      <c r="AC269" s="53">
        <v>0.11459330099999999</v>
      </c>
      <c r="AD269" s="55">
        <v>0.39233433299999998</v>
      </c>
      <c r="AE269" s="56">
        <v>12.151707610000001</v>
      </c>
      <c r="AF269" s="53">
        <v>0.72012163200000001</v>
      </c>
      <c r="AG269" s="53">
        <v>1.5117400000000001E-4</v>
      </c>
    </row>
    <row r="270" spans="1:33" x14ac:dyDescent="0.2">
      <c r="A270" s="1" t="s">
        <v>306</v>
      </c>
      <c r="B270" s="2" t="s">
        <v>307</v>
      </c>
      <c r="C270" s="33">
        <v>200</v>
      </c>
      <c r="D270" s="2" t="s">
        <v>22</v>
      </c>
      <c r="E270" s="2" t="s">
        <v>23</v>
      </c>
      <c r="F270" s="2" t="s">
        <v>24</v>
      </c>
      <c r="G270" s="3" t="s">
        <v>25</v>
      </c>
      <c r="H270" s="2" t="s">
        <v>26</v>
      </c>
      <c r="I270" s="4" t="s">
        <v>308</v>
      </c>
      <c r="J270" s="2">
        <v>5</v>
      </c>
      <c r="K270" s="2" t="s">
        <v>86</v>
      </c>
      <c r="L270" s="5" t="s">
        <v>70</v>
      </c>
      <c r="M270" s="2" t="s">
        <v>127</v>
      </c>
      <c r="N270" s="2" t="s">
        <v>132</v>
      </c>
      <c r="O270" s="2" t="s">
        <v>140</v>
      </c>
      <c r="T270" s="2" t="s">
        <v>30</v>
      </c>
      <c r="U270" s="35">
        <v>1</v>
      </c>
      <c r="V270" s="36" t="s">
        <v>70</v>
      </c>
      <c r="W270" s="36" t="s">
        <v>24</v>
      </c>
      <c r="X270" s="36" t="s">
        <v>373</v>
      </c>
      <c r="Y270" s="65" t="s">
        <v>1071</v>
      </c>
      <c r="Z270" s="38" t="s">
        <v>1072</v>
      </c>
      <c r="AA270" s="37" t="s">
        <v>1073</v>
      </c>
      <c r="AB270" s="39">
        <v>4.663316E-2</v>
      </c>
      <c r="AC270" s="39">
        <v>0.21176519299999999</v>
      </c>
      <c r="AD270" s="41">
        <v>1.346241901</v>
      </c>
      <c r="AE270" s="42">
        <v>61.10629119</v>
      </c>
      <c r="AF270" s="39">
        <v>0.68854954499999999</v>
      </c>
      <c r="AG270" s="39">
        <v>2.11888E-4</v>
      </c>
    </row>
    <row r="271" spans="1:33" x14ac:dyDescent="0.2">
      <c r="A271" s="1"/>
      <c r="C271" s="33"/>
      <c r="G271" s="3"/>
      <c r="I271" s="4"/>
      <c r="L271" s="5"/>
      <c r="U271" s="43">
        <v>2</v>
      </c>
      <c r="V271" s="2" t="s">
        <v>127</v>
      </c>
      <c r="W271" s="2" t="s">
        <v>24</v>
      </c>
      <c r="X271" s="2" t="s">
        <v>373</v>
      </c>
      <c r="Y271" s="5" t="s">
        <v>1074</v>
      </c>
      <c r="Z271" s="45" t="s">
        <v>1075</v>
      </c>
      <c r="AA271" s="44" t="s">
        <v>1076</v>
      </c>
      <c r="AB271" s="46">
        <v>5.3458949999999998E-2</v>
      </c>
      <c r="AC271" s="46">
        <v>0.25631746399999999</v>
      </c>
      <c r="AD271" s="48">
        <v>1.7914862570000001</v>
      </c>
      <c r="AE271" s="49">
        <v>77.089334930000007</v>
      </c>
      <c r="AF271" s="46">
        <v>0.68416100800000001</v>
      </c>
      <c r="AG271" s="46">
        <v>1.9812399999999999E-4</v>
      </c>
    </row>
    <row r="272" spans="1:33" x14ac:dyDescent="0.2">
      <c r="A272" s="1"/>
      <c r="C272" s="33"/>
      <c r="G272" s="3"/>
      <c r="I272" s="4"/>
      <c r="L272" s="5"/>
      <c r="U272" s="43">
        <v>3</v>
      </c>
      <c r="V272" s="2" t="s">
        <v>132</v>
      </c>
      <c r="W272" s="2" t="s">
        <v>24</v>
      </c>
      <c r="X272" s="2" t="s">
        <v>373</v>
      </c>
      <c r="Y272" s="5" t="s">
        <v>1077</v>
      </c>
      <c r="Z272" s="45" t="s">
        <v>1078</v>
      </c>
      <c r="AA272" s="44" t="s">
        <v>1079</v>
      </c>
      <c r="AB272" s="46">
        <v>5.5495717E-2</v>
      </c>
      <c r="AC272" s="46">
        <v>0.24381082500000001</v>
      </c>
      <c r="AD272" s="48">
        <v>1.646763156</v>
      </c>
      <c r="AE272" s="49">
        <v>71.354164170000004</v>
      </c>
      <c r="AF272" s="46">
        <v>0.68245978399999996</v>
      </c>
      <c r="AG272" s="46">
        <v>2.00325E-4</v>
      </c>
    </row>
    <row r="273" spans="1:33" x14ac:dyDescent="0.2">
      <c r="A273" s="1"/>
      <c r="C273" s="33"/>
      <c r="G273" s="11"/>
      <c r="H273" s="33"/>
      <c r="I273" s="4"/>
      <c r="L273" s="5"/>
      <c r="U273" s="43">
        <v>4</v>
      </c>
      <c r="V273" s="2" t="s">
        <v>140</v>
      </c>
      <c r="W273" s="2" t="s">
        <v>24</v>
      </c>
      <c r="X273" s="2" t="s">
        <v>373</v>
      </c>
      <c r="Y273" s="5" t="s">
        <v>1080</v>
      </c>
      <c r="Z273" s="45" t="s">
        <v>1081</v>
      </c>
      <c r="AA273" s="44" t="s">
        <v>1082</v>
      </c>
      <c r="AB273" s="46">
        <v>7.0427703999999994E-2</v>
      </c>
      <c r="AC273" s="46">
        <v>0.30617876399999999</v>
      </c>
      <c r="AD273" s="48">
        <v>2.2664499189999998</v>
      </c>
      <c r="AE273" s="49">
        <v>93.792510489999998</v>
      </c>
      <c r="AF273" s="46">
        <v>0.67178528100000001</v>
      </c>
      <c r="AG273" s="46">
        <v>1.86064E-4</v>
      </c>
    </row>
    <row r="274" spans="1:33" x14ac:dyDescent="0.2">
      <c r="A274" s="13"/>
      <c r="B274" s="14"/>
      <c r="C274" s="34"/>
      <c r="D274" s="14"/>
      <c r="E274" s="14"/>
      <c r="F274" s="14"/>
      <c r="G274" s="14"/>
      <c r="H274" s="34"/>
      <c r="I274" s="169"/>
      <c r="J274" s="14"/>
      <c r="K274" s="14"/>
      <c r="L274" s="59"/>
      <c r="M274" s="14"/>
      <c r="N274" s="14"/>
      <c r="O274" s="14"/>
      <c r="P274" s="14"/>
      <c r="Q274" s="14"/>
      <c r="R274" s="14"/>
      <c r="S274" s="14"/>
      <c r="T274" s="15"/>
      <c r="U274" s="50">
        <v>5</v>
      </c>
      <c r="V274" s="8" t="s">
        <v>86</v>
      </c>
      <c r="W274" s="8" t="s">
        <v>24</v>
      </c>
      <c r="X274" s="8" t="s">
        <v>373</v>
      </c>
      <c r="Y274" s="66" t="s">
        <v>1083</v>
      </c>
      <c r="Z274" s="52" t="s">
        <v>1084</v>
      </c>
      <c r="AA274" s="51" t="s">
        <v>1085</v>
      </c>
      <c r="AB274" s="53">
        <v>1.9206000000000001E-2</v>
      </c>
      <c r="AC274" s="53">
        <v>0.17305029999999999</v>
      </c>
      <c r="AD274" s="55">
        <v>0.36680020200000002</v>
      </c>
      <c r="AE274" s="56">
        <v>16.937627320000001</v>
      </c>
      <c r="AF274" s="53">
        <v>0.702837512</v>
      </c>
      <c r="AG274" s="53">
        <v>2.20189E-4</v>
      </c>
    </row>
    <row r="275" spans="1:33" x14ac:dyDescent="0.2">
      <c r="A275" s="1" t="s">
        <v>309</v>
      </c>
      <c r="B275" s="2" t="s">
        <v>310</v>
      </c>
      <c r="C275" s="33">
        <v>351</v>
      </c>
      <c r="D275" s="2" t="s">
        <v>22</v>
      </c>
      <c r="E275" s="2" t="s">
        <v>23</v>
      </c>
      <c r="F275" s="2" t="s">
        <v>24</v>
      </c>
      <c r="G275" s="11" t="s">
        <v>25</v>
      </c>
      <c r="H275" s="33" t="s">
        <v>26</v>
      </c>
      <c r="I275" s="4" t="s">
        <v>311</v>
      </c>
      <c r="J275" s="2">
        <v>5</v>
      </c>
      <c r="K275" s="2" t="s">
        <v>58</v>
      </c>
      <c r="L275" s="5" t="s">
        <v>92</v>
      </c>
      <c r="M275" s="2" t="s">
        <v>102</v>
      </c>
      <c r="N275" s="2" t="s">
        <v>51</v>
      </c>
      <c r="O275" s="2" t="s">
        <v>52</v>
      </c>
      <c r="T275" s="2" t="s">
        <v>30</v>
      </c>
      <c r="U275" s="35">
        <v>1</v>
      </c>
      <c r="V275" s="36" t="s">
        <v>58</v>
      </c>
      <c r="W275" s="36" t="s">
        <v>24</v>
      </c>
      <c r="X275" s="36" t="s">
        <v>373</v>
      </c>
      <c r="Y275" s="65" t="s">
        <v>1086</v>
      </c>
      <c r="Z275" s="38" t="s">
        <v>1087</v>
      </c>
      <c r="AA275" s="37" t="s">
        <v>1088</v>
      </c>
      <c r="AB275" s="39">
        <v>5.6791765000000001E-2</v>
      </c>
      <c r="AC275" s="39">
        <v>0.29106891099999999</v>
      </c>
      <c r="AD275" s="41">
        <v>0.77515081799999996</v>
      </c>
      <c r="AE275" s="42">
        <v>28.063990409999999</v>
      </c>
      <c r="AF275" s="39">
        <v>0.66986082599999996</v>
      </c>
      <c r="AG275" s="39">
        <v>1.6085900000000001E-4</v>
      </c>
    </row>
    <row r="276" spans="1:33" x14ac:dyDescent="0.2">
      <c r="A276" s="1"/>
      <c r="C276" s="33"/>
      <c r="G276" s="11"/>
      <c r="H276" s="33"/>
      <c r="I276" s="4"/>
      <c r="L276" s="5"/>
      <c r="U276" s="43">
        <v>2</v>
      </c>
      <c r="V276" s="2" t="s">
        <v>102</v>
      </c>
      <c r="W276" s="2" t="s">
        <v>24</v>
      </c>
      <c r="X276" s="2" t="s">
        <v>373</v>
      </c>
      <c r="Y276" s="5" t="s">
        <v>1089</v>
      </c>
      <c r="Z276" s="45" t="s">
        <v>1090</v>
      </c>
      <c r="AA276" s="44" t="s">
        <v>1091</v>
      </c>
      <c r="AB276" s="46">
        <v>6.6204807000000004E-2</v>
      </c>
      <c r="AC276" s="46">
        <v>0.33079602600000002</v>
      </c>
      <c r="AD276" s="48">
        <v>0.97706996800000001</v>
      </c>
      <c r="AE276" s="49">
        <v>34.792929899999997</v>
      </c>
      <c r="AF276" s="46">
        <v>0.67330291099999995</v>
      </c>
      <c r="AG276" s="46">
        <v>1.5863100000000001E-4</v>
      </c>
    </row>
    <row r="277" spans="1:33" x14ac:dyDescent="0.2">
      <c r="A277" s="1"/>
      <c r="C277" s="33"/>
      <c r="G277" s="11"/>
      <c r="H277" s="33"/>
      <c r="I277" s="4"/>
      <c r="L277" s="5"/>
      <c r="U277" s="43">
        <v>3</v>
      </c>
      <c r="V277" s="2" t="s">
        <v>51</v>
      </c>
      <c r="W277" s="2" t="s">
        <v>24</v>
      </c>
      <c r="X277" s="2" t="s">
        <v>373</v>
      </c>
      <c r="Y277" s="5" t="s">
        <v>1092</v>
      </c>
      <c r="Z277" s="45" t="s">
        <v>1093</v>
      </c>
      <c r="AA277" s="44" t="s">
        <v>1094</v>
      </c>
      <c r="AB277" s="46">
        <v>8.3775031E-2</v>
      </c>
      <c r="AC277" s="46">
        <v>0.39783504200000003</v>
      </c>
      <c r="AD277" s="48">
        <v>1.2961844789999999</v>
      </c>
      <c r="AE277" s="49">
        <v>42.620311559999998</v>
      </c>
      <c r="AF277" s="46">
        <v>0.65935438999999996</v>
      </c>
      <c r="AG277" s="46">
        <v>1.4157699999999999E-4</v>
      </c>
    </row>
    <row r="278" spans="1:33" x14ac:dyDescent="0.2">
      <c r="A278" s="1"/>
      <c r="C278" s="33"/>
      <c r="G278" s="11"/>
      <c r="H278" s="33"/>
      <c r="I278" s="4"/>
      <c r="L278" s="5"/>
      <c r="U278" s="43">
        <v>4</v>
      </c>
      <c r="V278" s="2" t="s">
        <v>52</v>
      </c>
      <c r="W278" s="2" t="s">
        <v>24</v>
      </c>
      <c r="X278" s="2" t="s">
        <v>373</v>
      </c>
      <c r="Y278" s="5" t="s">
        <v>1095</v>
      </c>
      <c r="Z278" s="45" t="s">
        <v>1096</v>
      </c>
      <c r="AA278" s="44" t="s">
        <v>1097</v>
      </c>
      <c r="AB278" s="46">
        <v>6.2200874000000003E-2</v>
      </c>
      <c r="AC278" s="46">
        <v>0.29637143999999999</v>
      </c>
      <c r="AD278" s="48">
        <v>0.81355006799999996</v>
      </c>
      <c r="AE278" s="49">
        <v>29.982444579999999</v>
      </c>
      <c r="AF278" s="46">
        <v>0.67338237000000001</v>
      </c>
      <c r="AG278" s="46">
        <v>1.65303E-4</v>
      </c>
    </row>
    <row r="279" spans="1:33" x14ac:dyDescent="0.2">
      <c r="A279" s="13"/>
      <c r="B279" s="14"/>
      <c r="C279" s="34"/>
      <c r="D279" s="14"/>
      <c r="E279" s="14"/>
      <c r="F279" s="14"/>
      <c r="G279" s="14"/>
      <c r="H279" s="34"/>
      <c r="I279" s="169"/>
      <c r="J279" s="14"/>
      <c r="K279" s="14"/>
      <c r="L279" s="59"/>
      <c r="M279" s="14"/>
      <c r="N279" s="14"/>
      <c r="O279" s="14"/>
      <c r="P279" s="14"/>
      <c r="Q279" s="14"/>
      <c r="R279" s="14"/>
      <c r="S279" s="14"/>
      <c r="T279" s="15"/>
      <c r="U279" s="50">
        <v>5</v>
      </c>
      <c r="V279" s="8" t="s">
        <v>92</v>
      </c>
      <c r="W279" s="8" t="s">
        <v>24</v>
      </c>
      <c r="X279" s="8" t="s">
        <v>373</v>
      </c>
      <c r="Y279" s="66" t="s">
        <v>1098</v>
      </c>
      <c r="Z279" s="52" t="s">
        <v>1099</v>
      </c>
      <c r="AA279" s="51" t="s">
        <v>1100</v>
      </c>
      <c r="AB279" s="53">
        <v>2.5237404000000001E-2</v>
      </c>
      <c r="AC279" s="53">
        <v>0.161313605</v>
      </c>
      <c r="AD279" s="55">
        <v>0.34897452699999998</v>
      </c>
      <c r="AE279" s="56">
        <v>14.895086879999999</v>
      </c>
      <c r="AF279" s="53">
        <v>0.69287789899999996</v>
      </c>
      <c r="AG279" s="53">
        <v>2.0293000000000001E-4</v>
      </c>
    </row>
    <row r="280" spans="1:33" x14ac:dyDescent="0.2">
      <c r="A280" s="106" t="s">
        <v>312</v>
      </c>
      <c r="B280" s="107" t="s">
        <v>310</v>
      </c>
      <c r="C280" s="175">
        <v>351</v>
      </c>
      <c r="D280" s="107" t="s">
        <v>22</v>
      </c>
      <c r="E280" s="107" t="s">
        <v>23</v>
      </c>
      <c r="F280" s="107" t="s">
        <v>24</v>
      </c>
      <c r="G280" s="107" t="s">
        <v>25</v>
      </c>
      <c r="H280" s="175" t="s">
        <v>26</v>
      </c>
      <c r="I280" s="177" t="s">
        <v>166</v>
      </c>
      <c r="J280" s="107">
        <v>1</v>
      </c>
      <c r="K280" s="107" t="s">
        <v>82</v>
      </c>
      <c r="L280" s="107"/>
      <c r="M280" s="107"/>
      <c r="N280" s="107"/>
      <c r="O280" s="107"/>
      <c r="P280" s="107"/>
      <c r="Q280" s="107"/>
      <c r="R280" s="107"/>
      <c r="S280" s="107"/>
      <c r="T280" s="176" t="s">
        <v>30</v>
      </c>
      <c r="U280" s="43">
        <v>1</v>
      </c>
      <c r="V280" s="2" t="s">
        <v>82</v>
      </c>
      <c r="W280" s="2" t="s">
        <v>24</v>
      </c>
      <c r="X280" s="2" t="s">
        <v>373</v>
      </c>
      <c r="Y280" s="5" t="s">
        <v>1101</v>
      </c>
      <c r="Z280" s="45" t="s">
        <v>1102</v>
      </c>
      <c r="AA280" s="44" t="s">
        <v>1103</v>
      </c>
      <c r="AB280" s="46">
        <v>1.9054245000000001E-2</v>
      </c>
      <c r="AC280" s="46">
        <v>0.113213811</v>
      </c>
      <c r="AD280" s="48">
        <v>0.17820893500000001</v>
      </c>
      <c r="AE280" s="49">
        <v>8.3855003000000004</v>
      </c>
      <c r="AF280" s="46">
        <v>0.74400898699999996</v>
      </c>
      <c r="AG280" s="46">
        <v>2.4304700000000001E-4</v>
      </c>
    </row>
    <row r="281" spans="1:33" x14ac:dyDescent="0.2">
      <c r="A281" s="106" t="s">
        <v>313</v>
      </c>
      <c r="B281" s="107" t="s">
        <v>314</v>
      </c>
      <c r="C281" s="175">
        <v>350</v>
      </c>
      <c r="D281" s="107" t="s">
        <v>22</v>
      </c>
      <c r="E281" s="107" t="s">
        <v>23</v>
      </c>
      <c r="F281" s="107" t="s">
        <v>24</v>
      </c>
      <c r="G281" s="107" t="s">
        <v>25</v>
      </c>
      <c r="H281" s="175" t="s">
        <v>26</v>
      </c>
      <c r="I281" s="107">
        <v>9</v>
      </c>
      <c r="J281" s="107">
        <v>1</v>
      </c>
      <c r="K281" s="107" t="s">
        <v>86</v>
      </c>
      <c r="L281" s="107"/>
      <c r="M281" s="107"/>
      <c r="N281" s="107"/>
      <c r="O281" s="107"/>
      <c r="P281" s="107"/>
      <c r="Q281" s="107"/>
      <c r="R281" s="107"/>
      <c r="S281" s="107"/>
      <c r="T281" s="176" t="s">
        <v>30</v>
      </c>
      <c r="U281" s="67">
        <v>1</v>
      </c>
      <c r="V281" s="68" t="s">
        <v>86</v>
      </c>
      <c r="W281" s="68" t="s">
        <v>24</v>
      </c>
      <c r="X281" s="68" t="s">
        <v>373</v>
      </c>
      <c r="Y281" s="69">
        <v>152056791</v>
      </c>
      <c r="Z281" s="70">
        <v>106771747</v>
      </c>
      <c r="AA281" s="71">
        <v>16777</v>
      </c>
      <c r="AB281" s="72">
        <v>5.7652456999999997E-2</v>
      </c>
      <c r="AC281" s="72">
        <v>0.492113947</v>
      </c>
      <c r="AD281" s="83">
        <v>2.5171410280000002</v>
      </c>
      <c r="AE281" s="84">
        <v>63.972558419999999</v>
      </c>
      <c r="AF281" s="72">
        <v>0.70218335099999996</v>
      </c>
      <c r="AG281" s="72">
        <v>1.10334E-4</v>
      </c>
    </row>
    <row r="282" spans="1:33" x14ac:dyDescent="0.2">
      <c r="A282" s="9" t="s">
        <v>315</v>
      </c>
      <c r="B282" s="11" t="s">
        <v>316</v>
      </c>
      <c r="C282" s="33">
        <v>518</v>
      </c>
      <c r="D282" s="11" t="s">
        <v>22</v>
      </c>
      <c r="E282" s="11" t="s">
        <v>23</v>
      </c>
      <c r="F282" s="11" t="s">
        <v>24</v>
      </c>
      <c r="G282" s="11" t="s">
        <v>25</v>
      </c>
      <c r="H282" s="33" t="s">
        <v>26</v>
      </c>
      <c r="I282" s="10" t="s">
        <v>317</v>
      </c>
      <c r="J282" s="11">
        <v>3</v>
      </c>
      <c r="K282" s="11" t="s">
        <v>56</v>
      </c>
      <c r="L282" s="11" t="s">
        <v>41</v>
      </c>
      <c r="M282" s="11" t="s">
        <v>42</v>
      </c>
      <c r="N282" s="11"/>
      <c r="O282" s="11"/>
      <c r="P282" s="11"/>
      <c r="Q282" s="11"/>
      <c r="R282" s="11"/>
      <c r="S282" s="11"/>
      <c r="T282" s="11" t="s">
        <v>30</v>
      </c>
      <c r="U282" s="43">
        <v>1</v>
      </c>
      <c r="V282" s="2" t="s">
        <v>41</v>
      </c>
      <c r="W282" s="2" t="s">
        <v>24</v>
      </c>
      <c r="X282" s="2" t="s">
        <v>373</v>
      </c>
      <c r="Y282" s="44" t="s">
        <v>1104</v>
      </c>
      <c r="Z282" s="45" t="s">
        <v>1105</v>
      </c>
      <c r="AA282" s="44" t="s">
        <v>1106</v>
      </c>
      <c r="AB282" s="46">
        <v>4.1305102000000003E-2</v>
      </c>
      <c r="AC282" s="58">
        <v>0.12433556699999999</v>
      </c>
      <c r="AD282" s="85">
        <v>0.27596886500000001</v>
      </c>
      <c r="AE282" s="86">
        <v>13.967285800000001</v>
      </c>
      <c r="AF282" s="46">
        <v>0.261127094</v>
      </c>
      <c r="AG282" s="46">
        <v>8.8200000000000003E-5</v>
      </c>
    </row>
    <row r="283" spans="1:33" x14ac:dyDescent="0.2">
      <c r="A283" s="9"/>
      <c r="B283" s="11"/>
      <c r="C283" s="33"/>
      <c r="D283" s="11"/>
      <c r="E283" s="11"/>
      <c r="F283" s="11"/>
      <c r="G283" s="11"/>
      <c r="H283" s="33"/>
      <c r="I283" s="10"/>
      <c r="J283" s="11"/>
      <c r="K283" s="11"/>
      <c r="L283" s="11"/>
      <c r="M283" s="11"/>
      <c r="N283" s="11"/>
      <c r="O283" s="11"/>
      <c r="P283" s="11"/>
      <c r="Q283" s="11"/>
      <c r="R283" s="11"/>
      <c r="S283" s="11"/>
      <c r="T283" s="11"/>
      <c r="U283" s="43">
        <v>2</v>
      </c>
      <c r="V283" s="2" t="s">
        <v>56</v>
      </c>
      <c r="W283" s="2" t="s">
        <v>24</v>
      </c>
      <c r="X283" s="2" t="s">
        <v>373</v>
      </c>
      <c r="Y283" s="57" t="s">
        <v>1107</v>
      </c>
      <c r="Z283" s="87" t="s">
        <v>1108</v>
      </c>
      <c r="AA283" s="88" t="s">
        <v>1109</v>
      </c>
      <c r="AB283" s="46">
        <v>9.6354447999999995E-2</v>
      </c>
      <c r="AC283" s="58">
        <v>0.23396098800000001</v>
      </c>
      <c r="AD283" s="85">
        <v>0.52614630399999995</v>
      </c>
      <c r="AE283" s="86">
        <v>25.617795090000001</v>
      </c>
      <c r="AF283" s="46">
        <v>0.23774630999999999</v>
      </c>
      <c r="AG283" s="46">
        <v>7.5400000000000003E-5</v>
      </c>
    </row>
    <row r="284" spans="1:33" ht="17" thickBot="1" x14ac:dyDescent="0.25">
      <c r="A284" s="9"/>
      <c r="B284" s="11"/>
      <c r="C284" s="33"/>
      <c r="D284" s="11"/>
      <c r="E284" s="11"/>
      <c r="F284" s="11"/>
      <c r="G284" s="11"/>
      <c r="H284" s="33"/>
      <c r="I284" s="10"/>
      <c r="J284" s="11"/>
      <c r="K284" s="11"/>
      <c r="L284" s="11"/>
      <c r="M284" s="11"/>
      <c r="N284" s="11"/>
      <c r="O284" s="11"/>
      <c r="P284" s="11"/>
      <c r="Q284" s="11"/>
      <c r="R284" s="11"/>
      <c r="S284" s="11"/>
      <c r="T284" s="11"/>
      <c r="U284" s="43">
        <v>3</v>
      </c>
      <c r="V284" s="11" t="s">
        <v>42</v>
      </c>
      <c r="W284" s="11" t="s">
        <v>24</v>
      </c>
      <c r="X284" s="11" t="s">
        <v>373</v>
      </c>
      <c r="Y284" s="57" t="s">
        <v>1110</v>
      </c>
      <c r="Z284" s="87" t="s">
        <v>1111</v>
      </c>
      <c r="AA284" s="88" t="s">
        <v>1112</v>
      </c>
      <c r="AB284" s="58">
        <v>4.3459721999999999E-2</v>
      </c>
      <c r="AC284" s="58">
        <v>0.12972972999999999</v>
      </c>
      <c r="AD284" s="85">
        <v>0.29688097800000002</v>
      </c>
      <c r="AE284" s="86">
        <v>15.159976029999999</v>
      </c>
      <c r="AF284" s="58">
        <v>0.25857312199999999</v>
      </c>
      <c r="AG284" s="58">
        <v>8.6600000000000004E-5</v>
      </c>
    </row>
    <row r="285" spans="1:33" x14ac:dyDescent="0.2">
      <c r="A285" s="190" t="s">
        <v>1153</v>
      </c>
      <c r="B285" s="191" t="s">
        <v>359</v>
      </c>
      <c r="C285" s="192" t="s">
        <v>94</v>
      </c>
      <c r="D285" s="193" t="s">
        <v>22</v>
      </c>
      <c r="E285" s="193" t="s">
        <v>23</v>
      </c>
      <c r="F285" s="193" t="s">
        <v>24</v>
      </c>
      <c r="G285" s="193" t="s">
        <v>25</v>
      </c>
      <c r="H285" s="192" t="s">
        <v>26</v>
      </c>
      <c r="I285" s="194" t="s">
        <v>166</v>
      </c>
      <c r="J285" s="193">
        <v>1</v>
      </c>
      <c r="K285" s="193" t="s">
        <v>58</v>
      </c>
      <c r="L285" s="193"/>
      <c r="M285" s="193"/>
      <c r="N285" s="193"/>
      <c r="O285" s="193"/>
      <c r="P285" s="193"/>
      <c r="Q285" s="193"/>
      <c r="R285" s="193"/>
      <c r="S285" s="193"/>
      <c r="T285" s="195" t="s">
        <v>30</v>
      </c>
      <c r="U285" s="196">
        <v>1</v>
      </c>
      <c r="V285" s="197" t="s">
        <v>58</v>
      </c>
      <c r="W285" s="198" t="s">
        <v>24</v>
      </c>
      <c r="X285" s="198" t="s">
        <v>373</v>
      </c>
      <c r="Y285" s="199">
        <v>39334460</v>
      </c>
      <c r="Z285" s="200">
        <v>8051844</v>
      </c>
      <c r="AA285" s="201">
        <v>6286</v>
      </c>
      <c r="AB285" s="202">
        <v>3.8616096161299997E-2</v>
      </c>
      <c r="AC285" s="202">
        <v>0.21990568379299999</v>
      </c>
      <c r="AD285" s="200">
        <v>0.18317257705699999</v>
      </c>
      <c r="AE285" s="201">
        <v>22.0829239065</v>
      </c>
      <c r="AF285" s="202">
        <v>0.20470203480599999</v>
      </c>
      <c r="AG285" s="202">
        <v>1.5980898174299999E-4</v>
      </c>
    </row>
    <row r="286" spans="1:33" x14ac:dyDescent="0.2">
      <c r="A286" s="106" t="s">
        <v>355</v>
      </c>
      <c r="B286" s="107" t="s">
        <v>93</v>
      </c>
      <c r="C286" s="175" t="s">
        <v>94</v>
      </c>
      <c r="D286" s="107" t="s">
        <v>22</v>
      </c>
      <c r="E286" s="107" t="s">
        <v>23</v>
      </c>
      <c r="F286" s="107" t="s">
        <v>24</v>
      </c>
      <c r="G286" s="107" t="s">
        <v>25</v>
      </c>
      <c r="H286" s="175" t="s">
        <v>26</v>
      </c>
      <c r="I286" s="177" t="s">
        <v>67</v>
      </c>
      <c r="J286" s="107">
        <v>1</v>
      </c>
      <c r="K286" s="107" t="s">
        <v>28</v>
      </c>
      <c r="L286" s="107"/>
      <c r="M286" s="107"/>
      <c r="N286" s="107"/>
      <c r="O286" s="107"/>
      <c r="P286" s="107"/>
      <c r="Q286" s="107"/>
      <c r="R286" s="107"/>
      <c r="S286" s="107"/>
      <c r="T286" s="176" t="s">
        <v>30</v>
      </c>
      <c r="U286" s="67">
        <v>1</v>
      </c>
      <c r="V286" s="68" t="s">
        <v>28</v>
      </c>
      <c r="W286" s="68" t="s">
        <v>24</v>
      </c>
      <c r="X286" s="68" t="s">
        <v>373</v>
      </c>
      <c r="Y286" s="69" t="s">
        <v>1113</v>
      </c>
      <c r="Z286" s="95" t="s">
        <v>1114</v>
      </c>
      <c r="AA286" s="96" t="s">
        <v>1115</v>
      </c>
      <c r="AB286" s="72">
        <v>7.2121479000000002E-2</v>
      </c>
      <c r="AC286" s="72">
        <v>0.30097960800000001</v>
      </c>
      <c r="AD286" s="83">
        <v>0.50069286800000001</v>
      </c>
      <c r="AE286" s="84">
        <v>26.096345119999999</v>
      </c>
      <c r="AF286" s="72">
        <v>0.63701092999999998</v>
      </c>
      <c r="AG286" s="72">
        <v>2.2247099999999999E-4</v>
      </c>
    </row>
    <row r="287" spans="1:33" x14ac:dyDescent="0.2">
      <c r="A287" s="106" t="s">
        <v>362</v>
      </c>
      <c r="B287" s="107" t="s">
        <v>96</v>
      </c>
      <c r="C287" s="175" t="s">
        <v>94</v>
      </c>
      <c r="D287" s="107" t="s">
        <v>22</v>
      </c>
      <c r="E287" s="107" t="s">
        <v>23</v>
      </c>
      <c r="F287" s="107" t="s">
        <v>24</v>
      </c>
      <c r="G287" s="107" t="s">
        <v>25</v>
      </c>
      <c r="H287" s="175" t="s">
        <v>26</v>
      </c>
      <c r="I287" s="177" t="s">
        <v>61</v>
      </c>
      <c r="J287" s="107">
        <v>1</v>
      </c>
      <c r="K287" s="107" t="s">
        <v>47</v>
      </c>
      <c r="L287" s="107"/>
      <c r="M287" s="107"/>
      <c r="N287" s="107"/>
      <c r="O287" s="107"/>
      <c r="P287" s="107"/>
      <c r="Q287" s="107"/>
      <c r="R287" s="107"/>
      <c r="S287" s="107"/>
      <c r="T287" s="176" t="s">
        <v>30</v>
      </c>
      <c r="U287" s="67">
        <v>1</v>
      </c>
      <c r="V287" s="36" t="s">
        <v>47</v>
      </c>
      <c r="W287" s="68" t="s">
        <v>24</v>
      </c>
      <c r="X287" s="68" t="s">
        <v>373</v>
      </c>
      <c r="Y287" s="69" t="s">
        <v>1116</v>
      </c>
      <c r="Z287" s="95" t="s">
        <v>1117</v>
      </c>
      <c r="AA287" s="96" t="s">
        <v>1118</v>
      </c>
      <c r="AB287" s="72">
        <v>1.9910312999999999E-2</v>
      </c>
      <c r="AC287" s="72">
        <v>0.29970278700000003</v>
      </c>
      <c r="AD287" s="83">
        <v>0.484536839</v>
      </c>
      <c r="AE287" s="84">
        <v>35.261653680000002</v>
      </c>
      <c r="AF287" s="72">
        <v>0.721209188</v>
      </c>
      <c r="AG287" s="72">
        <v>3.3152700000000003E-4</v>
      </c>
    </row>
    <row r="288" spans="1:33" x14ac:dyDescent="0.2">
      <c r="A288" s="106" t="s">
        <v>357</v>
      </c>
      <c r="B288" s="107" t="s">
        <v>358</v>
      </c>
      <c r="C288" s="175" t="s">
        <v>94</v>
      </c>
      <c r="D288" s="107" t="s">
        <v>22</v>
      </c>
      <c r="E288" s="107" t="s">
        <v>23</v>
      </c>
      <c r="F288" s="107" t="s">
        <v>24</v>
      </c>
      <c r="G288" s="107" t="s">
        <v>25</v>
      </c>
      <c r="H288" s="175" t="s">
        <v>26</v>
      </c>
      <c r="I288" s="177" t="s">
        <v>177</v>
      </c>
      <c r="J288" s="107">
        <v>1</v>
      </c>
      <c r="K288" s="107" t="s">
        <v>29</v>
      </c>
      <c r="L288" s="107"/>
      <c r="M288" s="107"/>
      <c r="N288" s="107"/>
      <c r="O288" s="107"/>
      <c r="P288" s="107"/>
      <c r="Q288" s="107"/>
      <c r="R288" s="107"/>
      <c r="S288" s="107"/>
      <c r="T288" s="176" t="s">
        <v>30</v>
      </c>
      <c r="U288" s="67">
        <v>1</v>
      </c>
      <c r="V288" s="97" t="s">
        <v>29</v>
      </c>
      <c r="W288" s="68" t="s">
        <v>24</v>
      </c>
      <c r="X288" s="68" t="s">
        <v>373</v>
      </c>
      <c r="Y288" s="12">
        <v>14883498</v>
      </c>
      <c r="Z288" s="93">
        <v>3360014</v>
      </c>
      <c r="AA288" s="12">
        <v>4015</v>
      </c>
      <c r="AB288" s="98">
        <v>8.2817169918599998E-2</v>
      </c>
      <c r="AC288" s="99">
        <v>0.22951448858199999</v>
      </c>
      <c r="AD288" s="12">
        <v>9.3862845495600006E-2</v>
      </c>
      <c r="AE288" s="12">
        <v>16.1786099461</v>
      </c>
      <c r="AF288" s="98">
        <v>0.22575432200100001</v>
      </c>
      <c r="AG288" s="94">
        <v>2.6976185302699998E-4</v>
      </c>
    </row>
    <row r="289" spans="1:33" x14ac:dyDescent="0.2">
      <c r="A289" s="106" t="s">
        <v>356</v>
      </c>
      <c r="B289" s="107" t="s">
        <v>98</v>
      </c>
      <c r="C289" s="175" t="s">
        <v>94</v>
      </c>
      <c r="D289" s="107" t="s">
        <v>22</v>
      </c>
      <c r="E289" s="107" t="s">
        <v>23</v>
      </c>
      <c r="F289" s="107" t="s">
        <v>24</v>
      </c>
      <c r="G289" s="107" t="s">
        <v>25</v>
      </c>
      <c r="H289" s="175" t="s">
        <v>26</v>
      </c>
      <c r="I289" s="177" t="s">
        <v>67</v>
      </c>
      <c r="J289" s="107">
        <v>1</v>
      </c>
      <c r="K289" s="107" t="s">
        <v>46</v>
      </c>
      <c r="L289" s="107"/>
      <c r="M289" s="107"/>
      <c r="N289" s="107"/>
      <c r="O289" s="107"/>
      <c r="P289" s="107"/>
      <c r="Q289" s="107"/>
      <c r="R289" s="107"/>
      <c r="S289" s="107"/>
      <c r="T289" s="176" t="s">
        <v>30</v>
      </c>
      <c r="U289" s="67">
        <v>1</v>
      </c>
      <c r="V289" s="68" t="s">
        <v>46</v>
      </c>
      <c r="W289" s="68" t="s">
        <v>24</v>
      </c>
      <c r="X289" s="68" t="s">
        <v>373</v>
      </c>
      <c r="Y289" s="69" t="s">
        <v>1119</v>
      </c>
      <c r="Z289" s="95" t="s">
        <v>1120</v>
      </c>
      <c r="AA289" s="96" t="s">
        <v>1121</v>
      </c>
      <c r="AB289" s="72">
        <v>0.21712158000000001</v>
      </c>
      <c r="AC289" s="72">
        <v>0.39451233600000002</v>
      </c>
      <c r="AD289" s="83">
        <v>0.49871096799999998</v>
      </c>
      <c r="AE289" s="84">
        <v>32.005152789999997</v>
      </c>
      <c r="AF289" s="72">
        <v>0.26944520999999999</v>
      </c>
      <c r="AG289" s="72">
        <v>1.13254E-4</v>
      </c>
    </row>
    <row r="290" spans="1:33" x14ac:dyDescent="0.2">
      <c r="A290" s="106" t="s">
        <v>318</v>
      </c>
      <c r="B290" s="106" t="s">
        <v>335</v>
      </c>
      <c r="C290" s="123">
        <v>600</v>
      </c>
      <c r="D290" s="118" t="s">
        <v>22</v>
      </c>
      <c r="E290" s="118" t="s">
        <v>23</v>
      </c>
      <c r="F290" s="118" t="s">
        <v>24</v>
      </c>
      <c r="G290" s="107" t="s">
        <v>25</v>
      </c>
      <c r="H290" s="175" t="s">
        <v>26</v>
      </c>
      <c r="I290" s="107">
        <v>9</v>
      </c>
      <c r="J290" s="107">
        <v>1</v>
      </c>
      <c r="K290" s="106" t="s">
        <v>28</v>
      </c>
      <c r="L290" s="107"/>
      <c r="M290" s="107"/>
      <c r="N290" s="107"/>
      <c r="O290" s="107"/>
      <c r="P290" s="107"/>
      <c r="Q290" s="107"/>
      <c r="R290" s="107"/>
      <c r="S290" s="107"/>
      <c r="T290" s="176" t="s">
        <v>30</v>
      </c>
      <c r="U290" s="35">
        <v>1</v>
      </c>
      <c r="V290" s="1" t="s">
        <v>28</v>
      </c>
      <c r="W290" s="2" t="s">
        <v>24</v>
      </c>
      <c r="X290" s="2" t="s">
        <v>373</v>
      </c>
      <c r="Y290" s="100">
        <v>5133845</v>
      </c>
      <c r="Z290" s="101">
        <v>3557816</v>
      </c>
      <c r="AA290" s="102">
        <v>1022</v>
      </c>
      <c r="AB290" s="94">
        <v>4.4999999999999997E-3</v>
      </c>
      <c r="AC290" s="94">
        <v>3.2199999999999999E-2</v>
      </c>
      <c r="AD290" s="103">
        <v>8.1408056000000006E-2</v>
      </c>
      <c r="AE290" s="104">
        <v>3.419892151</v>
      </c>
      <c r="AF290" s="94">
        <v>0.69299999999999995</v>
      </c>
      <c r="AG290" s="94">
        <v>2.0000000000000001E-4</v>
      </c>
    </row>
    <row r="291" spans="1:33" x14ac:dyDescent="0.2">
      <c r="A291" s="106" t="s">
        <v>319</v>
      </c>
      <c r="B291" s="106" t="s">
        <v>336</v>
      </c>
      <c r="C291" s="123">
        <v>524</v>
      </c>
      <c r="D291" s="118" t="s">
        <v>22</v>
      </c>
      <c r="E291" s="118" t="s">
        <v>23</v>
      </c>
      <c r="F291" s="118" t="s">
        <v>24</v>
      </c>
      <c r="G291" s="107" t="s">
        <v>25</v>
      </c>
      <c r="H291" s="175" t="s">
        <v>26</v>
      </c>
      <c r="I291" s="107">
        <v>7</v>
      </c>
      <c r="J291" s="107">
        <v>1</v>
      </c>
      <c r="K291" s="106" t="s">
        <v>62</v>
      </c>
      <c r="L291" s="107"/>
      <c r="M291" s="107"/>
      <c r="N291" s="107"/>
      <c r="O291" s="107"/>
      <c r="P291" s="107"/>
      <c r="Q291" s="107"/>
      <c r="R291" s="107"/>
      <c r="S291" s="107"/>
      <c r="T291" s="176" t="s">
        <v>30</v>
      </c>
      <c r="U291" s="105">
        <v>1</v>
      </c>
      <c r="V291" s="106" t="s">
        <v>62</v>
      </c>
      <c r="W291" s="107" t="s">
        <v>24</v>
      </c>
      <c r="X291" s="107" t="s">
        <v>373</v>
      </c>
      <c r="Y291" s="108">
        <v>8171886</v>
      </c>
      <c r="Z291" s="109">
        <v>4860337</v>
      </c>
      <c r="AA291" s="110">
        <v>1260</v>
      </c>
      <c r="AB291" s="111">
        <v>4.4999999999999997E-3</v>
      </c>
      <c r="AC291" s="111">
        <v>2.63E-2</v>
      </c>
      <c r="AD291" s="112">
        <v>0.111698924</v>
      </c>
      <c r="AE291" s="113">
        <v>4.1937088080000002</v>
      </c>
      <c r="AF291" s="111">
        <v>0.5948</v>
      </c>
      <c r="AG291" s="111">
        <v>2.0000000000000001E-4</v>
      </c>
    </row>
    <row r="292" spans="1:33" x14ac:dyDescent="0.2">
      <c r="A292" s="106" t="s">
        <v>320</v>
      </c>
      <c r="B292" s="106" t="s">
        <v>337</v>
      </c>
      <c r="C292" s="123">
        <v>470</v>
      </c>
      <c r="D292" s="118" t="s">
        <v>22</v>
      </c>
      <c r="E292" s="118" t="s">
        <v>23</v>
      </c>
      <c r="F292" s="118" t="s">
        <v>24</v>
      </c>
      <c r="G292" s="107" t="s">
        <v>25</v>
      </c>
      <c r="H292" s="175" t="s">
        <v>26</v>
      </c>
      <c r="I292" s="107">
        <v>7</v>
      </c>
      <c r="J292" s="107">
        <v>1</v>
      </c>
      <c r="K292" s="106" t="s">
        <v>87</v>
      </c>
      <c r="L292" s="107"/>
      <c r="M292" s="107"/>
      <c r="N292" s="107"/>
      <c r="O292" s="107"/>
      <c r="P292" s="107"/>
      <c r="Q292" s="107"/>
      <c r="R292" s="107"/>
      <c r="S292" s="107"/>
      <c r="T292" s="176" t="s">
        <v>30</v>
      </c>
      <c r="U292" s="50">
        <v>1</v>
      </c>
      <c r="V292" s="1" t="s">
        <v>87</v>
      </c>
      <c r="W292" s="2" t="s">
        <v>24</v>
      </c>
      <c r="X292" s="2" t="s">
        <v>373</v>
      </c>
      <c r="Y292" s="100">
        <v>9169243</v>
      </c>
      <c r="Z292" s="101">
        <v>6895048</v>
      </c>
      <c r="AA292" s="102">
        <v>2671</v>
      </c>
      <c r="AB292" s="94">
        <v>4.8999999999999998E-3</v>
      </c>
      <c r="AC292" s="94">
        <v>9.1499999999999998E-2</v>
      </c>
      <c r="AD292" s="103">
        <v>0.15417671499999999</v>
      </c>
      <c r="AE292" s="104">
        <v>8.6134811259999999</v>
      </c>
      <c r="AF292" s="94">
        <v>0.752</v>
      </c>
      <c r="AG292" s="94">
        <v>2.9999999999999997E-4</v>
      </c>
    </row>
    <row r="293" spans="1:33" x14ac:dyDescent="0.2">
      <c r="A293" s="1" t="s">
        <v>114</v>
      </c>
      <c r="B293" s="2" t="s">
        <v>115</v>
      </c>
      <c r="C293" s="33">
        <v>445</v>
      </c>
      <c r="D293" s="2" t="s">
        <v>22</v>
      </c>
      <c r="E293" s="2" t="s">
        <v>23</v>
      </c>
      <c r="F293" s="2" t="s">
        <v>24</v>
      </c>
      <c r="G293" s="11" t="s">
        <v>25</v>
      </c>
      <c r="H293" s="33" t="s">
        <v>26</v>
      </c>
      <c r="I293" s="4" t="s">
        <v>55</v>
      </c>
      <c r="J293" s="2">
        <v>1</v>
      </c>
      <c r="K293" s="2" t="s">
        <v>57</v>
      </c>
      <c r="T293" s="2" t="s">
        <v>30</v>
      </c>
      <c r="U293" s="35">
        <v>1</v>
      </c>
      <c r="V293" s="36" t="s">
        <v>57</v>
      </c>
      <c r="W293" s="36" t="s">
        <v>24</v>
      </c>
      <c r="X293" s="36" t="s">
        <v>373</v>
      </c>
      <c r="Y293" s="65" t="s">
        <v>1122</v>
      </c>
      <c r="Z293" s="114" t="s">
        <v>1123</v>
      </c>
      <c r="AA293" s="115" t="s">
        <v>1124</v>
      </c>
      <c r="AB293" s="39">
        <v>6.7247740000000002E-3</v>
      </c>
      <c r="AC293" s="39">
        <v>7.7988338000000004E-2</v>
      </c>
      <c r="AD293" s="116">
        <v>0.19120050599999999</v>
      </c>
      <c r="AE293" s="117">
        <v>8.9581785499999995</v>
      </c>
      <c r="AF293" s="39">
        <v>0.746438402</v>
      </c>
      <c r="AG293" s="39">
        <v>2.4240899999999999E-4</v>
      </c>
    </row>
    <row r="294" spans="1:33" x14ac:dyDescent="0.2">
      <c r="A294" s="1"/>
      <c r="C294" s="33"/>
      <c r="G294" s="11"/>
      <c r="H294" s="33"/>
      <c r="I294" s="4"/>
      <c r="U294" s="50">
        <v>2</v>
      </c>
      <c r="V294" s="8" t="s">
        <v>102</v>
      </c>
      <c r="W294" s="8" t="s">
        <v>24</v>
      </c>
      <c r="X294" s="8" t="s">
        <v>373</v>
      </c>
      <c r="Y294" s="66">
        <v>265099155</v>
      </c>
      <c r="Z294" s="89" t="s">
        <v>1125</v>
      </c>
      <c r="AA294" s="90" t="s">
        <v>1126</v>
      </c>
      <c r="AB294" s="53">
        <v>0.18545921000000001</v>
      </c>
      <c r="AC294" s="53">
        <v>0.25910202199999999</v>
      </c>
      <c r="AD294" s="91">
        <v>3.0581317960000001</v>
      </c>
      <c r="AE294" s="92">
        <v>141.00748949999999</v>
      </c>
      <c r="AF294" s="53">
        <f>Z294/Y294</f>
        <v>0.60078691688021413</v>
      </c>
      <c r="AG294" s="53">
        <f>AA294/Y294</f>
        <v>1.9090969942925695E-4</v>
      </c>
    </row>
    <row r="295" spans="1:33" x14ac:dyDescent="0.2">
      <c r="A295" s="183" t="s">
        <v>321</v>
      </c>
      <c r="B295" s="183" t="s">
        <v>338</v>
      </c>
      <c r="C295" s="93">
        <v>502</v>
      </c>
      <c r="D295" s="68" t="s">
        <v>22</v>
      </c>
      <c r="E295" s="68" t="s">
        <v>23</v>
      </c>
      <c r="F295" s="68" t="s">
        <v>24</v>
      </c>
      <c r="G295" s="68" t="s">
        <v>25</v>
      </c>
      <c r="H295" s="187" t="s">
        <v>26</v>
      </c>
      <c r="I295" s="184">
        <v>8</v>
      </c>
      <c r="J295" s="68">
        <v>1</v>
      </c>
      <c r="K295" s="184" t="s">
        <v>172</v>
      </c>
      <c r="L295" s="68"/>
      <c r="M295" s="68"/>
      <c r="N295" s="68"/>
      <c r="O295" s="68"/>
      <c r="P295" s="68"/>
      <c r="Q295" s="68"/>
      <c r="R295" s="68"/>
      <c r="S295" s="68"/>
      <c r="T295" s="185" t="s">
        <v>30</v>
      </c>
      <c r="U295" s="35">
        <v>1</v>
      </c>
      <c r="V295" s="12" t="s">
        <v>172</v>
      </c>
      <c r="W295" s="2" t="s">
        <v>24</v>
      </c>
      <c r="X295" s="2" t="s">
        <v>373</v>
      </c>
      <c r="Y295" s="100">
        <v>4411991</v>
      </c>
      <c r="Z295" s="101">
        <v>3085157</v>
      </c>
      <c r="AA295" s="102">
        <v>992</v>
      </c>
      <c r="AB295" s="94">
        <v>8.9759403809700003E-3</v>
      </c>
      <c r="AC295" s="94">
        <v>4.1545893719799998E-2</v>
      </c>
      <c r="AD295" s="103">
        <v>6.5705956150399994E-2</v>
      </c>
      <c r="AE295" s="104">
        <v>2.96938286399</v>
      </c>
      <c r="AF295" s="94">
        <v>0.69926638562999999</v>
      </c>
      <c r="AG295" s="94">
        <v>2.2484180044799999E-4</v>
      </c>
    </row>
    <row r="296" spans="1:33" x14ac:dyDescent="0.2">
      <c r="A296" s="183" t="s">
        <v>322</v>
      </c>
      <c r="B296" s="183" t="s">
        <v>339</v>
      </c>
      <c r="C296" s="93">
        <v>363</v>
      </c>
      <c r="D296" s="68" t="s">
        <v>22</v>
      </c>
      <c r="E296" s="68" t="s">
        <v>23</v>
      </c>
      <c r="F296" s="68" t="s">
        <v>24</v>
      </c>
      <c r="G296" s="68" t="s">
        <v>25</v>
      </c>
      <c r="H296" s="187" t="s">
        <v>26</v>
      </c>
      <c r="I296" s="184">
        <v>11</v>
      </c>
      <c r="J296" s="68">
        <v>1</v>
      </c>
      <c r="K296" s="184" t="s">
        <v>128</v>
      </c>
      <c r="L296" s="68"/>
      <c r="M296" s="68"/>
      <c r="N296" s="68"/>
      <c r="O296" s="68"/>
      <c r="P296" s="68"/>
      <c r="Q296" s="68"/>
      <c r="R296" s="68"/>
      <c r="S296" s="68"/>
      <c r="T296" s="185" t="s">
        <v>30</v>
      </c>
      <c r="U296" s="105">
        <v>1</v>
      </c>
      <c r="V296" s="118" t="s">
        <v>128</v>
      </c>
      <c r="W296" s="107" t="s">
        <v>24</v>
      </c>
      <c r="X296" s="107" t="s">
        <v>373</v>
      </c>
      <c r="Y296" s="108">
        <v>3701913</v>
      </c>
      <c r="Z296" s="109">
        <v>2775505</v>
      </c>
      <c r="AA296" s="110">
        <v>781</v>
      </c>
      <c r="AB296" s="111">
        <v>1.37548175085E-2</v>
      </c>
      <c r="AC296" s="111">
        <v>3.6991368680599997E-2</v>
      </c>
      <c r="AD296" s="112">
        <v>6.8670571884100001E-2</v>
      </c>
      <c r="AE296" s="113">
        <v>2.7627920910700001</v>
      </c>
      <c r="AF296" s="111">
        <v>0.74974884607000003</v>
      </c>
      <c r="AG296" s="111">
        <v>2.1097200285399999E-4</v>
      </c>
    </row>
    <row r="297" spans="1:33" x14ac:dyDescent="0.2">
      <c r="A297" s="183" t="s">
        <v>323</v>
      </c>
      <c r="B297" s="183" t="s">
        <v>340</v>
      </c>
      <c r="C297" s="93">
        <v>356</v>
      </c>
      <c r="D297" s="68" t="s">
        <v>22</v>
      </c>
      <c r="E297" s="68" t="s">
        <v>23</v>
      </c>
      <c r="F297" s="68" t="s">
        <v>24</v>
      </c>
      <c r="G297" s="68" t="s">
        <v>25</v>
      </c>
      <c r="H297" s="187" t="s">
        <v>26</v>
      </c>
      <c r="I297" s="68">
        <v>6</v>
      </c>
      <c r="J297" s="68">
        <v>1</v>
      </c>
      <c r="K297" s="184" t="s">
        <v>106</v>
      </c>
      <c r="L297" s="68"/>
      <c r="M297" s="68"/>
      <c r="N297" s="68"/>
      <c r="O297" s="68"/>
      <c r="P297" s="68"/>
      <c r="Q297" s="68"/>
      <c r="R297" s="68"/>
      <c r="S297" s="68"/>
      <c r="T297" s="185" t="s">
        <v>30</v>
      </c>
      <c r="U297" s="43">
        <v>1</v>
      </c>
      <c r="V297" s="12" t="s">
        <v>106</v>
      </c>
      <c r="W297" s="2" t="s">
        <v>24</v>
      </c>
      <c r="X297" s="2" t="s">
        <v>373</v>
      </c>
      <c r="Y297" s="100">
        <v>5380668</v>
      </c>
      <c r="Z297" s="101">
        <v>3049421</v>
      </c>
      <c r="AA297" s="102">
        <v>1048</v>
      </c>
      <c r="AB297" s="94">
        <v>5.4000000000000003E-3</v>
      </c>
      <c r="AC297" s="94">
        <v>4.1200000000000001E-2</v>
      </c>
      <c r="AD297" s="103">
        <v>7.0244069000000006E-2</v>
      </c>
      <c r="AE297" s="104">
        <v>3.4997004189999998</v>
      </c>
      <c r="AF297" s="94">
        <v>0.56669999999999998</v>
      </c>
      <c r="AG297" s="94">
        <v>2.0000000000000001E-4</v>
      </c>
    </row>
    <row r="298" spans="1:33" x14ac:dyDescent="0.2">
      <c r="A298" s="183" t="s">
        <v>324</v>
      </c>
      <c r="B298" s="183" t="s">
        <v>341</v>
      </c>
      <c r="C298" s="93">
        <v>558</v>
      </c>
      <c r="D298" s="184" t="s">
        <v>22</v>
      </c>
      <c r="E298" s="184" t="s">
        <v>23</v>
      </c>
      <c r="F298" s="184" t="s">
        <v>24</v>
      </c>
      <c r="G298" s="68" t="s">
        <v>25</v>
      </c>
      <c r="H298" s="187" t="s">
        <v>26</v>
      </c>
      <c r="I298" s="68">
        <v>6</v>
      </c>
      <c r="J298" s="68">
        <v>1</v>
      </c>
      <c r="K298" s="183" t="s">
        <v>45</v>
      </c>
      <c r="L298" s="68"/>
      <c r="M298" s="68"/>
      <c r="N298" s="68"/>
      <c r="O298" s="68"/>
      <c r="P298" s="68"/>
      <c r="Q298" s="68"/>
      <c r="R298" s="68"/>
      <c r="S298" s="68"/>
      <c r="T298" s="185" t="s">
        <v>30</v>
      </c>
      <c r="U298" s="105">
        <v>1</v>
      </c>
      <c r="V298" s="106" t="s">
        <v>45</v>
      </c>
      <c r="W298" s="107" t="s">
        <v>24</v>
      </c>
      <c r="X298" s="107" t="s">
        <v>373</v>
      </c>
      <c r="Y298" s="108">
        <v>6264395</v>
      </c>
      <c r="Z298" s="109">
        <v>4502916</v>
      </c>
      <c r="AA298" s="110">
        <v>1259</v>
      </c>
      <c r="AB298" s="111">
        <v>1.09E-2</v>
      </c>
      <c r="AC298" s="111">
        <v>4.19E-2</v>
      </c>
      <c r="AD298" s="112">
        <v>9.8190233000000002E-2</v>
      </c>
      <c r="AE298" s="113">
        <v>3.9813061709999999</v>
      </c>
      <c r="AF298" s="111">
        <v>0.71879999999999999</v>
      </c>
      <c r="AG298" s="111">
        <v>2.0000000000000001E-4</v>
      </c>
    </row>
    <row r="299" spans="1:33" x14ac:dyDescent="0.2">
      <c r="A299" s="183" t="s">
        <v>325</v>
      </c>
      <c r="B299" s="183" t="s">
        <v>342</v>
      </c>
      <c r="C299" s="93">
        <v>286</v>
      </c>
      <c r="D299" s="184" t="s">
        <v>22</v>
      </c>
      <c r="E299" s="184" t="s">
        <v>23</v>
      </c>
      <c r="F299" s="184" t="s">
        <v>24</v>
      </c>
      <c r="G299" s="68" t="s">
        <v>25</v>
      </c>
      <c r="H299" s="187" t="s">
        <v>26</v>
      </c>
      <c r="I299" s="68">
        <v>7</v>
      </c>
      <c r="J299" s="68">
        <v>1</v>
      </c>
      <c r="K299" s="183" t="s">
        <v>46</v>
      </c>
      <c r="L299" s="68"/>
      <c r="M299" s="68"/>
      <c r="N299" s="68"/>
      <c r="O299" s="68"/>
      <c r="P299" s="68"/>
      <c r="Q299" s="68"/>
      <c r="R299" s="68"/>
      <c r="S299" s="68"/>
      <c r="T299" s="185" t="s">
        <v>30</v>
      </c>
      <c r="U299" s="43">
        <v>1</v>
      </c>
      <c r="V299" s="1" t="s">
        <v>46</v>
      </c>
      <c r="W299" s="2" t="s">
        <v>24</v>
      </c>
      <c r="X299" s="2" t="s">
        <v>373</v>
      </c>
      <c r="Y299" s="100">
        <v>4626651</v>
      </c>
      <c r="Z299" s="101">
        <v>3390826</v>
      </c>
      <c r="AA299" s="102">
        <v>1089</v>
      </c>
      <c r="AB299" s="94">
        <v>1.12E-2</v>
      </c>
      <c r="AC299" s="94">
        <v>4.2200000000000001E-2</v>
      </c>
      <c r="AD299" s="103">
        <v>7.6249345999999996E-2</v>
      </c>
      <c r="AE299" s="104">
        <v>3.4869982030000002</v>
      </c>
      <c r="AF299" s="94">
        <v>0.7329</v>
      </c>
      <c r="AG299" s="94">
        <v>2.0000000000000001E-4</v>
      </c>
    </row>
    <row r="300" spans="1:33" x14ac:dyDescent="0.2">
      <c r="A300" s="183" t="s">
        <v>326</v>
      </c>
      <c r="B300" s="183" t="s">
        <v>343</v>
      </c>
      <c r="C300" s="93">
        <v>600</v>
      </c>
      <c r="D300" s="184" t="s">
        <v>22</v>
      </c>
      <c r="E300" s="184" t="s">
        <v>23</v>
      </c>
      <c r="F300" s="184" t="s">
        <v>24</v>
      </c>
      <c r="G300" s="68" t="s">
        <v>25</v>
      </c>
      <c r="H300" s="187" t="s">
        <v>26</v>
      </c>
      <c r="I300" s="68">
        <v>9</v>
      </c>
      <c r="J300" s="68">
        <v>1</v>
      </c>
      <c r="K300" s="183" t="s">
        <v>101</v>
      </c>
      <c r="L300" s="68"/>
      <c r="M300" s="68"/>
      <c r="N300" s="68"/>
      <c r="O300" s="68"/>
      <c r="P300" s="68"/>
      <c r="Q300" s="68"/>
      <c r="R300" s="68"/>
      <c r="S300" s="68"/>
      <c r="T300" s="185" t="s">
        <v>30</v>
      </c>
      <c r="U300" s="105">
        <v>1</v>
      </c>
      <c r="V300" s="106" t="s">
        <v>101</v>
      </c>
      <c r="W300" s="107" t="s">
        <v>24</v>
      </c>
      <c r="X300" s="107" t="s">
        <v>373</v>
      </c>
      <c r="Y300" s="108">
        <v>6512003</v>
      </c>
      <c r="Z300" s="109">
        <v>4372523</v>
      </c>
      <c r="AA300" s="110">
        <v>1611</v>
      </c>
      <c r="AB300" s="111">
        <v>5.5999999999999999E-3</v>
      </c>
      <c r="AC300" s="111">
        <v>4.7899999999999998E-2</v>
      </c>
      <c r="AD300" s="112">
        <v>9.6133363999999999E-2</v>
      </c>
      <c r="AE300" s="113">
        <v>5.3445176749999996</v>
      </c>
      <c r="AF300" s="111">
        <v>0.67149999999999999</v>
      </c>
      <c r="AG300" s="111">
        <v>2.0000000000000001E-4</v>
      </c>
    </row>
    <row r="301" spans="1:33" x14ac:dyDescent="0.2">
      <c r="A301" s="1" t="s">
        <v>129</v>
      </c>
      <c r="B301" s="2" t="s">
        <v>130</v>
      </c>
      <c r="C301" s="33">
        <v>430</v>
      </c>
      <c r="D301" s="2" t="s">
        <v>22</v>
      </c>
      <c r="E301" s="2" t="s">
        <v>23</v>
      </c>
      <c r="F301" s="2" t="s">
        <v>24</v>
      </c>
      <c r="G301" s="11" t="s">
        <v>105</v>
      </c>
      <c r="H301" s="33" t="s">
        <v>26</v>
      </c>
      <c r="I301" s="4" t="s">
        <v>131</v>
      </c>
      <c r="J301" s="2">
        <v>7</v>
      </c>
      <c r="K301" s="2" t="s">
        <v>132</v>
      </c>
      <c r="L301" s="2" t="s">
        <v>58</v>
      </c>
      <c r="M301" s="2" t="s">
        <v>57</v>
      </c>
      <c r="N301" s="2" t="s">
        <v>71</v>
      </c>
      <c r="O301" s="2" t="s">
        <v>72</v>
      </c>
      <c r="P301" s="2" t="s">
        <v>35</v>
      </c>
      <c r="Q301" s="2" t="s">
        <v>36</v>
      </c>
      <c r="R301" s="2" t="s">
        <v>133</v>
      </c>
      <c r="S301" s="2" t="s">
        <v>133</v>
      </c>
      <c r="T301" s="2" t="s">
        <v>109</v>
      </c>
      <c r="U301" s="43">
        <v>1</v>
      </c>
      <c r="V301" s="11" t="s">
        <v>35</v>
      </c>
      <c r="W301" s="11" t="s">
        <v>24</v>
      </c>
      <c r="X301" s="11" t="s">
        <v>373</v>
      </c>
      <c r="Y301" s="57">
        <v>58317375</v>
      </c>
      <c r="Z301" s="87" t="s">
        <v>1127</v>
      </c>
      <c r="AA301" s="88" t="s">
        <v>1128</v>
      </c>
      <c r="AB301" s="58">
        <v>0.311727276</v>
      </c>
      <c r="AC301" s="58">
        <v>0.34506812199999998</v>
      </c>
      <c r="AD301" s="85">
        <v>0.18332468499999999</v>
      </c>
      <c r="AE301" s="86">
        <v>118.64475729999999</v>
      </c>
      <c r="AF301" s="58">
        <f t="shared" ref="AF301:AF307" si="4">Z301/Y301</f>
        <v>0.15702088785717808</v>
      </c>
      <c r="AG301" s="58">
        <f t="shared" ref="AG301:AG307" si="5">AA301/Y301</f>
        <v>6.8746235577304363E-4</v>
      </c>
    </row>
    <row r="302" spans="1:33" x14ac:dyDescent="0.2">
      <c r="A302" s="1"/>
      <c r="C302" s="33"/>
      <c r="G302" s="11"/>
      <c r="H302" s="33"/>
      <c r="I302" s="4"/>
      <c r="U302" s="43">
        <v>2</v>
      </c>
      <c r="V302" s="2" t="s">
        <v>36</v>
      </c>
      <c r="W302" s="2" t="s">
        <v>24</v>
      </c>
      <c r="X302" s="2" t="s">
        <v>373</v>
      </c>
      <c r="Y302" s="5">
        <v>39139856</v>
      </c>
      <c r="Z302" s="87" t="s">
        <v>1129</v>
      </c>
      <c r="AA302" s="88" t="s">
        <v>1130</v>
      </c>
      <c r="AB302" s="46">
        <v>0.252076301</v>
      </c>
      <c r="AC302" s="46">
        <v>0.28022445600000001</v>
      </c>
      <c r="AD302" s="85">
        <v>0.14099973700000001</v>
      </c>
      <c r="AE302" s="86">
        <v>91.027381669999997</v>
      </c>
      <c r="AF302" s="46">
        <f t="shared" si="4"/>
        <v>0.18255613919478908</v>
      </c>
      <c r="AG302" s="46">
        <f t="shared" si="5"/>
        <v>7.9964525163301573E-4</v>
      </c>
    </row>
    <row r="303" spans="1:33" x14ac:dyDescent="0.2">
      <c r="A303" s="1"/>
      <c r="C303" s="33"/>
      <c r="G303" s="11"/>
      <c r="H303" s="33"/>
      <c r="I303" s="4"/>
      <c r="U303" s="43">
        <v>3</v>
      </c>
      <c r="V303" s="2" t="s">
        <v>58</v>
      </c>
      <c r="W303" s="2" t="s">
        <v>24</v>
      </c>
      <c r="X303" s="2" t="s">
        <v>373</v>
      </c>
      <c r="Y303" s="5">
        <v>14764448</v>
      </c>
      <c r="Z303" s="87" t="s">
        <v>1131</v>
      </c>
      <c r="AA303" s="88" t="s">
        <v>1132</v>
      </c>
      <c r="AB303" s="46">
        <v>8.6935803000000006E-2</v>
      </c>
      <c r="AC303" s="46">
        <v>0.101030388</v>
      </c>
      <c r="AD303" s="85">
        <v>4.0099792000000002E-2</v>
      </c>
      <c r="AE303" s="86">
        <v>27.248532059999999</v>
      </c>
      <c r="AF303" s="46">
        <f t="shared" si="4"/>
        <v>0.1510573236466409</v>
      </c>
      <c r="AG303" s="46">
        <f t="shared" si="5"/>
        <v>6.972830951756544E-4</v>
      </c>
    </row>
    <row r="304" spans="1:33" x14ac:dyDescent="0.2">
      <c r="A304" s="1"/>
      <c r="C304" s="33"/>
      <c r="G304" s="11"/>
      <c r="H304" s="33"/>
      <c r="I304" s="4"/>
      <c r="U304" s="43">
        <v>4</v>
      </c>
      <c r="V304" s="2" t="s">
        <v>132</v>
      </c>
      <c r="W304" s="2" t="s">
        <v>24</v>
      </c>
      <c r="X304" s="2" t="s">
        <v>373</v>
      </c>
      <c r="Y304" s="5">
        <v>23102176</v>
      </c>
      <c r="Z304" s="87" t="s">
        <v>1133</v>
      </c>
      <c r="AA304" s="88" t="s">
        <v>1134</v>
      </c>
      <c r="AB304" s="46">
        <v>8.3253906000000003E-2</v>
      </c>
      <c r="AC304" s="46">
        <v>9.9313439000000003E-2</v>
      </c>
      <c r="AD304" s="85">
        <v>6.1499036E-2</v>
      </c>
      <c r="AE304" s="86">
        <v>39.834212100000002</v>
      </c>
      <c r="AF304" s="46">
        <f t="shared" si="4"/>
        <v>0.12860637023975577</v>
      </c>
      <c r="AG304" s="46">
        <f t="shared" si="5"/>
        <v>5.7353904671144393E-4</v>
      </c>
    </row>
    <row r="305" spans="1:33" x14ac:dyDescent="0.2">
      <c r="A305" s="1"/>
      <c r="C305" s="33"/>
      <c r="G305" s="11"/>
      <c r="H305" s="33"/>
      <c r="I305" s="4"/>
      <c r="U305" s="43">
        <v>5</v>
      </c>
      <c r="V305" s="2" t="s">
        <v>57</v>
      </c>
      <c r="W305" s="2" t="s">
        <v>24</v>
      </c>
      <c r="X305" s="2" t="s">
        <v>373</v>
      </c>
      <c r="Y305" s="5">
        <v>16615098</v>
      </c>
      <c r="Z305" s="87" t="s">
        <v>1135</v>
      </c>
      <c r="AA305" s="88" t="s">
        <v>1136</v>
      </c>
      <c r="AB305" s="46">
        <v>0.10423601</v>
      </c>
      <c r="AC305" s="46">
        <v>0.114264621</v>
      </c>
      <c r="AD305" s="85">
        <v>4.434047E-2</v>
      </c>
      <c r="AE305" s="86">
        <v>29.410545240000001</v>
      </c>
      <c r="AF305" s="46">
        <f t="shared" si="4"/>
        <v>0.14375274825342588</v>
      </c>
      <c r="AG305" s="46">
        <f t="shared" si="5"/>
        <v>6.4989084024662388E-4</v>
      </c>
    </row>
    <row r="306" spans="1:33" x14ac:dyDescent="0.2">
      <c r="A306" s="1"/>
      <c r="C306" s="33"/>
      <c r="G306" s="11"/>
      <c r="H306" s="33"/>
      <c r="I306" s="4"/>
      <c r="U306" s="43">
        <v>6</v>
      </c>
      <c r="V306" s="2" t="s">
        <v>71</v>
      </c>
      <c r="W306" s="2" t="s">
        <v>24</v>
      </c>
      <c r="X306" s="2" t="s">
        <v>373</v>
      </c>
      <c r="Y306" s="5">
        <v>20785048</v>
      </c>
      <c r="Z306" s="87" t="s">
        <v>1137</v>
      </c>
      <c r="AA306" s="88" t="s">
        <v>1138</v>
      </c>
      <c r="AB306" s="46">
        <v>0.11279067</v>
      </c>
      <c r="AC306" s="46">
        <v>0.13036143</v>
      </c>
      <c r="AD306" s="85">
        <v>5.4682933000000003E-2</v>
      </c>
      <c r="AE306" s="86">
        <v>36.14307969</v>
      </c>
      <c r="AF306" s="46">
        <f t="shared" si="4"/>
        <v>0.14361958654124832</v>
      </c>
      <c r="AG306" s="46">
        <f t="shared" si="5"/>
        <v>6.4479042819626882E-4</v>
      </c>
    </row>
    <row r="307" spans="1:33" x14ac:dyDescent="0.2">
      <c r="A307" s="13"/>
      <c r="B307" s="14"/>
      <c r="C307" s="34"/>
      <c r="D307" s="14"/>
      <c r="E307" s="14"/>
      <c r="F307" s="14"/>
      <c r="G307" s="14"/>
      <c r="H307" s="34"/>
      <c r="I307" s="169"/>
      <c r="J307" s="14"/>
      <c r="K307" s="14"/>
      <c r="L307" s="14"/>
      <c r="M307" s="14"/>
      <c r="N307" s="14"/>
      <c r="O307" s="14"/>
      <c r="P307" s="14"/>
      <c r="Q307" s="14"/>
      <c r="R307" s="14"/>
      <c r="S307" s="14"/>
      <c r="T307" s="15"/>
      <c r="U307" s="43">
        <v>7</v>
      </c>
      <c r="V307" s="2" t="s">
        <v>72</v>
      </c>
      <c r="W307" s="2" t="s">
        <v>24</v>
      </c>
      <c r="X307" s="2" t="s">
        <v>373</v>
      </c>
      <c r="Y307" s="5">
        <v>25913630</v>
      </c>
      <c r="Z307" s="87" t="s">
        <v>1139</v>
      </c>
      <c r="AA307" s="88" t="s">
        <v>1140</v>
      </c>
      <c r="AB307" s="46">
        <v>0.12712379600000001</v>
      </c>
      <c r="AC307" s="46">
        <v>0.148104082</v>
      </c>
      <c r="AD307" s="85">
        <v>6.6874974000000004E-2</v>
      </c>
      <c r="AE307" s="86">
        <v>44.023606950000001</v>
      </c>
      <c r="AF307" s="46">
        <f t="shared" si="4"/>
        <v>0.1415016730577692</v>
      </c>
      <c r="AG307" s="46">
        <f t="shared" si="5"/>
        <v>6.3549568315978886E-4</v>
      </c>
    </row>
    <row r="308" spans="1:33" x14ac:dyDescent="0.2">
      <c r="A308" s="1" t="s">
        <v>144</v>
      </c>
      <c r="B308" s="2" t="s">
        <v>145</v>
      </c>
      <c r="C308" s="33">
        <v>515</v>
      </c>
      <c r="D308" s="2" t="s">
        <v>22</v>
      </c>
      <c r="E308" s="2" t="s">
        <v>23</v>
      </c>
      <c r="F308" s="2" t="s">
        <v>24</v>
      </c>
      <c r="G308" s="11" t="s">
        <v>25</v>
      </c>
      <c r="H308" s="33" t="s">
        <v>26</v>
      </c>
      <c r="I308" s="2">
        <v>4</v>
      </c>
      <c r="J308" s="2">
        <v>3</v>
      </c>
      <c r="K308" s="2" t="s">
        <v>106</v>
      </c>
      <c r="L308" s="2" t="s">
        <v>139</v>
      </c>
      <c r="M308" s="2" t="s">
        <v>118</v>
      </c>
      <c r="T308" s="2" t="s">
        <v>30</v>
      </c>
      <c r="U308" s="21">
        <v>4</v>
      </c>
      <c r="V308" s="20" t="s">
        <v>106</v>
      </c>
      <c r="W308" s="20" t="s">
        <v>24</v>
      </c>
      <c r="X308" s="20" t="s">
        <v>373</v>
      </c>
      <c r="Y308" s="22">
        <v>26612094</v>
      </c>
      <c r="Z308" s="119">
        <v>19274891</v>
      </c>
      <c r="AA308" s="120">
        <v>5352</v>
      </c>
      <c r="AB308" s="80">
        <v>3.2087618999999998E-2</v>
      </c>
      <c r="AC308" s="80">
        <v>0.19555087900000001</v>
      </c>
      <c r="AD308" s="121">
        <v>0.45350936200000003</v>
      </c>
      <c r="AE308" s="122">
        <v>18.57183942</v>
      </c>
      <c r="AF308" s="80">
        <v>0.72429065500000001</v>
      </c>
      <c r="AG308" s="80">
        <v>2.0111200000000001E-4</v>
      </c>
    </row>
    <row r="309" spans="1:33" x14ac:dyDescent="0.2">
      <c r="A309" s="1"/>
      <c r="C309" s="33"/>
      <c r="G309" s="11"/>
      <c r="H309" s="33"/>
      <c r="U309" s="43"/>
      <c r="V309" s="2" t="s">
        <v>139</v>
      </c>
      <c r="W309" s="2" t="s">
        <v>24</v>
      </c>
      <c r="X309" s="2" t="s">
        <v>373</v>
      </c>
      <c r="Y309" s="5">
        <v>18250784</v>
      </c>
      <c r="Z309" s="87">
        <v>13164982</v>
      </c>
      <c r="AA309" s="88">
        <v>3870</v>
      </c>
      <c r="AB309" s="46">
        <v>3.1151912E-2</v>
      </c>
      <c r="AC309" s="46">
        <v>0.14776481</v>
      </c>
      <c r="AD309" s="85">
        <v>0.30926856400000002</v>
      </c>
      <c r="AE309" s="86">
        <v>13.365368480000001</v>
      </c>
      <c r="AF309" s="46">
        <v>0.72133788899999995</v>
      </c>
      <c r="AG309" s="46">
        <v>2.12046E-4</v>
      </c>
    </row>
    <row r="310" spans="1:33" x14ac:dyDescent="0.2">
      <c r="A310" s="13"/>
      <c r="B310" s="14"/>
      <c r="C310" s="34"/>
      <c r="D310" s="14"/>
      <c r="E310" s="14"/>
      <c r="F310" s="14"/>
      <c r="G310" s="14"/>
      <c r="H310" s="34"/>
      <c r="I310" s="14"/>
      <c r="J310" s="14"/>
      <c r="K310" s="14"/>
      <c r="L310" s="14"/>
      <c r="M310" s="14"/>
      <c r="N310" s="14"/>
      <c r="O310" s="14"/>
      <c r="P310" s="14"/>
      <c r="Q310" s="14"/>
      <c r="R310" s="14"/>
      <c r="S310" s="14"/>
      <c r="T310" s="15"/>
      <c r="U310" s="43"/>
      <c r="V310" s="2" t="s">
        <v>118</v>
      </c>
      <c r="W310" s="2" t="s">
        <v>24</v>
      </c>
      <c r="X310" s="2" t="s">
        <v>373</v>
      </c>
      <c r="Y310" s="5">
        <v>9218760</v>
      </c>
      <c r="Z310" s="87">
        <v>6725827</v>
      </c>
      <c r="AA310" s="88">
        <v>2088</v>
      </c>
      <c r="AB310" s="46">
        <v>2.1051998999999998E-2</v>
      </c>
      <c r="AC310" s="46">
        <v>8.4612012E-2</v>
      </c>
      <c r="AD310" s="85">
        <v>0.157939732</v>
      </c>
      <c r="AE310" s="86">
        <v>7.0877171959999998</v>
      </c>
      <c r="AF310" s="46">
        <v>0.72958044200000005</v>
      </c>
      <c r="AG310" s="46">
        <v>2.2649500000000001E-4</v>
      </c>
    </row>
    <row r="311" spans="1:33" x14ac:dyDescent="0.2">
      <c r="A311" s="189" t="s">
        <v>360</v>
      </c>
      <c r="B311" s="189" t="s">
        <v>361</v>
      </c>
      <c r="C311" s="34" t="s">
        <v>94</v>
      </c>
      <c r="D311" s="14" t="s">
        <v>22</v>
      </c>
      <c r="E311" s="14" t="s">
        <v>23</v>
      </c>
      <c r="F311" s="14" t="s">
        <v>24</v>
      </c>
      <c r="G311" s="14" t="s">
        <v>25</v>
      </c>
      <c r="H311" s="34" t="s">
        <v>26</v>
      </c>
      <c r="I311" s="14">
        <v>14</v>
      </c>
      <c r="J311" s="14">
        <v>1</v>
      </c>
      <c r="K311" s="14" t="s">
        <v>56</v>
      </c>
      <c r="L311" s="14"/>
      <c r="M311" s="14"/>
      <c r="N311" s="14"/>
      <c r="O311" s="14"/>
      <c r="P311" s="14"/>
      <c r="Q311" s="14"/>
      <c r="R311" s="14"/>
      <c r="S311" s="14"/>
      <c r="T311" s="15" t="s">
        <v>30</v>
      </c>
      <c r="U311" s="105">
        <v>1</v>
      </c>
      <c r="V311" s="107" t="s">
        <v>56</v>
      </c>
      <c r="W311" s="107" t="s">
        <v>24</v>
      </c>
      <c r="X311" s="107" t="s">
        <v>373</v>
      </c>
      <c r="Y311" s="118">
        <v>47831996</v>
      </c>
      <c r="Z311" s="123">
        <v>3000551</v>
      </c>
      <c r="AA311" s="124">
        <v>2449</v>
      </c>
      <c r="AB311" s="111">
        <v>0.19506078053000001</v>
      </c>
      <c r="AC311" s="111">
        <v>0.26056763285000001</v>
      </c>
      <c r="AD311" s="123">
        <v>7.7641023062300002E-2</v>
      </c>
      <c r="AE311" s="124">
        <v>10.248412222900001</v>
      </c>
      <c r="AF311" s="111">
        <v>6.2731043044900001E-2</v>
      </c>
      <c r="AG311" s="111">
        <v>5.1200037732100001E-5</v>
      </c>
    </row>
    <row r="312" spans="1:33" x14ac:dyDescent="0.2">
      <c r="A312" s="1" t="s">
        <v>164</v>
      </c>
      <c r="B312" s="2" t="s">
        <v>165</v>
      </c>
      <c r="C312" s="33">
        <v>422</v>
      </c>
      <c r="D312" s="2" t="s">
        <v>22</v>
      </c>
      <c r="E312" s="2" t="s">
        <v>23</v>
      </c>
      <c r="F312" s="2" t="s">
        <v>24</v>
      </c>
      <c r="G312" s="11" t="s">
        <v>25</v>
      </c>
      <c r="H312" s="33" t="s">
        <v>26</v>
      </c>
      <c r="I312" s="4" t="s">
        <v>166</v>
      </c>
      <c r="J312" s="2">
        <v>2</v>
      </c>
      <c r="K312" s="2" t="s">
        <v>167</v>
      </c>
      <c r="L312" s="2" t="s">
        <v>34</v>
      </c>
      <c r="T312" s="2" t="s">
        <v>30</v>
      </c>
      <c r="U312" s="21">
        <v>1</v>
      </c>
      <c r="V312" s="20" t="s">
        <v>132</v>
      </c>
      <c r="W312" s="20" t="s">
        <v>24</v>
      </c>
      <c r="X312" s="20" t="s">
        <v>373</v>
      </c>
      <c r="Y312" s="22">
        <v>11680138</v>
      </c>
      <c r="Z312" s="119" t="s">
        <v>1141</v>
      </c>
      <c r="AA312" s="120" t="s">
        <v>1142</v>
      </c>
      <c r="AB312" s="80">
        <v>6.7751447000000006E-2</v>
      </c>
      <c r="AC312" s="80">
        <v>6.9938650000000005E-2</v>
      </c>
      <c r="AD312" s="121">
        <v>4.9219806999999997E-2</v>
      </c>
      <c r="AE312" s="122">
        <v>2.9187537450000001</v>
      </c>
      <c r="AF312" s="80">
        <f>Z312/Y312</f>
        <v>0.19440010040977257</v>
      </c>
      <c r="AG312" s="80">
        <f>AA312/Y312</f>
        <v>6.4896493517456729E-5</v>
      </c>
    </row>
    <row r="313" spans="1:33" x14ac:dyDescent="0.2">
      <c r="A313" s="1"/>
      <c r="C313" s="33"/>
      <c r="G313" s="11"/>
      <c r="H313" s="33"/>
      <c r="I313" s="4"/>
      <c r="U313" s="43">
        <v>2</v>
      </c>
      <c r="V313" s="2" t="s">
        <v>167</v>
      </c>
      <c r="W313" s="2" t="s">
        <v>24</v>
      </c>
      <c r="X313" s="2" t="s">
        <v>373</v>
      </c>
      <c r="Y313" s="5" t="s">
        <v>1143</v>
      </c>
      <c r="Z313" s="87" t="s">
        <v>1144</v>
      </c>
      <c r="AA313" s="88" t="s">
        <v>1145</v>
      </c>
      <c r="AB313" s="46">
        <v>1.4420530000000001E-2</v>
      </c>
      <c r="AC313" s="46">
        <v>3.8202247000000002E-2</v>
      </c>
      <c r="AD313" s="85">
        <v>2.9672296000000001E-2</v>
      </c>
      <c r="AE313" s="86">
        <v>1.4956261230000001</v>
      </c>
      <c r="AF313" s="46">
        <v>0.35182522399999999</v>
      </c>
      <c r="AG313" s="46">
        <v>1.0678700000000001E-4</v>
      </c>
    </row>
    <row r="314" spans="1:33" x14ac:dyDescent="0.2">
      <c r="A314" s="1"/>
      <c r="C314" s="33"/>
      <c r="G314" s="11"/>
      <c r="H314" s="33"/>
      <c r="I314" s="4"/>
      <c r="U314" s="43">
        <v>3</v>
      </c>
      <c r="V314" s="2" t="s">
        <v>34</v>
      </c>
      <c r="W314" s="2" t="s">
        <v>24</v>
      </c>
      <c r="X314" s="2" t="s">
        <v>373</v>
      </c>
      <c r="Y314" s="5" t="s">
        <v>1146</v>
      </c>
      <c r="Z314" s="87" t="s">
        <v>1147</v>
      </c>
      <c r="AA314" s="88" t="s">
        <v>1148</v>
      </c>
      <c r="AB314" s="46">
        <v>0.31707060199999998</v>
      </c>
      <c r="AC314" s="46">
        <v>0.418669756</v>
      </c>
      <c r="AD314" s="85">
        <v>0.46932317699999998</v>
      </c>
      <c r="AE314" s="86">
        <v>21.141042540000001</v>
      </c>
      <c r="AF314" s="46">
        <v>0.243595646</v>
      </c>
      <c r="AG314" s="46">
        <v>6.5599999999999995E-5</v>
      </c>
    </row>
    <row r="315" spans="1:33" x14ac:dyDescent="0.2">
      <c r="A315" s="183" t="s">
        <v>327</v>
      </c>
      <c r="B315" s="183" t="s">
        <v>344</v>
      </c>
      <c r="C315" s="187">
        <v>435</v>
      </c>
      <c r="D315" s="68" t="s">
        <v>22</v>
      </c>
      <c r="E315" s="68" t="s">
        <v>23</v>
      </c>
      <c r="F315" s="68" t="s">
        <v>24</v>
      </c>
      <c r="G315" s="68" t="s">
        <v>25</v>
      </c>
      <c r="H315" s="187" t="s">
        <v>26</v>
      </c>
      <c r="I315" s="68">
        <v>11</v>
      </c>
      <c r="J315" s="68">
        <v>1</v>
      </c>
      <c r="K315" s="183" t="s">
        <v>87</v>
      </c>
      <c r="L315" s="68"/>
      <c r="M315" s="68"/>
      <c r="N315" s="68"/>
      <c r="O315" s="68"/>
      <c r="P315" s="68"/>
      <c r="Q315" s="68"/>
      <c r="R315" s="68"/>
      <c r="S315" s="68"/>
      <c r="T315" s="185" t="s">
        <v>30</v>
      </c>
      <c r="U315" s="21">
        <v>1</v>
      </c>
      <c r="V315" s="125" t="s">
        <v>87</v>
      </c>
      <c r="W315" s="20" t="s">
        <v>24</v>
      </c>
      <c r="X315" s="20" t="s">
        <v>373</v>
      </c>
      <c r="Y315" s="126">
        <v>6146861</v>
      </c>
      <c r="Z315" s="127">
        <v>717214</v>
      </c>
      <c r="AA315" s="128">
        <v>831</v>
      </c>
      <c r="AB315" s="129">
        <v>1.1873270949800001E-2</v>
      </c>
      <c r="AC315" s="129">
        <v>4.48275862069E-2</v>
      </c>
      <c r="AD315" s="130">
        <v>1.6924960195700001E-2</v>
      </c>
      <c r="AE315" s="131">
        <v>2.8872977831000002</v>
      </c>
      <c r="AF315" s="129">
        <v>0.11667971668799999</v>
      </c>
      <c r="AG315" s="129">
        <v>1.3519095356199999E-4</v>
      </c>
    </row>
    <row r="316" spans="1:33" x14ac:dyDescent="0.2">
      <c r="A316" s="183" t="s">
        <v>328</v>
      </c>
      <c r="B316" s="183" t="s">
        <v>345</v>
      </c>
      <c r="C316" s="187">
        <v>583</v>
      </c>
      <c r="D316" s="68" t="s">
        <v>22</v>
      </c>
      <c r="E316" s="68" t="s">
        <v>23</v>
      </c>
      <c r="F316" s="68" t="s">
        <v>24</v>
      </c>
      <c r="G316" s="68" t="s">
        <v>25</v>
      </c>
      <c r="H316" s="187" t="s">
        <v>26</v>
      </c>
      <c r="I316" s="68">
        <v>7</v>
      </c>
      <c r="J316" s="68">
        <v>1</v>
      </c>
      <c r="K316" s="183" t="s">
        <v>69</v>
      </c>
      <c r="L316" s="68"/>
      <c r="M316" s="68"/>
      <c r="N316" s="68"/>
      <c r="O316" s="68"/>
      <c r="P316" s="68"/>
      <c r="Q316" s="68"/>
      <c r="R316" s="68"/>
      <c r="S316" s="68"/>
      <c r="T316" s="185" t="s">
        <v>30</v>
      </c>
      <c r="U316" s="105">
        <v>1</v>
      </c>
      <c r="V316" s="106" t="s">
        <v>69</v>
      </c>
      <c r="W316" s="107" t="s">
        <v>24</v>
      </c>
      <c r="X316" s="107" t="s">
        <v>373</v>
      </c>
      <c r="Y316" s="108">
        <v>13169817</v>
      </c>
      <c r="Z316" s="109">
        <v>1903614</v>
      </c>
      <c r="AA316" s="110">
        <v>1109</v>
      </c>
      <c r="AB316" s="111">
        <v>8.3055621687700004E-3</v>
      </c>
      <c r="AC316" s="111">
        <v>4.56110154905E-2</v>
      </c>
      <c r="AD316" s="112">
        <v>4.53535962817E-2</v>
      </c>
      <c r="AE316" s="113">
        <v>3.8258238466100001</v>
      </c>
      <c r="AF316" s="111">
        <v>0.14454369411500001</v>
      </c>
      <c r="AG316" s="111">
        <v>8.4207700076600005E-5</v>
      </c>
    </row>
    <row r="317" spans="1:33" x14ac:dyDescent="0.2">
      <c r="A317" s="183" t="s">
        <v>329</v>
      </c>
      <c r="B317" s="183" t="s">
        <v>346</v>
      </c>
      <c r="C317" s="93">
        <v>395</v>
      </c>
      <c r="D317" s="68" t="s">
        <v>22</v>
      </c>
      <c r="E317" s="68" t="s">
        <v>23</v>
      </c>
      <c r="F317" s="68" t="s">
        <v>24</v>
      </c>
      <c r="G317" s="68" t="s">
        <v>25</v>
      </c>
      <c r="H317" s="187" t="s">
        <v>26</v>
      </c>
      <c r="I317" s="68">
        <v>9</v>
      </c>
      <c r="J317" s="68">
        <v>1</v>
      </c>
      <c r="K317" s="183" t="s">
        <v>156</v>
      </c>
      <c r="L317" s="68"/>
      <c r="M317" s="68"/>
      <c r="N317" s="68"/>
      <c r="O317" s="68"/>
      <c r="P317" s="68"/>
      <c r="Q317" s="68"/>
      <c r="R317" s="68"/>
      <c r="S317" s="68"/>
      <c r="T317" s="185" t="s">
        <v>30</v>
      </c>
      <c r="U317" s="43">
        <v>1</v>
      </c>
      <c r="V317" s="9" t="s">
        <v>156</v>
      </c>
      <c r="W317" s="11" t="s">
        <v>24</v>
      </c>
      <c r="X317" s="11" t="s">
        <v>373</v>
      </c>
      <c r="Y317" s="132">
        <v>10233536</v>
      </c>
      <c r="Z317" s="101">
        <v>1720631</v>
      </c>
      <c r="AA317" s="102">
        <v>2019</v>
      </c>
      <c r="AB317" s="133">
        <v>1.76854537742E-2</v>
      </c>
      <c r="AC317" s="133">
        <v>9.906291834E-2</v>
      </c>
      <c r="AD317" s="103">
        <v>4.2073672128999998E-2</v>
      </c>
      <c r="AE317" s="104">
        <v>7.0553624925099996</v>
      </c>
      <c r="AF317" s="133">
        <v>0.16813650726400001</v>
      </c>
      <c r="AG317" s="133">
        <v>1.9729250964700001E-4</v>
      </c>
    </row>
    <row r="318" spans="1:33" x14ac:dyDescent="0.2">
      <c r="A318" s="183" t="s">
        <v>330</v>
      </c>
      <c r="B318" s="183" t="s">
        <v>347</v>
      </c>
      <c r="C318" s="187">
        <v>475</v>
      </c>
      <c r="D318" s="68" t="s">
        <v>22</v>
      </c>
      <c r="E318" s="68" t="s">
        <v>23</v>
      </c>
      <c r="F318" s="68" t="s">
        <v>24</v>
      </c>
      <c r="G318" s="68" t="s">
        <v>25</v>
      </c>
      <c r="H318" s="187" t="s">
        <v>26</v>
      </c>
      <c r="I318" s="68">
        <v>8</v>
      </c>
      <c r="J318" s="68">
        <v>1</v>
      </c>
      <c r="K318" s="183" t="s">
        <v>148</v>
      </c>
      <c r="L318" s="68"/>
      <c r="M318" s="68"/>
      <c r="N318" s="68"/>
      <c r="O318" s="68"/>
      <c r="P318" s="68"/>
      <c r="Q318" s="68"/>
      <c r="R318" s="68"/>
      <c r="S318" s="68"/>
      <c r="T318" s="185" t="s">
        <v>30</v>
      </c>
      <c r="U318" s="105">
        <v>1</v>
      </c>
      <c r="V318" s="106" t="s">
        <v>148</v>
      </c>
      <c r="W318" s="107" t="s">
        <v>24</v>
      </c>
      <c r="X318" s="107" t="s">
        <v>373</v>
      </c>
      <c r="Y318" s="108">
        <v>9096266</v>
      </c>
      <c r="Z318" s="109">
        <v>678023</v>
      </c>
      <c r="AA318" s="110">
        <v>3456</v>
      </c>
      <c r="AB318" s="111">
        <v>1.53587211134E-2</v>
      </c>
      <c r="AC318" s="111">
        <v>0.15148539160300001</v>
      </c>
      <c r="AD318" s="112">
        <v>1.7004773291299999E-2</v>
      </c>
      <c r="AE318" s="113">
        <v>12.4883762732</v>
      </c>
      <c r="AF318" s="111">
        <v>7.4538607380200003E-2</v>
      </c>
      <c r="AG318" s="111">
        <v>3.7993611884299999E-4</v>
      </c>
    </row>
    <row r="319" spans="1:33" x14ac:dyDescent="0.2">
      <c r="A319" s="183" t="s">
        <v>331</v>
      </c>
      <c r="B319" s="183" t="s">
        <v>348</v>
      </c>
      <c r="C319" s="187">
        <v>410</v>
      </c>
      <c r="D319" s="68" t="s">
        <v>22</v>
      </c>
      <c r="E319" s="68" t="s">
        <v>23</v>
      </c>
      <c r="F319" s="68" t="s">
        <v>24</v>
      </c>
      <c r="G319" s="68" t="s">
        <v>25</v>
      </c>
      <c r="H319" s="187" t="s">
        <v>26</v>
      </c>
      <c r="I319" s="68">
        <v>5</v>
      </c>
      <c r="J319" s="68">
        <v>1</v>
      </c>
      <c r="K319" s="183" t="s">
        <v>86</v>
      </c>
      <c r="L319" s="68"/>
      <c r="M319" s="68"/>
      <c r="N319" s="68"/>
      <c r="O319" s="68"/>
      <c r="P319" s="68"/>
      <c r="Q319" s="68"/>
      <c r="R319" s="68"/>
      <c r="S319" s="68"/>
      <c r="T319" s="185" t="s">
        <v>30</v>
      </c>
      <c r="U319" s="43">
        <v>1</v>
      </c>
      <c r="V319" s="9" t="s">
        <v>86</v>
      </c>
      <c r="W319" s="11" t="s">
        <v>24</v>
      </c>
      <c r="X319" s="11" t="s">
        <v>373</v>
      </c>
      <c r="Y319" s="132">
        <v>6638922</v>
      </c>
      <c r="Z319" s="101">
        <v>422975</v>
      </c>
      <c r="AA319" s="102">
        <v>606</v>
      </c>
      <c r="AB319" s="133">
        <v>1.07143859518E-2</v>
      </c>
      <c r="AC319" s="133">
        <v>3.3492822966499997E-2</v>
      </c>
      <c r="AD319" s="103">
        <v>1.0157693034099999E-2</v>
      </c>
      <c r="AE319" s="104">
        <v>2.0928699820299999</v>
      </c>
      <c r="AF319" s="133">
        <v>6.3711397723899998E-2</v>
      </c>
      <c r="AG319" s="133">
        <v>9.1279879474399995E-5</v>
      </c>
    </row>
    <row r="320" spans="1:33" x14ac:dyDescent="0.2">
      <c r="A320" s="183" t="s">
        <v>332</v>
      </c>
      <c r="B320" s="183" t="s">
        <v>349</v>
      </c>
      <c r="C320" s="93">
        <v>263</v>
      </c>
      <c r="D320" s="68" t="s">
        <v>22</v>
      </c>
      <c r="E320" s="68" t="s">
        <v>23</v>
      </c>
      <c r="F320" s="68" t="s">
        <v>24</v>
      </c>
      <c r="G320" s="68" t="s">
        <v>25</v>
      </c>
      <c r="H320" s="187" t="s">
        <v>26</v>
      </c>
      <c r="I320" s="68">
        <v>12</v>
      </c>
      <c r="J320" s="68">
        <v>1</v>
      </c>
      <c r="K320" s="183" t="s">
        <v>29</v>
      </c>
      <c r="L320" s="68"/>
      <c r="M320" s="68"/>
      <c r="N320" s="68"/>
      <c r="O320" s="68"/>
      <c r="P320" s="68"/>
      <c r="Q320" s="68"/>
      <c r="R320" s="68"/>
      <c r="S320" s="68"/>
      <c r="T320" s="185" t="s">
        <v>30</v>
      </c>
      <c r="U320" s="105">
        <v>1</v>
      </c>
      <c r="V320" s="118" t="s">
        <v>29</v>
      </c>
      <c r="W320" s="118" t="s">
        <v>24</v>
      </c>
      <c r="X320" s="107" t="s">
        <v>373</v>
      </c>
      <c r="Y320" s="108">
        <v>5685511</v>
      </c>
      <c r="Z320" s="109">
        <v>4279113</v>
      </c>
      <c r="AA320" s="110">
        <v>1313</v>
      </c>
      <c r="AB320" s="111">
        <v>7.1000000000000004E-3</v>
      </c>
      <c r="AC320" s="111">
        <v>4.2999999999999997E-2</v>
      </c>
      <c r="AD320" s="112">
        <v>0.101324363</v>
      </c>
      <c r="AE320" s="113">
        <v>4.5086878370000001</v>
      </c>
      <c r="AF320" s="111">
        <v>0.75260000000000005</v>
      </c>
      <c r="AG320" s="111">
        <v>2.0000000000000001E-4</v>
      </c>
    </row>
    <row r="321" spans="1:33" x14ac:dyDescent="0.2">
      <c r="A321" s="183" t="s">
        <v>333</v>
      </c>
      <c r="B321" s="183" t="s">
        <v>350</v>
      </c>
      <c r="C321" s="93">
        <v>133</v>
      </c>
      <c r="D321" s="68" t="s">
        <v>22</v>
      </c>
      <c r="E321" s="68" t="s">
        <v>23</v>
      </c>
      <c r="F321" s="68" t="s">
        <v>24</v>
      </c>
      <c r="G321" s="68" t="s">
        <v>25</v>
      </c>
      <c r="H321" s="187" t="s">
        <v>26</v>
      </c>
      <c r="I321" s="68">
        <v>12</v>
      </c>
      <c r="J321" s="68">
        <v>1</v>
      </c>
      <c r="K321" s="183" t="s">
        <v>57</v>
      </c>
      <c r="L321" s="68"/>
      <c r="M321" s="68"/>
      <c r="N321" s="68"/>
      <c r="O321" s="68"/>
      <c r="P321" s="68"/>
      <c r="Q321" s="68"/>
      <c r="R321" s="68"/>
      <c r="S321" s="68"/>
      <c r="T321" s="185" t="s">
        <v>30</v>
      </c>
      <c r="U321" s="43">
        <v>1</v>
      </c>
      <c r="V321" s="9" t="s">
        <v>57</v>
      </c>
      <c r="W321" s="11" t="s">
        <v>24</v>
      </c>
      <c r="X321" s="11" t="s">
        <v>373</v>
      </c>
      <c r="Y321" s="132">
        <v>13944205</v>
      </c>
      <c r="Z321" s="101">
        <v>1240264</v>
      </c>
      <c r="AA321" s="102">
        <v>436</v>
      </c>
      <c r="AB321" s="133">
        <v>9.7487053623500006E-3</v>
      </c>
      <c r="AC321" s="133">
        <v>1.8018018018000001E-2</v>
      </c>
      <c r="AD321" s="103">
        <v>3.5291345468000002E-2</v>
      </c>
      <c r="AE321" s="104">
        <v>1.8118034751300001</v>
      </c>
      <c r="AF321" s="133">
        <v>8.8944762358299997E-2</v>
      </c>
      <c r="AG321" s="133">
        <v>3.1267469174500002E-5</v>
      </c>
    </row>
    <row r="322" spans="1:33" x14ac:dyDescent="0.2">
      <c r="A322" s="183" t="s">
        <v>354</v>
      </c>
      <c r="B322" s="68" t="s">
        <v>211</v>
      </c>
      <c r="C322" s="187" t="s">
        <v>94</v>
      </c>
      <c r="D322" s="68" t="s">
        <v>22</v>
      </c>
      <c r="E322" s="68" t="s">
        <v>23</v>
      </c>
      <c r="F322" s="68" t="s">
        <v>24</v>
      </c>
      <c r="G322" s="68" t="s">
        <v>25</v>
      </c>
      <c r="H322" s="187" t="s">
        <v>26</v>
      </c>
      <c r="I322" s="186" t="s">
        <v>212</v>
      </c>
      <c r="J322" s="68">
        <v>1</v>
      </c>
      <c r="K322" s="68" t="s">
        <v>68</v>
      </c>
      <c r="L322" s="68"/>
      <c r="M322" s="68"/>
      <c r="N322" s="68"/>
      <c r="O322" s="68"/>
      <c r="P322" s="68"/>
      <c r="Q322" s="68"/>
      <c r="R322" s="68"/>
      <c r="S322" s="68"/>
      <c r="T322" s="185" t="s">
        <v>30</v>
      </c>
      <c r="U322" s="105">
        <v>1</v>
      </c>
      <c r="V322" s="107" t="s">
        <v>68</v>
      </c>
      <c r="W322" s="107" t="s">
        <v>24</v>
      </c>
      <c r="X322" s="107" t="s">
        <v>373</v>
      </c>
      <c r="Y322" s="134" t="s">
        <v>1149</v>
      </c>
      <c r="Z322" s="135" t="s">
        <v>1150</v>
      </c>
      <c r="AA322" s="136" t="s">
        <v>1151</v>
      </c>
      <c r="AB322" s="137">
        <v>5.7451025000000003E-2</v>
      </c>
      <c r="AC322" s="137">
        <v>0.30910810399999999</v>
      </c>
      <c r="AD322" s="138">
        <v>0.86482688100000005</v>
      </c>
      <c r="AE322" s="139">
        <v>41.143259440000001</v>
      </c>
      <c r="AF322" s="137">
        <v>0.70524945000000006</v>
      </c>
      <c r="AG322" s="137">
        <v>2.3746300000000001E-4</v>
      </c>
    </row>
    <row r="323" spans="1:33" x14ac:dyDescent="0.2">
      <c r="A323" s="183" t="s">
        <v>334</v>
      </c>
      <c r="B323" s="183" t="s">
        <v>351</v>
      </c>
      <c r="C323" s="187">
        <v>635</v>
      </c>
      <c r="D323" s="68" t="s">
        <v>22</v>
      </c>
      <c r="E323" s="68" t="s">
        <v>23</v>
      </c>
      <c r="F323" s="68" t="s">
        <v>24</v>
      </c>
      <c r="G323" s="68" t="s">
        <v>25</v>
      </c>
      <c r="H323" s="187" t="s">
        <v>26</v>
      </c>
      <c r="I323" s="68">
        <v>4</v>
      </c>
      <c r="J323" s="68">
        <v>1</v>
      </c>
      <c r="K323" s="183" t="s">
        <v>230</v>
      </c>
      <c r="L323" s="68"/>
      <c r="M323" s="68"/>
      <c r="N323" s="68"/>
      <c r="O323" s="68"/>
      <c r="P323" s="68"/>
      <c r="Q323" s="68"/>
      <c r="R323" s="68"/>
      <c r="S323" s="68"/>
      <c r="T323" s="185" t="s">
        <v>30</v>
      </c>
      <c r="U323" s="140">
        <v>1</v>
      </c>
      <c r="V323" s="13" t="s">
        <v>230</v>
      </c>
      <c r="W323" s="14" t="s">
        <v>24</v>
      </c>
      <c r="X323" s="14" t="s">
        <v>373</v>
      </c>
      <c r="Y323" s="141">
        <v>4833017</v>
      </c>
      <c r="Z323" s="142">
        <v>1616065</v>
      </c>
      <c r="AA323" s="143">
        <v>481</v>
      </c>
      <c r="AB323" s="144">
        <v>9.6991653251800002E-3</v>
      </c>
      <c r="AC323" s="144">
        <v>2.2357723577199999E-2</v>
      </c>
      <c r="AD323" s="145">
        <v>3.6401777123499998E-2</v>
      </c>
      <c r="AE323" s="146">
        <v>1.50395446375</v>
      </c>
      <c r="AF323" s="144">
        <v>0.33438016046699998</v>
      </c>
      <c r="AG323" s="144">
        <v>9.95237550375E-5</v>
      </c>
    </row>
    <row r="324" spans="1:33" x14ac:dyDescent="0.2">
      <c r="A324" s="1" t="s">
        <v>245</v>
      </c>
      <c r="B324" s="2" t="s">
        <v>246</v>
      </c>
      <c r="C324" s="33">
        <v>350</v>
      </c>
      <c r="D324" s="2" t="s">
        <v>22</v>
      </c>
      <c r="E324" s="2" t="s">
        <v>23</v>
      </c>
      <c r="F324" s="2" t="s">
        <v>180</v>
      </c>
      <c r="G324" s="11" t="s">
        <v>25</v>
      </c>
      <c r="H324" s="33" t="s">
        <v>26</v>
      </c>
      <c r="I324" s="2">
        <v>14</v>
      </c>
      <c r="J324" s="2">
        <v>6</v>
      </c>
      <c r="K324" s="2" t="s">
        <v>87</v>
      </c>
      <c r="L324" s="2" t="s">
        <v>193</v>
      </c>
      <c r="M324" s="2" t="s">
        <v>28</v>
      </c>
      <c r="N324" s="2" t="s">
        <v>46</v>
      </c>
      <c r="O324" s="2" t="s">
        <v>47</v>
      </c>
      <c r="P324" s="2" t="s">
        <v>63</v>
      </c>
      <c r="T324" s="2" t="s">
        <v>30</v>
      </c>
      <c r="U324" s="43">
        <v>1</v>
      </c>
      <c r="V324" s="11" t="s">
        <v>87</v>
      </c>
      <c r="W324" s="11" t="s">
        <v>24</v>
      </c>
      <c r="X324" s="11" t="s">
        <v>373</v>
      </c>
      <c r="Y324" s="57">
        <v>13837804</v>
      </c>
      <c r="Z324" s="87">
        <v>8716277</v>
      </c>
      <c r="AA324" s="88">
        <v>2050</v>
      </c>
      <c r="AB324" s="58">
        <v>0.104828483</v>
      </c>
      <c r="AC324" s="58">
        <v>0.153592073</v>
      </c>
      <c r="AD324" s="85">
        <v>0.224739246</v>
      </c>
      <c r="AE324" s="86">
        <v>7.6865188739999999</v>
      </c>
      <c r="AF324" s="58">
        <v>0.62988874500000003</v>
      </c>
      <c r="AG324" s="58">
        <v>1.48145E-4</v>
      </c>
    </row>
    <row r="325" spans="1:33" x14ac:dyDescent="0.2">
      <c r="A325" s="1"/>
      <c r="C325" s="33"/>
      <c r="G325" s="11"/>
      <c r="H325" s="33"/>
      <c r="U325" s="43">
        <v>2</v>
      </c>
      <c r="V325" s="2" t="s">
        <v>193</v>
      </c>
      <c r="W325" s="2" t="s">
        <v>24</v>
      </c>
      <c r="X325" s="2" t="s">
        <v>373</v>
      </c>
      <c r="Y325" s="5">
        <v>137507</v>
      </c>
      <c r="Z325" s="87">
        <v>59147</v>
      </c>
      <c r="AA325" s="88">
        <v>12</v>
      </c>
      <c r="AB325" s="46">
        <v>5.94948E-3</v>
      </c>
      <c r="AC325" s="46">
        <v>7.6923077000000006E-2</v>
      </c>
      <c r="AD325" s="85">
        <v>1.2177799999999999E-3</v>
      </c>
      <c r="AE325" s="86">
        <v>3.8765727999999999E-2</v>
      </c>
      <c r="AF325" s="46">
        <v>0.43013810200000002</v>
      </c>
      <c r="AG325" s="46">
        <v>8.7299999999999994E-5</v>
      </c>
    </row>
    <row r="326" spans="1:33" x14ac:dyDescent="0.2">
      <c r="A326" s="1"/>
      <c r="C326" s="33"/>
      <c r="G326" s="11"/>
      <c r="H326" s="33"/>
      <c r="U326" s="43">
        <v>3</v>
      </c>
      <c r="V326" s="2" t="s">
        <v>28</v>
      </c>
      <c r="W326" s="2" t="s">
        <v>24</v>
      </c>
      <c r="X326" s="2" t="s">
        <v>373</v>
      </c>
      <c r="Y326" s="5">
        <v>45425</v>
      </c>
      <c r="Z326" s="87">
        <v>3616</v>
      </c>
      <c r="AA326" s="88">
        <v>0</v>
      </c>
      <c r="AB326" s="46">
        <v>3.032809E-3</v>
      </c>
      <c r="AC326" s="46" t="s">
        <v>94</v>
      </c>
      <c r="AD326" s="85">
        <v>8.2700000000000004E-5</v>
      </c>
      <c r="AE326" s="86">
        <v>0</v>
      </c>
      <c r="AF326" s="46">
        <v>7.9603742000000005E-2</v>
      </c>
      <c r="AG326" s="46">
        <v>0</v>
      </c>
    </row>
    <row r="327" spans="1:33" x14ac:dyDescent="0.2">
      <c r="A327" s="1"/>
      <c r="C327" s="33"/>
      <c r="G327" s="11"/>
      <c r="H327" s="33"/>
      <c r="U327" s="43">
        <v>4</v>
      </c>
      <c r="V327" s="147" t="s">
        <v>46</v>
      </c>
      <c r="W327" s="2" t="s">
        <v>176</v>
      </c>
      <c r="X327" s="2" t="s">
        <v>373</v>
      </c>
      <c r="Y327" s="5">
        <v>117269</v>
      </c>
      <c r="Z327" s="87">
        <v>48735</v>
      </c>
      <c r="AA327" s="88">
        <v>14</v>
      </c>
      <c r="AB327" s="46">
        <v>5.7125370000000002E-3</v>
      </c>
      <c r="AC327" s="46">
        <v>0</v>
      </c>
      <c r="AD327" s="85">
        <v>1.1111890000000001E-3</v>
      </c>
      <c r="AE327" s="86">
        <v>3.4871180000000002E-2</v>
      </c>
      <c r="AF327" s="46">
        <v>0.41558297599999999</v>
      </c>
      <c r="AG327" s="46">
        <v>1.1938399999999999E-4</v>
      </c>
    </row>
    <row r="328" spans="1:33" x14ac:dyDescent="0.2">
      <c r="A328" s="1"/>
      <c r="C328" s="33"/>
      <c r="G328" s="11"/>
      <c r="H328" s="33"/>
      <c r="U328" s="43">
        <v>5</v>
      </c>
      <c r="V328" s="147" t="s">
        <v>47</v>
      </c>
      <c r="W328" s="2" t="s">
        <v>176</v>
      </c>
      <c r="X328" s="2" t="s">
        <v>373</v>
      </c>
      <c r="Y328" s="5">
        <v>58157</v>
      </c>
      <c r="Z328" s="87">
        <v>3010</v>
      </c>
      <c r="AA328" s="88">
        <v>2</v>
      </c>
      <c r="AB328" s="46">
        <v>1.6583749999999999E-3</v>
      </c>
      <c r="AC328" s="46">
        <v>0</v>
      </c>
      <c r="AD328" s="85">
        <v>6.97E-5</v>
      </c>
      <c r="AE328" s="86">
        <v>5.7519470000000003E-3</v>
      </c>
      <c r="AF328" s="46">
        <v>5.1756452000000001E-2</v>
      </c>
      <c r="AG328" s="46">
        <v>3.4400000000000003E-5</v>
      </c>
    </row>
    <row r="329" spans="1:33" x14ac:dyDescent="0.2">
      <c r="A329" s="13"/>
      <c r="B329" s="14"/>
      <c r="C329" s="34"/>
      <c r="D329" s="14"/>
      <c r="E329" s="14"/>
      <c r="F329" s="14"/>
      <c r="G329" s="14"/>
      <c r="H329" s="34"/>
      <c r="I329" s="14"/>
      <c r="J329" s="14"/>
      <c r="K329" s="14"/>
      <c r="L329" s="14"/>
      <c r="M329" s="14"/>
      <c r="N329" s="14"/>
      <c r="O329" s="14"/>
      <c r="P329" s="14"/>
      <c r="Q329" s="14"/>
      <c r="R329" s="14"/>
      <c r="S329" s="14"/>
      <c r="T329" s="15"/>
      <c r="U329" s="50">
        <v>6</v>
      </c>
      <c r="V329" s="8" t="s">
        <v>63</v>
      </c>
      <c r="W329" s="8" t="s">
        <v>176</v>
      </c>
      <c r="X329" s="8" t="s">
        <v>373</v>
      </c>
      <c r="Y329" s="66">
        <v>96685</v>
      </c>
      <c r="Z329" s="89">
        <v>12553</v>
      </c>
      <c r="AA329" s="90">
        <v>3</v>
      </c>
      <c r="AB329" s="53">
        <v>5.8604579999999998E-3</v>
      </c>
      <c r="AC329" s="53">
        <v>0</v>
      </c>
      <c r="AD329" s="91">
        <v>2.9701599999999999E-4</v>
      </c>
      <c r="AE329" s="92">
        <v>1.1384062E-2</v>
      </c>
      <c r="AF329" s="53">
        <v>0.12983399700000001</v>
      </c>
      <c r="AG329" s="58">
        <v>3.1000000000000001E-5</v>
      </c>
    </row>
    <row r="330" spans="1:33" x14ac:dyDescent="0.2">
      <c r="A330" s="13" t="s">
        <v>352</v>
      </c>
      <c r="B330" s="188" t="s">
        <v>353</v>
      </c>
      <c r="C330" s="34">
        <v>500</v>
      </c>
      <c r="D330" s="14" t="s">
        <v>22</v>
      </c>
      <c r="E330" s="14" t="s">
        <v>23</v>
      </c>
      <c r="F330" s="14" t="s">
        <v>24</v>
      </c>
      <c r="G330" s="14" t="s">
        <v>25</v>
      </c>
      <c r="H330" s="34" t="s">
        <v>26</v>
      </c>
      <c r="I330" s="14">
        <v>4</v>
      </c>
      <c r="J330" s="14">
        <v>1</v>
      </c>
      <c r="K330" s="188" t="s">
        <v>156</v>
      </c>
      <c r="L330" s="14"/>
      <c r="M330" s="14"/>
      <c r="N330" s="14"/>
      <c r="O330" s="14"/>
      <c r="P330" s="14"/>
      <c r="Q330" s="14"/>
      <c r="R330" s="14"/>
      <c r="S330" s="14"/>
      <c r="T330" s="15" t="s">
        <v>30</v>
      </c>
      <c r="U330" s="50">
        <v>1</v>
      </c>
      <c r="V330" s="12" t="s">
        <v>156</v>
      </c>
      <c r="W330" s="8" t="s">
        <v>24</v>
      </c>
      <c r="X330" s="8" t="s">
        <v>373</v>
      </c>
      <c r="Y330" s="100">
        <v>6907616</v>
      </c>
      <c r="Z330" s="148">
        <v>4755957</v>
      </c>
      <c r="AA330" s="149">
        <v>1370</v>
      </c>
      <c r="AB330" s="98">
        <v>9.5412693480699997E-3</v>
      </c>
      <c r="AC330" s="99">
        <v>5.4520358868200003E-2</v>
      </c>
      <c r="AD330" s="150">
        <v>0.11124432978</v>
      </c>
      <c r="AE330" s="150">
        <v>4.4941881366100001</v>
      </c>
      <c r="AF330" s="98">
        <v>0.68850917595899996</v>
      </c>
      <c r="AG330" s="111">
        <v>1.9833181230700001E-4</v>
      </c>
    </row>
    <row r="331" spans="1:33" x14ac:dyDescent="0.2">
      <c r="A331" s="13" t="s">
        <v>262</v>
      </c>
      <c r="B331" s="14" t="s">
        <v>263</v>
      </c>
      <c r="C331" s="34">
        <v>600</v>
      </c>
      <c r="D331" s="14" t="s">
        <v>22</v>
      </c>
      <c r="E331" s="14" t="s">
        <v>23</v>
      </c>
      <c r="F331" s="14" t="s">
        <v>24</v>
      </c>
      <c r="G331" s="14" t="s">
        <v>25</v>
      </c>
      <c r="H331" s="34" t="s">
        <v>26</v>
      </c>
      <c r="I331" s="169" t="s">
        <v>39</v>
      </c>
      <c r="J331" s="14">
        <v>3</v>
      </c>
      <c r="K331" s="14" t="s">
        <v>128</v>
      </c>
      <c r="L331" s="14" t="s">
        <v>101</v>
      </c>
      <c r="M331" s="14" t="s">
        <v>102</v>
      </c>
      <c r="N331" s="14"/>
      <c r="O331" s="14"/>
      <c r="P331" s="14"/>
      <c r="Q331" s="14"/>
      <c r="R331" s="14"/>
      <c r="S331" s="14"/>
      <c r="T331" s="15" t="s">
        <v>30</v>
      </c>
      <c r="U331" s="67">
        <v>1</v>
      </c>
      <c r="V331" s="68" t="s">
        <v>87</v>
      </c>
      <c r="W331" s="68" t="s">
        <v>24</v>
      </c>
      <c r="X331" s="68" t="s">
        <v>373</v>
      </c>
      <c r="Y331" s="151" t="s">
        <v>467</v>
      </c>
      <c r="Z331" s="152" t="s">
        <v>468</v>
      </c>
      <c r="AA331" s="153" t="s">
        <v>469</v>
      </c>
      <c r="AB331" s="72">
        <v>3.4669485999999999E-2</v>
      </c>
      <c r="AC331" s="72">
        <v>0.24185411000000001</v>
      </c>
      <c r="AD331" s="83">
        <v>0.74599733300000004</v>
      </c>
      <c r="AE331" s="84">
        <v>26.216776509999999</v>
      </c>
      <c r="AF331" s="72">
        <v>0.69196747000000003</v>
      </c>
      <c r="AG331" s="53">
        <v>1.6424399999999999E-4</v>
      </c>
    </row>
    <row r="332" spans="1:33" x14ac:dyDescent="0.2">
      <c r="A332" s="9" t="s">
        <v>274</v>
      </c>
      <c r="B332" s="11" t="s">
        <v>275</v>
      </c>
      <c r="C332" s="33">
        <v>280</v>
      </c>
      <c r="D332" s="11" t="s">
        <v>22</v>
      </c>
      <c r="E332" s="11" t="s">
        <v>23</v>
      </c>
      <c r="F332" s="11" t="s">
        <v>24</v>
      </c>
      <c r="G332" s="11" t="s">
        <v>25</v>
      </c>
      <c r="H332" s="33" t="s">
        <v>26</v>
      </c>
      <c r="I332" s="11">
        <v>10</v>
      </c>
      <c r="J332" s="11">
        <v>3</v>
      </c>
      <c r="K332" s="11" t="s">
        <v>101</v>
      </c>
      <c r="L332" s="11" t="s">
        <v>71</v>
      </c>
      <c r="M332" s="11" t="s">
        <v>72</v>
      </c>
      <c r="N332" s="11"/>
      <c r="O332" s="11"/>
      <c r="P332" s="11"/>
      <c r="Q332" s="11"/>
      <c r="R332" s="11"/>
      <c r="S332" s="11"/>
      <c r="T332" s="11" t="s">
        <v>30</v>
      </c>
      <c r="U332" s="43">
        <v>1</v>
      </c>
      <c r="V332" s="2" t="s">
        <v>101</v>
      </c>
      <c r="W332" s="2" t="s">
        <v>24</v>
      </c>
      <c r="X332" s="2" t="s">
        <v>373</v>
      </c>
      <c r="Y332" s="5">
        <v>34381360</v>
      </c>
      <c r="Z332" s="87">
        <v>25245381</v>
      </c>
      <c r="AA332" s="88">
        <v>6025</v>
      </c>
      <c r="AB332" s="46">
        <v>5.4408608999999997E-2</v>
      </c>
      <c r="AC332" s="46">
        <v>0.21416460200000001</v>
      </c>
      <c r="AD332" s="85">
        <v>0.66371137199999997</v>
      </c>
      <c r="AE332" s="86">
        <v>22.976273219999999</v>
      </c>
      <c r="AF332" s="46">
        <v>0.73427522899999997</v>
      </c>
      <c r="AG332" s="46">
        <v>1.7524000000000001E-4</v>
      </c>
    </row>
    <row r="333" spans="1:33" x14ac:dyDescent="0.2">
      <c r="A333" s="9"/>
      <c r="B333" s="11"/>
      <c r="C333" s="33"/>
      <c r="D333" s="11"/>
      <c r="E333" s="11"/>
      <c r="F333" s="11"/>
      <c r="G333" s="11"/>
      <c r="H333" s="33"/>
      <c r="I333" s="11"/>
      <c r="J333" s="11"/>
      <c r="K333" s="11"/>
      <c r="L333" s="11"/>
      <c r="M333" s="11"/>
      <c r="N333" s="11"/>
      <c r="O333" s="11"/>
      <c r="P333" s="11"/>
      <c r="Q333" s="11"/>
      <c r="R333" s="11"/>
      <c r="S333" s="11"/>
      <c r="T333" s="11"/>
      <c r="U333" s="43"/>
      <c r="V333" s="2" t="s">
        <v>71</v>
      </c>
      <c r="W333" s="2" t="s">
        <v>24</v>
      </c>
      <c r="X333" s="2" t="s">
        <v>373</v>
      </c>
      <c r="Y333" s="5">
        <v>3630808</v>
      </c>
      <c r="Z333" s="87">
        <v>2771369</v>
      </c>
      <c r="AA333" s="88">
        <v>766</v>
      </c>
      <c r="AB333" s="46">
        <v>2.1407869E-2</v>
      </c>
      <c r="AC333" s="46">
        <v>5.0805452000000001E-2</v>
      </c>
      <c r="AD333" s="85">
        <v>7.2851256000000003E-2</v>
      </c>
      <c r="AE333" s="86">
        <v>2.868723787</v>
      </c>
      <c r="AF333" s="46">
        <v>0.76329263300000005</v>
      </c>
      <c r="AG333" s="46">
        <v>2.10972E-4</v>
      </c>
    </row>
    <row r="334" spans="1:33" x14ac:dyDescent="0.2">
      <c r="A334" s="13"/>
      <c r="B334" s="14"/>
      <c r="C334" s="34"/>
      <c r="D334" s="14"/>
      <c r="E334" s="14"/>
      <c r="F334" s="14"/>
      <c r="G334" s="14"/>
      <c r="H334" s="34"/>
      <c r="I334" s="14"/>
      <c r="J334" s="14"/>
      <c r="K334" s="14"/>
      <c r="L334" s="14"/>
      <c r="M334" s="14"/>
      <c r="N334" s="14"/>
      <c r="O334" s="14"/>
      <c r="P334" s="14"/>
      <c r="Q334" s="14"/>
      <c r="R334" s="14"/>
      <c r="S334" s="14"/>
      <c r="T334" s="15"/>
      <c r="U334" s="140"/>
      <c r="V334" s="14" t="s">
        <v>72</v>
      </c>
      <c r="W334" s="14" t="s">
        <v>24</v>
      </c>
      <c r="X334" s="14" t="s">
        <v>373</v>
      </c>
      <c r="Y334" s="59">
        <v>5026010</v>
      </c>
      <c r="Z334" s="62">
        <v>3825161</v>
      </c>
      <c r="AA334" s="61">
        <v>1114</v>
      </c>
      <c r="AB334" s="60">
        <v>2.3694262000000001E-2</v>
      </c>
      <c r="AC334" s="60">
        <v>5.3525913000000001E-2</v>
      </c>
      <c r="AD334" s="63">
        <v>0.10060836099999999</v>
      </c>
      <c r="AE334" s="64">
        <v>4.1211503890000003</v>
      </c>
      <c r="AF334" s="60">
        <v>0.761073098</v>
      </c>
      <c r="AG334" s="60">
        <v>2.21647E-4</v>
      </c>
    </row>
  </sheetData>
  <mergeCells count="4">
    <mergeCell ref="Z1:AA1"/>
    <mergeCell ref="AB1:AC1"/>
    <mergeCell ref="AD1:AE1"/>
    <mergeCell ref="AF1:AG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2018-04-10T08:05:31Z</dcterms:created>
  <dcterms:modified xsi:type="dcterms:W3CDTF">2019-02-06T13:30:42Z</dcterms:modified>
</cp:coreProperties>
</file>