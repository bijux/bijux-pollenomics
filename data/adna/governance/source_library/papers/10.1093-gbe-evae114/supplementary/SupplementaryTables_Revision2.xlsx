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ads.mwn.de\ra58lov\Dokumente\Baltic\"/>
    </mc:Choice>
  </mc:AlternateContent>
  <xr:revisionPtr revIDLastSave="0" documentId="13_ncr:1_{33387D23-57B1-47F4-8D37-B2004288C014}" xr6:coauthVersionLast="47" xr6:coauthVersionMax="47" xr10:uidLastSave="{00000000-0000-0000-0000-000000000000}"/>
  <bookViews>
    <workbookView xWindow="28680" yWindow="-120" windowWidth="29040" windowHeight="15840" tabRatio="500" firstSheet="1" activeTab="4" xr2:uid="{00000000-000D-0000-FFFF-FFFF00000000}"/>
  </bookViews>
  <sheets>
    <sheet name="STab 1 - Wild sheep" sheetId="1" r:id="rId1"/>
    <sheet name="STab 2 - WGS Panel" sheetId="2" r:id="rId2"/>
    <sheet name="STab 3 - SNPCHP Panel" sheetId="3" r:id="rId3"/>
    <sheet name="STab 4 - Continuity ASTF" sheetId="4" r:id="rId4"/>
    <sheet name="STab 5 - Continuity AKAS" sheetId="5" r:id="rId5"/>
    <sheet name="STab 6 - Ancient remains" sheetId="6" r:id="rId6"/>
    <sheet name="STab 7 - Admixture Graph Fit" sheetId="7" r:id="rId7"/>
    <sheet name="STab 8 - Phenotypes" sheetId="8" r:id="rId8"/>
  </sheets>
  <definedNames>
    <definedName name="DatosExternos_3" localSheetId="3">'STab 4 - Continuity ASTF'!$A$4:$I$68</definedName>
    <definedName name="DatosExternos_4" localSheetId="4">'STab 5 - Continuity AKAS'!$A$4:$I$68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7" i="5" l="1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</calcChain>
</file>

<file path=xl/sharedStrings.xml><?xml version="1.0" encoding="utf-8"?>
<sst xmlns="http://schemas.openxmlformats.org/spreadsheetml/2006/main" count="3390" uniqueCount="865">
  <si>
    <t>Supplementary Table 1: Wild sheep genomes used for ascertaining the WGS SNP panel and goat genome used as outgroup</t>
  </si>
  <si>
    <t>Experiment Accession</t>
  </si>
  <si>
    <t>Run Accession</t>
  </si>
  <si>
    <t>Name</t>
  </si>
  <si>
    <t>Species</t>
  </si>
  <si>
    <t>institute</t>
  </si>
  <si>
    <t>Design</t>
  </si>
  <si>
    <t>Spots</t>
  </si>
  <si>
    <t xml:space="preserve"># of bases </t>
  </si>
  <si>
    <t>Instrument</t>
  </si>
  <si>
    <t>Strategy</t>
  </si>
  <si>
    <t>Source</t>
  </si>
  <si>
    <t>Selection</t>
  </si>
  <si>
    <t>Layout</t>
  </si>
  <si>
    <t>Published</t>
  </si>
  <si>
    <t>Publication</t>
  </si>
  <si>
    <t>SRX8895230</t>
  </si>
  <si>
    <t>SRR12396951</t>
  </si>
  <si>
    <t>ARG9-3</t>
  </si>
  <si>
    <t>Ovis ammon (argali)</t>
  </si>
  <si>
    <t>CAS</t>
  </si>
  <si>
    <t>reseq library</t>
  </si>
  <si>
    <t>244.1M</t>
  </si>
  <si>
    <t>73.2G</t>
  </si>
  <si>
    <t>HiSeq X Ten</t>
  </si>
  <si>
    <t>WGS</t>
  </si>
  <si>
    <t>Genomic</t>
  </si>
  <si>
    <t>Random</t>
  </si>
  <si>
    <t>Paired</t>
  </si>
  <si>
    <t>Deng et al., 2020</t>
  </si>
  <si>
    <t>SRX8895229</t>
  </si>
  <si>
    <t>SRR12396880</t>
  </si>
  <si>
    <t>ARG8-2</t>
  </si>
  <si>
    <t>214.1M</t>
  </si>
  <si>
    <t>64.2G</t>
  </si>
  <si>
    <t>SRX8895227</t>
  </si>
  <si>
    <t>SRR12396882</t>
  </si>
  <si>
    <t>ARG23</t>
  </si>
  <si>
    <t>279.5M</t>
  </si>
  <si>
    <t>83.9G</t>
  </si>
  <si>
    <t>SRX2965260</t>
  </si>
  <si>
    <t>SRR5765715</t>
  </si>
  <si>
    <t>KS1</t>
  </si>
  <si>
    <t>Ovis ammon polii (marco polo)</t>
  </si>
  <si>
    <t>Center for Ecological and Environmental Sciences</t>
  </si>
  <si>
    <t>Genome sequencing, assembly and annotation</t>
  </si>
  <si>
    <t>414.3M</t>
  </si>
  <si>
    <t>124.2G</t>
  </si>
  <si>
    <t>Illumina HiSeq 2000</t>
  </si>
  <si>
    <t>Random PCR</t>
  </si>
  <si>
    <t>NA</t>
  </si>
  <si>
    <t>SRX8010126</t>
  </si>
  <si>
    <t>SRR11431894</t>
  </si>
  <si>
    <t>OviCan1</t>
  </si>
  <si>
    <t>Ovis canadensis</t>
  </si>
  <si>
    <t>Broad Institute</t>
  </si>
  <si>
    <t>BS48 Genome sequencing and assembly</t>
  </si>
  <si>
    <t>129.9M</t>
  </si>
  <si>
    <t>64.9G</t>
  </si>
  <si>
    <t>Illumina HiSeq 2500</t>
  </si>
  <si>
    <t>SRX12323235</t>
  </si>
  <si>
    <t>SRR16036489</t>
  </si>
  <si>
    <t>bighorn1</t>
  </si>
  <si>
    <t>228.6M</t>
  </si>
  <si>
    <t>68.6G</t>
  </si>
  <si>
    <t>SRX12323226</t>
  </si>
  <si>
    <t>SRR16036498</t>
  </si>
  <si>
    <t>Thinhorn1</t>
  </si>
  <si>
    <t>Ovis dalli</t>
  </si>
  <si>
    <t>276.2M</t>
  </si>
  <si>
    <t>SRX12323224</t>
  </si>
  <si>
    <t>SRR16036500</t>
  </si>
  <si>
    <t>snw1</t>
  </si>
  <si>
    <t>Ovis nivicola</t>
  </si>
  <si>
    <t>225.5M</t>
  </si>
  <si>
    <t>67.6G</t>
  </si>
  <si>
    <t>SRX12323222</t>
  </si>
  <si>
    <t>SRR16036502</t>
  </si>
  <si>
    <t>snow7</t>
  </si>
  <si>
    <t>212.4M</t>
  </si>
  <si>
    <t>63.7G</t>
  </si>
  <si>
    <t>SRX12323214</t>
  </si>
  <si>
    <t>SRR16036510</t>
  </si>
  <si>
    <t>MUF1</t>
  </si>
  <si>
    <t>Ovis aries musimon</t>
  </si>
  <si>
    <t>China Agricultural University</t>
  </si>
  <si>
    <t>75.3G</t>
  </si>
  <si>
    <t>Chen et al., 2021</t>
  </si>
  <si>
    <t>ERX194212</t>
  </si>
  <si>
    <t>ERR219543</t>
  </si>
  <si>
    <t>BAT_IOSW_r1</t>
  </si>
  <si>
    <t>Capra hircus</t>
  </si>
  <si>
    <t>Genoscope</t>
  </si>
  <si>
    <t>Capra hircus from Morocco: NextGen project low coverage sequencing</t>
  </si>
  <si>
    <t>196.1M</t>
  </si>
  <si>
    <t>38.4G</t>
  </si>
  <si>
    <t>Supplementary Table 2: Sheep genomes included in the WGS SNP panel</t>
  </si>
  <si>
    <t>Sample ID</t>
  </si>
  <si>
    <t>Master Label</t>
  </si>
  <si>
    <t>Population Label</t>
  </si>
  <si>
    <t>MetaPopulation Label</t>
  </si>
  <si>
    <t>Country</t>
  </si>
  <si>
    <t>Location</t>
  </si>
  <si>
    <t xml:space="preserve">  Lat.  </t>
  </si>
  <si>
    <t xml:space="preserve">  Long.  </t>
  </si>
  <si>
    <t>scientific_name</t>
  </si>
  <si>
    <t>read_count</t>
  </si>
  <si>
    <t>Sex</t>
  </si>
  <si>
    <t>Data type</t>
  </si>
  <si>
    <t>Coverage</t>
  </si>
  <si>
    <t>project ENA location</t>
  </si>
  <si>
    <t>fastq link</t>
  </si>
  <si>
    <t>run accession</t>
  </si>
  <si>
    <t>notes</t>
  </si>
  <si>
    <t>AWD1</t>
  </si>
  <si>
    <t>AWD</t>
  </si>
  <si>
    <t>African White Dorper</t>
  </si>
  <si>
    <t>Africa</t>
  </si>
  <si>
    <t>Ovis aries</t>
  </si>
  <si>
    <t>Shotgun</t>
  </si>
  <si>
    <t>NavalSanchezNatureCommunications2018</t>
  </si>
  <si>
    <t>http://www.ebi.ac.uk/ena/data/view/PRJEB14685</t>
  </si>
  <si>
    <t>SRR501892</t>
  </si>
  <si>
    <t>AWD3</t>
  </si>
  <si>
    <t>SRR501891</t>
  </si>
  <si>
    <t>AFS32</t>
  </si>
  <si>
    <t>AFS</t>
  </si>
  <si>
    <t>Afshari Sheep</t>
  </si>
  <si>
    <t>Middle East</t>
  </si>
  <si>
    <t>SRR501853</t>
  </si>
  <si>
    <t>AFS33</t>
  </si>
  <si>
    <t>SRR501871</t>
  </si>
  <si>
    <t>Iran201</t>
  </si>
  <si>
    <t>AFH</t>
  </si>
  <si>
    <t>AHF</t>
  </si>
  <si>
    <t>Iran</t>
  </si>
  <si>
    <t>Asia</t>
  </si>
  <si>
    <t>Male</t>
  </si>
  <si>
    <t>DengCurrentBiology2020</t>
  </si>
  <si>
    <t>https://www.ebi.ac.uk/ena/browser/view/PRJNA645671</t>
  </si>
  <si>
    <t>ftp.sra.ebi.ac.uk/vol1/fastq/SRR123/058/SRR12396958/SRR12396958_1.fastq.gz;ftp.sra.ebi.ac.uk/vol1/fastq/SRR123/058/SRR12396958/SRR12396958_2.fastq.gz</t>
  </si>
  <si>
    <t>scpMSY SNP calling, whole genome SNP calling, mitogenome assembly</t>
  </si>
  <si>
    <t>Iran202</t>
  </si>
  <si>
    <t>West Asia</t>
  </si>
  <si>
    <t>LiNatureCommunications2020</t>
  </si>
  <si>
    <t>https://www.ebi.ac.uk/ena/browser/view/PRJNA624020</t>
  </si>
  <si>
    <t>ftp.sra.ebi.ac.uk/vol1/fastq/SRR116/029/SRR11657629/SRR11657629_1.fastq.gz;ftp.sra.ebi.ac.uk/vol1/fastq/SRR116/029/SRR11657629/SRR11657629_2.fastq.gz</t>
  </si>
  <si>
    <t>SRR11657629</t>
  </si>
  <si>
    <t>ftp.sra.ebi.ac.uk/vol1/fastq/SRR123/057/SRR12396957/SRR12396957_1.fastq.gz;ftp.sra.ebi.ac.uk/vol1/fastq/SRR123/057/SRR12396957/SRR12396957_2.fastq.gz</t>
  </si>
  <si>
    <t>Iran203</t>
  </si>
  <si>
    <t>ftp.sra.ebi.ac.uk/vol1/fastq/SRR123/056/SRR12396956/SRR12396956_1.fastq.gz;ftp.sra.ebi.ac.uk/vol1/fastq/SRR123/056/SRR12396956/SRR12396956_2.fastq.gz</t>
  </si>
  <si>
    <t>AL109</t>
  </si>
  <si>
    <t>Altay Sheep</t>
  </si>
  <si>
    <t>ALS</t>
  </si>
  <si>
    <t>China</t>
  </si>
  <si>
    <t>ftp.sra.ebi.ac.uk/vol1/fastq/SRR116/087/SRR11657487/SRR11657487_1.fastq.gz;ftp.sra.ebi.ac.uk/vol1/fastq/SRR116/087/SRR11657487/SRR11657487_2.fastq.gz</t>
  </si>
  <si>
    <t>SRA1070657</t>
  </si>
  <si>
    <t>AL111</t>
  </si>
  <si>
    <t>ftp.sra.ebi.ac.uk/vol1/fastq/SRR116/088/SRR11657488/SRR11657488_1.fastq.gz;ftp.sra.ebi.ac.uk/vol1/fastq/SRR116/088/SRR11657488/SRR11657488_2.fastq.gz</t>
  </si>
  <si>
    <t>AL113</t>
  </si>
  <si>
    <t>ftp.sra.ebi.ac.uk/vol1/fastq/SRR116/089/SRR11657489/SRR11657489_1.fastq.gz;ftp.sra.ebi.ac.uk/vol1/fastq/SRR116/089/SRR11657489/SRR11657489_2.fastq.gz</t>
  </si>
  <si>
    <t>AL114</t>
  </si>
  <si>
    <t>ftp.sra.ebi.ac.uk/vol1/fastq/SRR116/090/SRR11657490/SRR11657490_1.fastq.gz;ftp.sra.ebi.ac.uk/vol1/fastq/SRR116/090/SRR11657490/SRR11657490_2.fastq.gz</t>
  </si>
  <si>
    <t>AL115</t>
  </si>
  <si>
    <t>ftp.sra.ebi.ac.uk/vol1/fastq/SRR116/091/SRR11657491/SRR11657491_1.fastq.gz;ftp.sra.ebi.ac.uk/vol1/fastq/SRR116/091/SRR11657491/SRR11657491_2.fastq.gz</t>
  </si>
  <si>
    <t>AL116</t>
  </si>
  <si>
    <t>ftp.sra.ebi.ac.uk/vol1/fastq/SRR116/092/SRR11657492/SRR11657492_1.fastq.gz;ftp.sra.ebi.ac.uk/vol1/fastq/SRR116/092/SRR11657492/SRR11657492_2.fastq.gz</t>
  </si>
  <si>
    <t>AL117</t>
  </si>
  <si>
    <t>ftp.sra.ebi.ac.uk/vol1/fastq/SRR116/093/SRR11657493/SRR11657493_1.fastq.gz;ftp.sra.ebi.ac.uk/vol1/fastq/SRR116/093/SRR11657493/SRR11657493_2.fastq.gz</t>
  </si>
  <si>
    <t>AL118</t>
  </si>
  <si>
    <t>ftp.sra.ebi.ac.uk/vol1/fastq/SRR116/094/SRR11657494/SRR11657494_1.fastq.gz;ftp.sra.ebi.ac.uk/vol1/fastq/SRR116/094/SRR11657494/SRR11657494_2.fastq.gz</t>
  </si>
  <si>
    <t>AL119</t>
  </si>
  <si>
    <t>ftp.sra.ebi.ac.uk/vol1/fastq/SRR116/095/SRR11657495/SRR11657495_1.fastq.gz;ftp.sra.ebi.ac.uk/vol1/fastq/SRR116/095/SRR11657495/SRR11657495_2.fastq.gz</t>
  </si>
  <si>
    <t>AL120</t>
  </si>
  <si>
    <t>ftp.sra.ebi.ac.uk/vol1/fastq/SRR116/096/SRR11657496/SRR11657496_1.fastq.gz;ftp.sra.ebi.ac.uk/vol1/fastq/SRR116/096/SRR11657496/SRR11657496_2.fastq.gz</t>
  </si>
  <si>
    <t>AMUF</t>
  </si>
  <si>
    <t>Asiatic Mouflon Sheep</t>
  </si>
  <si>
    <t>MOU</t>
  </si>
  <si>
    <t xml:space="preserve">Iran </t>
  </si>
  <si>
    <t>Western Asia</t>
  </si>
  <si>
    <t>Ovis gmelini</t>
  </si>
  <si>
    <t>ftp.sra.ebi.ac.uk/vol1/fastq/SRR116/035/SRR11657635/SRR11657635_1.fastq.gz;ftp.sra.ebi.ac.uk/vol1/fastq/SRR116/035/SRR11657635/SRR11657635_2.fastq.gz</t>
  </si>
  <si>
    <t>SRR11657635</t>
  </si>
  <si>
    <t>scpMSY SNP calling, whole genome SNP calling, ABC analysis, mitogenome assenbly</t>
  </si>
  <si>
    <t>Female</t>
  </si>
  <si>
    <t>ftp.sra.ebi.ac.uk/vol1/fastq/SRR116/037/SRR11657637/SRR11657637_1.fastq.gz;ftp.sra.ebi.ac.uk/vol1/fastq/SRR116/037/SRR11657637/SRR11657637_2.fastq.gz</t>
  </si>
  <si>
    <t>whole genome SNP calling, ABC analysis</t>
  </si>
  <si>
    <t>ftp.sra.ebi.ac.uk/vol1/fastq/SRR116/038/SRR11657638/SRR11657638_1.fastq.gz;ftp.sra.ebi.ac.uk/vol1/fastq/SRR116/038/SRR11657638/SRR11657638_2.fastq.gz</t>
  </si>
  <si>
    <t>SRR1165763</t>
  </si>
  <si>
    <t>ftp.sra.ebi.ac.uk/vol1/fastq/SRR116/039/SRR11657639/SRR11657639_1.fastq.gz;ftp.sra.ebi.ac.uk/vol1/fastq/SRR116/039/SRR11657639/SRR11657639_2.fastq.gz</t>
  </si>
  <si>
    <t>SRR11657639</t>
  </si>
  <si>
    <t>KR.4</t>
  </si>
  <si>
    <t>ftp.sra.ebi.ac.uk/vol1/fastq/SRR116/042/SRR11657642/SRR11657642_1.fastq.gz;ftp.sra.ebi.ac.uk/vol1/fastq/SRR116/042/SRR11657642/SRR11657642_2.fastq.gz</t>
  </si>
  <si>
    <t>SRR11657642</t>
  </si>
  <si>
    <t>KR.6</t>
  </si>
  <si>
    <t>ftp.sra.ebi.ac.uk/vol1/fastq/SRR116/000/SRR11657500/SRR11657500_1.fastq.gz;ftp.sra.ebi.ac.uk/vol1/fastq/SRR116/000/SRR11657500/SRR11657500_2.fastq.gz</t>
  </si>
  <si>
    <t>SH.7</t>
  </si>
  <si>
    <t>ftp.sra.ebi.ac.uk/vol1/fastq/SRR116/001/SRR11657501/SRR11657501_1.fastq.gz;ftp.sra.ebi.ac.uk/vol1/fastq/SRR116/001/SRR11657501/SRR11657501_2.fastq.gz</t>
  </si>
  <si>
    <t>TH.1</t>
  </si>
  <si>
    <t>ftp.sra.ebi.ac.uk/vol1/fastq/SRR116/040/SRR11657640/SRR11657640_1.fastq.gz;ftp.sra.ebi.ac.uk/vol1/fastq/SRR116/040/SRR11657640/SRR11657640_2.fastq.gz</t>
  </si>
  <si>
    <t>SRR11657640</t>
  </si>
  <si>
    <t>YZ.11</t>
  </si>
  <si>
    <t>ftp.sra.ebi.ac.uk/vol1/fastq/SRR116/004/SRR11657504/SRR11657504_1.fastq.gz;ftp.sra.ebi.ac.uk/vol1/fastq/SRR116/004/SRR11657504/SRR11657504_2.fastq.gz</t>
  </si>
  <si>
    <t>YZ.12</t>
  </si>
  <si>
    <t>ftp.sra.ebi.ac.uk/vol1/fastq/SRR116/005/SRR11657505/SRR11657505_1.fastq.gz;ftp.sra.ebi.ac.uk/vol1/fastq/SRR116/005/SRR11657505/SRR11657505_2.fastq.gz</t>
  </si>
  <si>
    <t>AW454</t>
  </si>
  <si>
    <t>AW</t>
  </si>
  <si>
    <t>Awassi Sheep</t>
  </si>
  <si>
    <t>SRR501890</t>
  </si>
  <si>
    <t>AWA-33</t>
  </si>
  <si>
    <t>AWA</t>
  </si>
  <si>
    <t>Iraq</t>
  </si>
  <si>
    <t>ftp.sra.ebi.ac.uk/vol1/fastq/SRR123/063/SRR12396963/SRR12396963_1.fastq.gz;ftp.sra.ebi.ac.uk/vol1/fastq/SRR123/063/SRR12396963/SRR12396963_2.fastq.gz</t>
  </si>
  <si>
    <t>BAR</t>
  </si>
  <si>
    <t>Barki Sheep</t>
  </si>
  <si>
    <t>Egypt</t>
  </si>
  <si>
    <t>ftp.sra.ebi.ac.uk/vol1/fastq/SRR123/065/SRR12396965/SRR12396965_1.fastq.gz;ftp.sra.ebi.ac.uk/vol1/fastq/SRR123/065/SRR12396965/SRR12396965_2.fastq.gz</t>
  </si>
  <si>
    <t>ftp.sra.ebi.ac.uk/vol1/fastq/SRR123/054/SRR12396954/SRR12396954_1.fastq.gz;ftp.sra.ebi.ac.uk/vol1/fastq/SRR123/054/SRR12396954/SRR12396954_2.fastq.gz</t>
  </si>
  <si>
    <t>ftp.sra.ebi.ac.uk/vol1/fastq/SRR123/015/SRR12397015/SRR12397015_1.fastq.gz;ftp.sra.ebi.ac.uk/vol1/fastq/SRR123/015/SRR12397015/SRR12397015_2.fastq.gz</t>
  </si>
  <si>
    <t>MFW157</t>
  </si>
  <si>
    <t>MFW</t>
  </si>
  <si>
    <t>Chinese Merino Sheep (fine wool)</t>
  </si>
  <si>
    <t>Spain</t>
  </si>
  <si>
    <t>Europe</t>
  </si>
  <si>
    <t>ftp.sra.ebi.ac.uk/vol1/fastq/SRR116/079/SRR11657679/SRR11657679_1.fastq.gz;ftp.sra.ebi.ac.uk/vol1/fastq/SRR116/079/SRR11657679/SRR11657679_2.fastq.gz</t>
  </si>
  <si>
    <t>SRR11657679</t>
  </si>
  <si>
    <t>MFW159</t>
  </si>
  <si>
    <t>ftp.sra.ebi.ac.uk/vol1/fastq/SRR116/078/SRR11657678/SRR11657678_1.fastq.gz;ftp.sra.ebi.ac.uk/vol1/fastq/SRR116/078/SRR11657678/SRR11657678_2.fastq.gz</t>
  </si>
  <si>
    <t>SRR11657678</t>
  </si>
  <si>
    <t>MFW161</t>
  </si>
  <si>
    <t>ftp.sra.ebi.ac.uk/vol1/fastq/SRR116/076/SRR11657676/SRR11657676_1.fastq.gz;ftp.sra.ebi.ac.uk/vol1/fastq/SRR116/076/SRR11657676/SRR11657676_2.fastq.gz</t>
  </si>
  <si>
    <t>SRR11657676</t>
  </si>
  <si>
    <t>MFW167</t>
  </si>
  <si>
    <t>ftp.sra.ebi.ac.uk/vol1/fastq/SRR116/072/SRR11657672/SRR11657672_1.fastq.gz;ftp.sra.ebi.ac.uk/vol1/fastq/SRR116/072/SRR11657672/SRR11657672_2.fastq.gz</t>
  </si>
  <si>
    <t>SRR11657672</t>
  </si>
  <si>
    <t>MFW169</t>
  </si>
  <si>
    <t>ftp.sra.ebi.ac.uk/vol1/fastq/SRR116/071/SRR11657671/SRR11657671_1.fastq.gz;ftp.sra.ebi.ac.uk/vol1/fastq/SRR116/071/SRR11657671/SRR11657671_2.fastq.gz</t>
  </si>
  <si>
    <t>SRR11657671</t>
  </si>
  <si>
    <t>MFW170</t>
  </si>
  <si>
    <t>ftp.sra.ebi.ac.uk/vol1/fastq/SRR116/070/SRR11657670/SRR11657670_1.fastq.gz;ftp.sra.ebi.ac.uk/vol1/fastq/SRR116/070/SRR11657670/SRR11657670_2.fastq.gz</t>
  </si>
  <si>
    <t>SRR11657670</t>
  </si>
  <si>
    <t>MSF173</t>
  </si>
  <si>
    <t>MSF</t>
  </si>
  <si>
    <t>Chinese Merino Sheep (super fine wool)</t>
  </si>
  <si>
    <t>ftp.sra.ebi.ac.uk/vol1/fastq/SRR116/068/SRR11657668/SRR11657668_1.fastq.gz;ftp.sra.ebi.ac.uk/vol1/fastq/SRR116/068/SRR11657668/SRR11657668_2.fastq.gz</t>
  </si>
  <si>
    <t>SRR11657668</t>
  </si>
  <si>
    <t>MSF174</t>
  </si>
  <si>
    <t>ftp.sra.ebi.ac.uk/vol1/fastq/SRR116/067/SRR11657667/SRR11657667_1.fastq.gz;ftp.sra.ebi.ac.uk/vol1/fastq/SRR116/067/SRR11657667/SRR11657667_2.fastq.gz</t>
  </si>
  <si>
    <t>SRR11657667</t>
  </si>
  <si>
    <t>MSF181</t>
  </si>
  <si>
    <t>ftp.sra.ebi.ac.uk/vol1/fastq/SRR116/062/SRR11657662/SRR11657662_1.fastq.gz;ftp.sra.ebi.ac.uk/vol1/fastq/SRR116/062/SRR11657662/SRR11657662_2.fastq.gz</t>
  </si>
  <si>
    <t>SRR11657662</t>
  </si>
  <si>
    <t>MSF184</t>
  </si>
  <si>
    <t>ftp.sra.ebi.ac.uk/vol1/fastq/SRR116/061/SRR11657661/SRR11657661_1.fastq.gz;ftp.sra.ebi.ac.uk/vol1/fastq/SRR116/061/SRR11657661/SRR11657661_2.fastq.gz</t>
  </si>
  <si>
    <t>SRR11657661</t>
  </si>
  <si>
    <t>CHU1</t>
  </si>
  <si>
    <t>CHU</t>
  </si>
  <si>
    <t>Churra</t>
  </si>
  <si>
    <t>SRR501848</t>
  </si>
  <si>
    <t>CHU2</t>
  </si>
  <si>
    <t>SRR501909</t>
  </si>
  <si>
    <t>CC50</t>
  </si>
  <si>
    <t>CC</t>
  </si>
  <si>
    <t>Cine_Capari</t>
  </si>
  <si>
    <t>SRR501875</t>
  </si>
  <si>
    <t>BDP357</t>
  </si>
  <si>
    <t>Dorper Sheep (black head)</t>
  </si>
  <si>
    <t>DPS(black head; BDP)</t>
  </si>
  <si>
    <t>South Africa</t>
  </si>
  <si>
    <t>ftp.sra.ebi.ac.uk/vol1/fastq/SRR116/027/SRR11657527/SRR11657527_1.fastq.gz;ftp.sra.ebi.ac.uk/vol1/fastq/SRR116/027/SRR11657527/SRR11657527_2.fastq.gz</t>
  </si>
  <si>
    <t>SRR11657527</t>
  </si>
  <si>
    <t>BDP358</t>
  </si>
  <si>
    <t>ftp.sra.ebi.ac.uk/vol1/fastq/SRR116/025/SRR11657525/SRR11657525_1.fastq.gz;ftp.sra.ebi.ac.uk/vol1/fastq/SRR116/025/SRR11657525/SRR11657525_2.fastq.gz</t>
  </si>
  <si>
    <t>SRR11657525</t>
  </si>
  <si>
    <t>BDP360</t>
  </si>
  <si>
    <t>ftp.sra.ebi.ac.uk/vol1/fastq/SRR116/024/SRR11657524/SRR11657524_1.fastq.gz;ftp.sra.ebi.ac.uk/vol1/fastq/SRR116/024/SRR11657524/SRR11657524_2.fastq.gz</t>
  </si>
  <si>
    <t>SRR11657524</t>
  </si>
  <si>
    <t>BDP369</t>
  </si>
  <si>
    <t>ftp.sra.ebi.ac.uk/vol1/fastq/SRR116/023/SRR11657523/SRR11657523_1.fastq.gz;ftp.sra.ebi.ac.uk/vol1/fastq/SRR116/023/SRR11657523/SRR11657523_2.fastq.gz</t>
  </si>
  <si>
    <t>SRR11657523</t>
  </si>
  <si>
    <t>BDP370</t>
  </si>
  <si>
    <t>ftp.sra.ebi.ac.uk/vol1/fastq/SRR116/026/SRR11657526/SRR11657526_1.fastq.gz;ftp.sra.ebi.ac.uk/vol1/fastq/SRR116/026/SRR11657526/SRR11657526_2.fastq.gz</t>
  </si>
  <si>
    <t>SRR11657526</t>
  </si>
  <si>
    <t>WDP142</t>
  </si>
  <si>
    <t>Dorper Sheep (white head)</t>
  </si>
  <si>
    <t>DPS(white head; WDP)</t>
  </si>
  <si>
    <t>ftp.sra.ebi.ac.uk/vol1/fastq/SRR116/028/SRR11657528/SRR11657528_1.fastq.gz;ftp.sra.ebi.ac.uk/vol1/fastq/SRR116/028/SRR11657528/SRR11657528_2.fastq.gz</t>
  </si>
  <si>
    <t>SRR11657528</t>
  </si>
  <si>
    <t>WDP147</t>
  </si>
  <si>
    <t>ftp.sra.ebi.ac.uk/vol1/fastq/SRR116/011/SRR11657611/SRR11657611_1.fastq.gz;ftp.sra.ebi.ac.uk/vol1/fastq/SRR116/011/SRR11657611/SRR11657611_2.fastq.gz</t>
  </si>
  <si>
    <t>SRR11657611</t>
  </si>
  <si>
    <t>WDP149</t>
  </si>
  <si>
    <t>ftp.sra.ebi.ac.uk/vol1/fastq/SRR116/012/SRR11657612/SRR11657612_1.fastq.gz;ftp.sra.ebi.ac.uk/vol1/fastq/SRR116/012/SRR11657612/SRR11657612_2.fastq.gz</t>
  </si>
  <si>
    <t>SRR11657612</t>
  </si>
  <si>
    <t>WDP153</t>
  </si>
  <si>
    <t>ftp.sra.ebi.ac.uk/vol1/fastq/SRR116/013/SRR11657613/SRR11657613_1.fastq.gz;ftp.sra.ebi.ac.uk/vol1/fastq/SRR116/013/SRR11657613/SRR11657613_2.fastq.gz</t>
  </si>
  <si>
    <t>WDP155</t>
  </si>
  <si>
    <t>ftp.sra.ebi.ac.uk/vol1/fastq/SRR116/014/SRR11657614/SRR11657614_1.fastq.gz;ftp.sra.ebi.ac.uk/vol1/fastq/SRR116/014/SRR11657614/SRR11657614_2.fastq.gz</t>
  </si>
  <si>
    <t>DR1</t>
  </si>
  <si>
    <t>DRS</t>
  </si>
  <si>
    <t>Drente Heathen sheep</t>
  </si>
  <si>
    <t>Netherlands</t>
  </si>
  <si>
    <t>ftp.sra.ebi.ac.uk/vol1/fastq/SRR116/006/SRR11657606/SRR11657606_1.fastq.gz;ftp.sra.ebi.ac.uk/vol1/fastq/SRR116/006/SRR11657606/SRR11657606_2.fastq.gz</t>
  </si>
  <si>
    <t>SRR11657606</t>
  </si>
  <si>
    <t>MSY_linked mapping, scpMSY SNP calling, Y genes SNP calling, whole genome SNP calling, mitogenome assembly</t>
  </si>
  <si>
    <t>DR2</t>
  </si>
  <si>
    <t>ftp.sra.ebi.ac.uk/vol1/fastq/SRR116/005/SRR11657605/SRR11657605_1.fastq.gz;ftp.sra.ebi.ac.uk/vol1/fastq/SRR116/005/SRR11657605/SRR11657605_2.fastq.gz</t>
  </si>
  <si>
    <t>SRR11657605</t>
  </si>
  <si>
    <t>DR3</t>
  </si>
  <si>
    <t>ftp.sra.ebi.ac.uk/vol1/fastq/SRR116/004/SRR11657604/SRR11657604_1.fastq.gz;ftp.sra.ebi.ac.uk/vol1/fastq/SRR116/004/SRR11657604/SRR11657604_2.fastq.gz</t>
  </si>
  <si>
    <t>SRR11657604</t>
  </si>
  <si>
    <t>DR4</t>
  </si>
  <si>
    <t>ftp.sra.ebi.ac.uk/vol1/fastq/SRR116/001/SRR11657601/SRR11657601_1.fastq.gz;ftp.sra.ebi.ac.uk/vol1/fastq/SRR116/001/SRR11657601/SRR11657601_2.fastq.gz</t>
  </si>
  <si>
    <t>SRR11657601</t>
  </si>
  <si>
    <t>DR5</t>
  </si>
  <si>
    <t>ftp.sra.ebi.ac.uk/vol1/fastq/SRR116/000/SRR11657600/SRR11657600_1.fastq.gz;ftp.sra.ebi.ac.uk/vol1/fastq/SRR116/000/SRR11657600/SRR11657600_2.fastq.gz</t>
  </si>
  <si>
    <t>SRR11657600</t>
  </si>
  <si>
    <t>DLS249</t>
  </si>
  <si>
    <t>Duolang Sheep</t>
  </si>
  <si>
    <t>DLS</t>
  </si>
  <si>
    <t>Xinjiang,China</t>
  </si>
  <si>
    <t>ftp.sra.ebi.ac.uk/vol1/fastq/SRR116/063/SRR11657563/SRR11657563_1.fastq.gz;ftp.sra.ebi.ac.uk/vol1/fastq/SRR116/063/SRR11657563/SRR11657563_2.fastq.gz</t>
  </si>
  <si>
    <t>SRR11657563</t>
  </si>
  <si>
    <t>MSY raw contigs assembly, MSY_linked mapping, scpMSY SNP calling,  Y genes SNP calling, whole genome SNP calling, mitogenome assembly</t>
  </si>
  <si>
    <t>DLS305</t>
  </si>
  <si>
    <t>ftp.sra.ebi.ac.uk/vol1/fastq/SRR116/062/SRR11657562/SRR11657562_1.fastq.gz;ftp.sra.ebi.ac.uk/vol1/fastq/SRR116/062/SRR11657562/SRR11657562_2.fastq.gz</t>
  </si>
  <si>
    <t>SRR11657562</t>
  </si>
  <si>
    <t>DLS309</t>
  </si>
  <si>
    <t>ftp.sra.ebi.ac.uk/vol1/fastq/SRR116/061/SRR11657561/SRR11657561_1.fastq.gz;ftp.sra.ebi.ac.uk/vol1/fastq/SRR116/061/SRR11657561/SRR11657561_2.fastq.gz</t>
  </si>
  <si>
    <t>SRR11657561</t>
  </si>
  <si>
    <t>DLS311</t>
  </si>
  <si>
    <t>ftp.sra.ebi.ac.uk/vol1/fastq/SRR116/060/SRR11657560/SRR11657560_1.fastq.gz;ftp.sra.ebi.ac.uk/vol1/fastq/SRR116/060/SRR11657560/SRR11657560_2.fastq.gz</t>
  </si>
  <si>
    <t>SRR11657560</t>
  </si>
  <si>
    <t>DLS313</t>
  </si>
  <si>
    <t>ftp.sra.ebi.ac.uk/vol1/fastq/SRR116/059/SRR11657559/SRR11657559_1.fastq.gz;ftp.sra.ebi.ac.uk/vol1/fastq/SRR116/059/SRR11657559/SRR11657559_2.fastq.gz</t>
  </si>
  <si>
    <t>SRR11657559</t>
  </si>
  <si>
    <t>DLS317</t>
  </si>
  <si>
    <t>ftp.sra.ebi.ac.uk/vol1/fastq/SRR116/058/SRR11657558/SRR11657558_1.fastq.gz;ftp.sra.ebi.ac.uk/vol1/fastq/SRR116/058/SRR11657558/SRR11657558_2.fastq.gz</t>
  </si>
  <si>
    <t>SRR11657558</t>
  </si>
  <si>
    <t>DLS325</t>
  </si>
  <si>
    <t>ftp.sra.ebi.ac.uk/vol1/fastq/SRR116/057/SRR11657557/SRR11657557_1.fastq.gz;ftp.sra.ebi.ac.uk/vol1/fastq/SRR116/057/SRR11657557/SRR11657557_2.fastq.gz</t>
  </si>
  <si>
    <t>SRR11657557</t>
  </si>
  <si>
    <t>DLS333</t>
  </si>
  <si>
    <t>ftp.sra.ebi.ac.uk/vol1/fastq/SRR116/056/SRR11657556/SRR11657556_1.fastq.gz;ftp.sra.ebi.ac.uk/vol1/fastq/SRR116/056/SRR11657556/SRR11657556_2.fastq.gz</t>
  </si>
  <si>
    <t>SRR11657556</t>
  </si>
  <si>
    <t>DLS348</t>
  </si>
  <si>
    <t>ftp.sra.ebi.ac.uk/vol1/fastq/SRR116/054/SRR11657554/SRR11657554_1.fastq.gz;ftp.sra.ebi.ac.uk/vol1/fastq/SRR116/054/SRR11657554/SRR11657554_2.fastq.gz</t>
  </si>
  <si>
    <t>SRR11657554</t>
  </si>
  <si>
    <t>EFR208</t>
  </si>
  <si>
    <t>East Friesian Dairy Sheep</t>
  </si>
  <si>
    <t>EFR</t>
  </si>
  <si>
    <t>Germany</t>
  </si>
  <si>
    <t>ftp.sra.ebi.ac.uk/vol1/fastq/SRR116/076/SRR11657476/SRR11657476_1.fastq.gz;ftp.sra.ebi.ac.uk/vol1/fastq/SRR116/076/SRR11657476/SRR11657476_2.fastq.gz</t>
  </si>
  <si>
    <t>SRR11657476</t>
  </si>
  <si>
    <t>EFR212</t>
  </si>
  <si>
    <t>ftp.sra.ebi.ac.uk/vol1/fastq/SRR116/077/SRR11657477/SRR11657477_1.fastq.gz;ftp.sra.ebi.ac.uk/vol1/fastq/SRR116/077/SRR11657477/SRR11657477_2.fastq.gz</t>
  </si>
  <si>
    <t>SRR11657477</t>
  </si>
  <si>
    <t>EFR213</t>
  </si>
  <si>
    <t>ftp.sra.ebi.ac.uk/vol1/fastq/SRR116/078/SRR11657478/SRR11657478_1.fastq.gz;ftp.sra.ebi.ac.uk/vol1/fastq/SRR116/078/SRR11657478/SRR11657478_2.fastq.gz</t>
  </si>
  <si>
    <t>SRR11657478</t>
  </si>
  <si>
    <t>EFR215</t>
  </si>
  <si>
    <t>ftp.sra.ebi.ac.uk/vol1/fastq/SRR116/079/SRR11657479/SRR11657479_1.fastq.gz;ftp.sra.ebi.ac.uk/vol1/fastq/SRR116/079/SRR11657479/SRR11657479_2.fastq.gz</t>
  </si>
  <si>
    <t>SRR11657479</t>
  </si>
  <si>
    <t>EFR216</t>
  </si>
  <si>
    <t>ftp.sra.ebi.ac.uk/vol1/fastq/SRR116/080/SRR11657480/SRR11657480_1.fastq.gz;ftp.sra.ebi.ac.uk/vol1/fastq/SRR116/080/SRR11657480/SRR11657480_2.fastq.gz</t>
  </si>
  <si>
    <t>SRR11657480</t>
  </si>
  <si>
    <t>EFR219</t>
  </si>
  <si>
    <t>ftp.sra.ebi.ac.uk/vol1/fastq/SRR116/081/SRR11657481/SRR11657481_1.fastq.gz;ftp.sra.ebi.ac.uk/vol1/fastq/SRR116/081/SRR11657481/SRR11657481_2.fastq.gz</t>
  </si>
  <si>
    <t>SRR11657481</t>
  </si>
  <si>
    <t>VF-02</t>
  </si>
  <si>
    <t>ftp.sra.ebi.ac.uk/vol1/fastq/SRR116/082/SRR11657482/SRR11657482_1.fastq.gz;ftp.sra.ebi.ac.uk/vol1/fastq/SRR116/082/SRR11657482/SRR11657482_2.fastq.gz</t>
  </si>
  <si>
    <t>SRR11657482</t>
  </si>
  <si>
    <t>VF-06</t>
  </si>
  <si>
    <t>ftp.sra.ebi.ac.uk/vol1/fastq/SRR116/083/SRR11657483/SRR11657483_1.fastq.gz;ftp.sra.ebi.ac.uk/vol1/fastq/SRR116/083/SRR11657483/SRR11657483_2.fastq.gz</t>
  </si>
  <si>
    <t>SRR11657483</t>
  </si>
  <si>
    <t>VF-10</t>
  </si>
  <si>
    <t>ftp.sra.ebi.ac.uk/vol1/fastq/SRR116/084/SRR11657484/SRR11657484_1.fastq.gz;ftp.sra.ebi.ac.uk/vol1/fastq/SRR116/084/SRR11657484/SRR11657484_2.fastq.gz</t>
  </si>
  <si>
    <t>SRR11657484</t>
  </si>
  <si>
    <t>VF-12</t>
  </si>
  <si>
    <t>ftp.sra.ebi.ac.uk/vol1/fastq/SRR116/085/SRR11657485/SRR11657485_1.fastq.gz;ftp.sra.ebi.ac.uk/vol1/fastq/SRR116/085/SRR11657485/SRR11657485_2.fastq.gz</t>
  </si>
  <si>
    <t>SRR11657485</t>
  </si>
  <si>
    <t>NOS001</t>
  </si>
  <si>
    <t>FSS</t>
  </si>
  <si>
    <t>OldNorwegian</t>
  </si>
  <si>
    <t>Norway</t>
  </si>
  <si>
    <t>ftp.sra.ebi.ac.uk/vol1/fastq/SRR123/069/SRR12396869/SRR12396869_1.fastq.gz;ftp.sra.ebi.ac.uk/vol1/fastq/SRR123/069/SRR12396869/SRR12396869_2.fastq.gz</t>
  </si>
  <si>
    <t>NOS462</t>
  </si>
  <si>
    <t>ftp.sra.ebi.ac.uk/vol1/fastq/SRR123/071/SRR12396871/SRR12396871_1.fastq.gz;ftp.sra.ebi.ac.uk/vol1/fastq/SRR123/071/SRR12396871/SRR12396871_2.fastq.gz</t>
  </si>
  <si>
    <t>NOS463</t>
  </si>
  <si>
    <t>ftp.sra.ebi.ac.uk/vol1/fastq/SRR123/070/SRR12396870/SRR12396870_1.fastq.gz;ftp.sra.ebi.ac.uk/vol1/fastq/SRR123/070/SRR12396870/SRR12396870_2.fastq.gz</t>
  </si>
  <si>
    <t>FIN1</t>
  </si>
  <si>
    <t>FIN</t>
  </si>
  <si>
    <t>Finnsheep</t>
  </si>
  <si>
    <t>Finland</t>
  </si>
  <si>
    <t>SRR501856</t>
  </si>
  <si>
    <t>FIN4</t>
  </si>
  <si>
    <t>SRR501879</t>
  </si>
  <si>
    <t>FINN300</t>
  </si>
  <si>
    <t>ftp.sra.ebi.ac.uk/vol1/fastq/SRR116/052/SRR11657552/SRR11657552_1.fastq.gz;ftp.sra.ebi.ac.uk/vol1/fastq/SRR116/052/SRR11657552/SRR11657552_2.fastq.gz</t>
  </si>
  <si>
    <t>SRR11657552</t>
  </si>
  <si>
    <t>FINN303</t>
  </si>
  <si>
    <t>ftp.sra.ebi.ac.uk/vol1/fastq/SRR116/051/SRR11657551/SRR11657551_1.fastq.gz;ftp.sra.ebi.ac.uk/vol1/fastq/SRR116/051/SRR11657551/SRR11657551_2.fastq.gz</t>
  </si>
  <si>
    <t>SRR11657551</t>
  </si>
  <si>
    <t>FINN304</t>
  </si>
  <si>
    <t>ftp.sra.ebi.ac.uk/vol1/fastq/SRR116/050/SRR11657550/SRR11657550_1.fastq.gz;ftp.sra.ebi.ac.uk/vol1/fastq/SRR116/050/SRR11657550/SRR11657550_2.fastq.gz</t>
  </si>
  <si>
    <t>SRR11657550</t>
  </si>
  <si>
    <t>FINN305</t>
  </si>
  <si>
    <t>ftp.sra.ebi.ac.uk/vol1/fastq/SRR116/049/SRR11657549/SRR11657549_1.fastq.gz;ftp.sra.ebi.ac.uk/vol1/fastq/SRR116/049/SRR11657549/SRR11657549_2.fastq.gz</t>
  </si>
  <si>
    <t>SRR11657549</t>
  </si>
  <si>
    <t>FINN306</t>
  </si>
  <si>
    <t>ftp.sra.ebi.ac.uk/vol1/fastq/SRR116/048/SRR11657548/SRR11657548_1.fastq.gz;ftp.sra.ebi.ac.uk/vol1/fastq/SRR116/048/SRR11657548/SRR11657548_2.fastq.gz</t>
  </si>
  <si>
    <t>SRR11657548</t>
  </si>
  <si>
    <t>FINN307</t>
  </si>
  <si>
    <t>ftp.sra.ebi.ac.uk/vol1/fastq/SRR116/047/SRR11657547/SRR11657547_1.fastq.gz;ftp.sra.ebi.ac.uk/vol1/fastq/SRR116/047/SRR11657547/SRR11657547_2.fastq.gz</t>
  </si>
  <si>
    <t>SRR11657547</t>
  </si>
  <si>
    <t>FINN313</t>
  </si>
  <si>
    <t>ftp.sra.ebi.ac.uk/vol1/fastq/SRR116/046/SRR11657546/SRR11657546_1.fastq.gz;ftp.sra.ebi.ac.uk/vol1/fastq/SRR116/046/SRR11657546/SRR11657546_2.fastq.gz</t>
  </si>
  <si>
    <t>SRR11657546</t>
  </si>
  <si>
    <t>FINN314</t>
  </si>
  <si>
    <t>ftp.sra.ebi.ac.uk/vol1/fastq/SRR116/045/SRR11657545/SRR11657545_1.fastq.gz;ftp.sra.ebi.ac.uk/vol1/fastq/SRR116/045/SRR11657545/SRR11657545_2.fastq.gz</t>
  </si>
  <si>
    <t>SRR11657545</t>
  </si>
  <si>
    <t>FINN315</t>
  </si>
  <si>
    <t>ftp.sra.ebi.ac.uk/vol1/fastq/SRR116/044/SRR11657544/SRR11657544_1.fastq.gz;ftp.sra.ebi.ac.uk/vol1/fastq/SRR116/044/SRR11657544/SRR11657544_2.fastq.gz</t>
  </si>
  <si>
    <t>SRR11657544</t>
  </si>
  <si>
    <t>FINN317</t>
  </si>
  <si>
    <t>ftp.sra.ebi.ac.uk/vol1/fastq/SRR116/043/SRR11657543/SRR11657543_1.fastq.gz;ftp.sra.ebi.ac.uk/vol1/fastq/SRR116/043/SRR11657543/SRR11657543_2.fastq.gz</t>
  </si>
  <si>
    <t>SRR11657543</t>
  </si>
  <si>
    <t>Gotland24506</t>
  </si>
  <si>
    <t>GOT</t>
  </si>
  <si>
    <t>Gotland Sheep</t>
  </si>
  <si>
    <t>Sweden</t>
  </si>
  <si>
    <t>ftp.sra.ebi.ac.uk/vol1/fastq/SRR116/000/SRR11657700/SRR11657700_1.fastq.gz;ftp.sra.ebi.ac.uk/vol1/fastq/SRR116/000/SRR11657700/SRR11657700_2.fastq.gz</t>
  </si>
  <si>
    <t>Gotland24507</t>
  </si>
  <si>
    <t>ftp.sra.ebi.ac.uk/vol1/fastq/SRR116/099/SRR11657699/SRR11657699_1.fastq.gz;ftp.sra.ebi.ac.uk/vol1/fastq/SRR116/099/SRR11657699/SRR11657699_2.fastq.gz</t>
  </si>
  <si>
    <t>Gotland24508</t>
  </si>
  <si>
    <t>ftp.sra.ebi.ac.uk/vol1/fastq/SRR116/098/SRR11657698/SRR11657698_1.fastq.gz;ftp.sra.ebi.ac.uk/vol1/fastq/SRR116/098/SRR11657698/SRR11657698_2.fastq.gz</t>
  </si>
  <si>
    <t>Gotland24510</t>
  </si>
  <si>
    <t>ftp.sra.ebi.ac.uk/vol1/fastq/SRR116/096/SRR11657696/SRR11657696_1.fastq.gz;ftp.sra.ebi.ac.uk/vol1/fastq/SRR116/096/SRR11657696/SRR11657696_2.fastq.gz</t>
  </si>
  <si>
    <t>Gotland24512</t>
  </si>
  <si>
    <t>ftp.sra.ebi.ac.uk/vol1/fastq/SRR116/095/SRR11657695/SRR11657695_1.fastq.gz;ftp.sra.ebi.ac.uk/vol1/fastq/SRR116/095/SRR11657695/SRR11657695_2.fastq.gz</t>
  </si>
  <si>
    <t>Gotland24513</t>
  </si>
  <si>
    <t>ftp.sra.ebi.ac.uk/vol1/fastq/SRR116/094/SRR11657694/SRR11657694_1.fastq.gz;ftp.sra.ebi.ac.uk/vol1/fastq/SRR116/094/SRR11657694/SRR11657694_2.fastq.gz</t>
  </si>
  <si>
    <t>Gotland24514</t>
  </si>
  <si>
    <t>ftp.sra.ebi.ac.uk/vol1/fastq/SRR116/093/SRR11657693/SRR11657693_1.fastq.gz;ftp.sra.ebi.ac.uk/vol1/fastq/SRR116/093/SRR11657693/SRR11657693_2.fastq.gz</t>
  </si>
  <si>
    <t>SRR11657693</t>
  </si>
  <si>
    <t>Gotland24515</t>
  </si>
  <si>
    <t>ftp.sra.ebi.ac.uk/vol1/fastq/SRR116/092/SRR11657692/SRR11657692_1.fastq.gz;ftp.sra.ebi.ac.uk/vol1/fastq/SRR116/092/SRR11657692/SRR11657692_2.fastq.gz</t>
  </si>
  <si>
    <t>SRR11657692</t>
  </si>
  <si>
    <t>Gotland24516</t>
  </si>
  <si>
    <t>ftp.sra.ebi.ac.uk/vol1/fastq/SRR116/091/SRR11657691/SRR11657691_1.fastq.gz;ftp.sra.ebi.ac.uk/vol1/fastq/SRR116/091/SRR11657691/SRR11657691_2.fastq.gz</t>
  </si>
  <si>
    <t>Gotland24517</t>
  </si>
  <si>
    <t>ftp.sra.ebi.ac.uk/vol1/fastq/SRR116/090/SRR11657690/SRR11657690_1.fastq.gz;ftp.sra.ebi.ac.uk/vol1/fastq/SRR116/090/SRR11657690/SRR11657690_2.fastq.gz</t>
  </si>
  <si>
    <t>SRR11657690</t>
  </si>
  <si>
    <t>KRS3</t>
  </si>
  <si>
    <t>KRS</t>
  </si>
  <si>
    <t>Karakas</t>
  </si>
  <si>
    <t>SRR501886</t>
  </si>
  <si>
    <t>KRS5</t>
  </si>
  <si>
    <t>SRR501849</t>
  </si>
  <si>
    <t>KAR</t>
  </si>
  <si>
    <t>Karkul Sheep</t>
  </si>
  <si>
    <t>Pakistan</t>
  </si>
  <si>
    <t>——</t>
  </si>
  <si>
    <t>ftp.sra.ebi.ac.uk/vol1/fastq/SRR123/031/SRR12396931/SRR12396931_1.fastq.gz;ftp.sra.ebi.ac.uk/vol1/fastq/SRR123/031/SRR12396931/SRR12396931_2.fastq.gz</t>
  </si>
  <si>
    <t>ftp.sra.ebi.ac.uk/vol1/fastq/SRR123/070/SRR12396970/SRR12396970_1.fastq.gz;ftp.sra.ebi.ac.uk/vol1/fastq/SRR123/070/SRR12396970/SRR12396970_2.fastq.gz</t>
  </si>
  <si>
    <t>ftp.sra.ebi.ac.uk/vol1/fastq/SRR123/069/SRR12396969/SRR12396969_1.fastq.gz;ftp.sra.ebi.ac.uk/vol1/fastq/SRR123/069/SRR12396969/SRR12396969_2.fastq.gz</t>
  </si>
  <si>
    <t>KR4</t>
  </si>
  <si>
    <t>KR</t>
  </si>
  <si>
    <t>Karya</t>
  </si>
  <si>
    <t>SRR501867</t>
  </si>
  <si>
    <t>KUIB1</t>
  </si>
  <si>
    <t>KUIB</t>
  </si>
  <si>
    <t>Kuibyshev Sheep</t>
  </si>
  <si>
    <t>Russia</t>
  </si>
  <si>
    <t>ftp.sra.ebi.ac.uk/vol1/fastq/SRR123/094/SRR12396894/SRR12396894_1.fastq.gz;ftp.sra.ebi.ac.uk/vol1/fastq/SRR123/094/SRR12396894/SRR12396894_2.fastq.gz</t>
  </si>
  <si>
    <t>KUIB3</t>
  </si>
  <si>
    <t>ftp.sra.ebi.ac.uk/vol1/fastq/SRR123/093/SRR12396893/SRR12396893_1.fastq.gz;ftp.sra.ebi.ac.uk/vol1/fastq/SRR123/093/SRR12396893/SRR12396893_2.fastq.gz</t>
  </si>
  <si>
    <t>KUIB5</t>
  </si>
  <si>
    <t>ftp.sra.ebi.ac.uk/vol1/fastq/SRR123/092/SRR12396892/SRR12396892_1.fastq.gz;ftp.sra.ebi.ac.uk/vol1/fastq/SRR123/092/SRR12396892/SRR12396892_2.fastq.gz</t>
  </si>
  <si>
    <t>Sc11</t>
  </si>
  <si>
    <t>MBS</t>
  </si>
  <si>
    <t>Mbororo Sheep</t>
  </si>
  <si>
    <t>Niger</t>
  </si>
  <si>
    <t>ftp.sra.ebi.ac.uk/vol1/fastq/SRR123/084/SRR12396884/SRR12396884_1.fastq.gz;ftp.sra.ebi.ac.uk/vol1/fastq/SRR123/084/SRR12396884/SRR12396884_2.fastq.gz</t>
  </si>
  <si>
    <t>Sc12</t>
  </si>
  <si>
    <t>ftp.sra.ebi.ac.uk/vol1/fastq/SRR116/022/SRR11657622/SRR11657622_1.fastq.gz;ftp.sra.ebi.ac.uk/vol1/fastq/SRR116/022/SRR11657622/SRR11657622_2.fastq.gz</t>
  </si>
  <si>
    <t>SRR11657622</t>
  </si>
  <si>
    <t>ftp.sra.ebi.ac.uk/vol1/fastq/SRR123/045/SRR12396945/SRR12396945_1.fastq.gz;ftp.sra.ebi.ac.uk/vol1/fastq/SRR123/045/SRR12396945/SRR12396945_2.fastq.gz</t>
  </si>
  <si>
    <t>MER454</t>
  </si>
  <si>
    <t>MER</t>
  </si>
  <si>
    <t>Merino</t>
  </si>
  <si>
    <t>SRR501852</t>
  </si>
  <si>
    <t>MERA1</t>
  </si>
  <si>
    <t>SRR501887</t>
  </si>
  <si>
    <t>MERC1</t>
  </si>
  <si>
    <t>SRR501868</t>
  </si>
  <si>
    <t>MOS</t>
  </si>
  <si>
    <t>Mossi Sheep</t>
  </si>
  <si>
    <t>Burkina Faso</t>
  </si>
  <si>
    <t>ftp.sra.ebi.ac.uk/vol1/fastq/SRR123/074/SRR12396874/SRR12396874_1.fastq.gz;ftp.sra.ebi.ac.uk/vol1/fastq/SRR123/074/SRR12396874/SRR12396874_2.fastq.gz</t>
  </si>
  <si>
    <t>ftp.sra.ebi.ac.uk/vol1/fastq/SRR123/061/SRR12396861/SRR12396861_1.fastq.gz;ftp.sra.ebi.ac.uk/vol1/fastq/SRR123/061/SRR12396861/SRR12396861_2.fastq.gz</t>
  </si>
  <si>
    <t>ftp.sra.ebi.ac.uk/vol1/fastq/SRR116/089/SRR11657589/SRR11657589_1.fastq.gz;ftp.sra.ebi.ac.uk/vol1/fastq/SRR116/089/SRR11657589/SRR11657589_2.fastq.gz</t>
  </si>
  <si>
    <t>SRR11657589</t>
  </si>
  <si>
    <t>NDZ1</t>
  </si>
  <si>
    <t>NDZ</t>
  </si>
  <si>
    <t>Norduz</t>
  </si>
  <si>
    <t>SRR501888</t>
  </si>
  <si>
    <t>NDZ4</t>
  </si>
  <si>
    <t>SRR501869</t>
  </si>
  <si>
    <t>OUE0331</t>
  </si>
  <si>
    <t>OUE</t>
  </si>
  <si>
    <t>Ouessant Sheep</t>
  </si>
  <si>
    <t>France</t>
  </si>
  <si>
    <t>ftp.sra.ebi.ac.uk/vol1/fastq/SRR116/041/SRR11657541/SRR11657541_1.fastq.gz;ftp.sra.ebi.ac.uk/vol1/fastq/SRR116/041/SRR11657541/SRR11657541_2.fastq.gz</t>
  </si>
  <si>
    <t>SRR11657541</t>
  </si>
  <si>
    <t>OUE72647</t>
  </si>
  <si>
    <t>ftp.sra.ebi.ac.uk/vol1/fastq/SRR116/039/SRR11657539/SRR11657539_1.fastq.gz;ftp.sra.ebi.ac.uk/vol1/fastq/SRR116/039/SRR11657539/SRR11657539_2.fastq.gz</t>
  </si>
  <si>
    <t>SRR11657539</t>
  </si>
  <si>
    <t>Ouessant24947</t>
  </si>
  <si>
    <t>ftp.sra.ebi.ac.uk/vol1/fastq/SRR116/036/SRR11657536/SRR11657536_1.fastq.gz;ftp.sra.ebi.ac.uk/vol1/fastq/SRR116/036/SRR11657536/SRR11657536_2.fastq.gz</t>
  </si>
  <si>
    <t>SRR11657536</t>
  </si>
  <si>
    <t>POG14</t>
  </si>
  <si>
    <t>PIS</t>
  </si>
  <si>
    <t>Pag Island Sheep</t>
  </si>
  <si>
    <t>Croatia</t>
  </si>
  <si>
    <t>ftp.sra.ebi.ac.uk/vol1/fastq/SRR123/064/SRR12396864/SRR12396864_1.fastq.gz;ftp.sra.ebi.ac.uk/vol1/fastq/SRR123/064/SRR12396864/SRR12396864_2.fastq.gz</t>
  </si>
  <si>
    <t>POG24</t>
  </si>
  <si>
    <t>ftp.sra.ebi.ac.uk/vol1/fastq/SRR123/060/SRR12396860/SRR12396860_1.fastq.gz;ftp.sra.ebi.ac.uk/vol1/fastq/SRR123/060/SRR12396860/SRR12396860_2.fastq.gz</t>
  </si>
  <si>
    <t>POG8</t>
  </si>
  <si>
    <t>ftp.sra.ebi.ac.uk/vol1/fastq/SRR123/015/SRR12396915/SRR12396915_1.fastq.gz;ftp.sra.ebi.ac.uk/vol1/fastq/SRR123/015/SRR12396915/SRR12396915_2.fastq.gz</t>
  </si>
  <si>
    <t>PRAM16</t>
  </si>
  <si>
    <t>PRAM</t>
  </si>
  <si>
    <t>Pramenka Sheep</t>
  </si>
  <si>
    <t>Serbia</t>
  </si>
  <si>
    <t>ftp.sra.ebi.ac.uk/vol1/fastq/SRR123/099/SRR12396899/SRR12396899_1.fastq.gz;ftp.sra.ebi.ac.uk/vol1/fastq/SRR123/099/SRR12396899/SRR12396899_2.fastq.gz</t>
  </si>
  <si>
    <t>PRAM7</t>
  </si>
  <si>
    <t>ftp.sra.ebi.ac.uk/vol1/fastq/SRR123/098/SRR12396898/SRR12396898_1.fastq.gz;ftp.sra.ebi.ac.uk/vol1/fastq/SRR123/098/SRR12396898/SRR12396898_2.fastq.gz</t>
  </si>
  <si>
    <t>RAH</t>
  </si>
  <si>
    <t>Rahmani Sheep</t>
  </si>
  <si>
    <t>ftp.sra.ebi.ac.uk/vol1/fastq/SRR123/087/SRR12396987/SRR12396987_1.fastq.gz;ftp.sra.ebi.ac.uk/vol1/fastq/SRR123/087/SRR12396987/SRR12396987_2.fastq.gz</t>
  </si>
  <si>
    <t>ftp.sra.ebi.ac.uk/vol1/fastq/SRR123/076/SRR12396976/SRR12396976_1.fastq.gz;ftp.sra.ebi.ac.uk/vol1/fastq/SRR123/076/SRR12396976/SRR12396976_2.fastq.gz</t>
  </si>
  <si>
    <t>Egy-50</t>
  </si>
  <si>
    <t>ftp.sra.ebi.ac.uk/vol1/fastq/SRR123/047/SRR12396947/SRR12396947_1.fastq.gz;ftp.sra.ebi.ac.uk/vol1/fastq/SRR123/047/SRR12396947/SRR12396947_2.fastq.gz</t>
  </si>
  <si>
    <t>SAH</t>
  </si>
  <si>
    <t>Sahelian Sheep</t>
  </si>
  <si>
    <t>ftp.sra.ebi.ac.uk/vol1/fastq/SRR123/006/SRR12396906/SRR12396906_1.fastq.gz;ftp.sra.ebi.ac.uk/vol1/fastq/SRR123/006/SRR12396906/SRR12396906_2.fastq.gz</t>
  </si>
  <si>
    <t>ftp.sra.ebi.ac.uk/vol1/fastq/SRR116/087/SRR11657587/SRR11657587_1.fastq.gz;ftp.sra.ebi.ac.uk/vol1/fastq/SRR116/087/SRR11657587/SRR11657587_2.fastq.gz</t>
  </si>
  <si>
    <t>SRR11657587</t>
  </si>
  <si>
    <t>ftp.sra.ebi.ac.uk/vol1/fastq/SRR123/095/SRR12396895/SRR12396895_1.fastq.gz;ftp.sra.ebi.ac.uk/vol1/fastq/SRR123/095/SRR12396895/SRR12396895_2.fastq.gz</t>
  </si>
  <si>
    <t>SKZ1</t>
  </si>
  <si>
    <t>SKZ</t>
  </si>
  <si>
    <t>Sakiz</t>
  </si>
  <si>
    <t>SRR501843</t>
  </si>
  <si>
    <t>SKZ4</t>
  </si>
  <si>
    <t>SRR501878</t>
  </si>
  <si>
    <t>Shetland23342</t>
  </si>
  <si>
    <t>SHE</t>
  </si>
  <si>
    <t>Shetland Sheep</t>
  </si>
  <si>
    <t>Scotland</t>
  </si>
  <si>
    <t>ftp.sra.ebi.ac.uk/vol1/fastq/SRR116/018/SRR11657718/SRR11657718_1.fastq.gz;ftp.sra.ebi.ac.uk/vol1/fastq/SRR116/018/SRR11657718/SRR11657718_2.fastq.gz</t>
  </si>
  <si>
    <t>Shetland23343</t>
  </si>
  <si>
    <t>ftp.sra.ebi.ac.uk/vol1/fastq/SRR116/017/SRR11657717/SRR11657717_1.fastq.gz;ftp.sra.ebi.ac.uk/vol1/fastq/SRR116/017/SRR11657717/SRR11657717_2.fastq.gz</t>
  </si>
  <si>
    <t>Shetland23344</t>
  </si>
  <si>
    <t>ftp.sra.ebi.ac.uk/vol1/fastq/SRR116/016/SRR11657716/SRR11657716_1.fastq.gz;ftp.sra.ebi.ac.uk/vol1/fastq/SRR116/016/SRR11657716/SRR11657716_2.fastq.gz</t>
  </si>
  <si>
    <t>Shetland23345</t>
  </si>
  <si>
    <t>ftp.sra.ebi.ac.uk/vol1/fastq/SRR116/015/SRR11657715/SRR11657715_1.fastq.gz;ftp.sra.ebi.ac.uk/vol1/fastq/SRR116/015/SRR11657715/SRR11657715_2.fastq.gz</t>
  </si>
  <si>
    <t>Shetland23346</t>
  </si>
  <si>
    <t>ftp.sra.ebi.ac.uk/vol1/fastq/SRR116/014/SRR11657714/SRR11657714_1.fastq.gz;ftp.sra.ebi.ac.uk/vol1/fastq/SRR116/014/SRR11657714/SRR11657714_2.fastq.gz</t>
  </si>
  <si>
    <t>Shetland23347</t>
  </si>
  <si>
    <t>ftp.sra.ebi.ac.uk/vol1/fastq/SRR116/013/SRR11657713/SRR11657713_1.fastq.gz;ftp.sra.ebi.ac.uk/vol1/fastq/SRR116/013/SRR11657713/SRR11657713_2.fastq.gz</t>
  </si>
  <si>
    <t>Shetland23354</t>
  </si>
  <si>
    <t>ftp.sra.ebi.ac.uk/vol1/fastq/SRR116/012/SRR11657712/SRR11657712_1.fastq.gz;ftp.sra.ebi.ac.uk/vol1/fastq/SRR116/012/SRR11657712/SRR11657712_2.fastq.gz</t>
  </si>
  <si>
    <t>Solognote24727</t>
  </si>
  <si>
    <t>SOL</t>
  </si>
  <si>
    <t>Solognote Sheep</t>
  </si>
  <si>
    <t>ftp.sra.ebi.ac.uk/vol1/fastq/SRR116/011/SRR11657711/SRR11657711_1.fastq.gz;ftp.sra.ebi.ac.uk/vol1/fastq/SRR116/011/SRR11657711/SRR11657711_2.fastq.gz</t>
  </si>
  <si>
    <t>Solognote24728</t>
  </si>
  <si>
    <t>ftp.sra.ebi.ac.uk/vol1/fastq/SRR116/010/SRR11657710/SRR11657710_1.fastq.gz;ftp.sra.ebi.ac.uk/vol1/fastq/SRR116/010/SRR11657710/SRR11657710_2.fastq.gz</t>
  </si>
  <si>
    <t>Solognote24729</t>
  </si>
  <si>
    <t>ftp.sra.ebi.ac.uk/vol1/fastq/SRR116/009/SRR11657709/SRR11657709_1.fastq.gz;ftp.sra.ebi.ac.uk/vol1/fastq/SRR116/009/SRR11657709/SRR11657709_2.fastq.gz</t>
  </si>
  <si>
    <t>Solognote24730</t>
  </si>
  <si>
    <t>ftp.sra.ebi.ac.uk/vol1/fastq/SRR116/007/SRR11657707/SRR11657707_1.fastq.gz;ftp.sra.ebi.ac.uk/vol1/fastq/SRR116/007/SRR11657707/SRR11657707_2.fastq.gz</t>
  </si>
  <si>
    <t>Solognote24731</t>
  </si>
  <si>
    <t>ftp.sra.ebi.ac.uk/vol1/fastq/SRR116/006/SRR11657706/SRR11657706_1.fastq.gz;ftp.sra.ebi.ac.uk/vol1/fastq/SRR116/006/SRR11657706/SRR11657706_2.fastq.gz</t>
  </si>
  <si>
    <t>Solognote24732</t>
  </si>
  <si>
    <t>ftp.sra.ebi.ac.uk/vol1/fastq/SRR116/005/SRR11657705/SRR11657705_1.fastq.gz;ftp.sra.ebi.ac.uk/vol1/fastq/SRR116/005/SRR11657705/SRR11657705_2.fastq.gz</t>
  </si>
  <si>
    <t>Solognote24733</t>
  </si>
  <si>
    <t>ftp.sra.ebi.ac.uk/vol1/fastq/SRR116/004/SRR11657704/SRR11657704_1.fastq.gz;ftp.sra.ebi.ac.uk/vol1/fastq/SRR116/004/SRR11657704/SRR11657704_2.fastq.gz</t>
  </si>
  <si>
    <t>Solognote24734</t>
  </si>
  <si>
    <t>ftp.sra.ebi.ac.uk/vol1/fastq/SRR116/003/SRR11657703/SRR11657703_1.fastq.gz;ftp.sra.ebi.ac.uk/vol1/fastq/SRR116/003/SRR11657703/SRR11657703_2.fastq.gz</t>
  </si>
  <si>
    <t>Solognote24735</t>
  </si>
  <si>
    <t>ftp.sra.ebi.ac.uk/vol1/fastq/SRR116/002/SRR11657702/SRR11657702_1.fastq.gz;ftp.sra.ebi.ac.uk/vol1/fastq/SRR116/002/SRR11657702/SRR11657702_2.fastq.gz</t>
  </si>
  <si>
    <t>Solognote24736</t>
  </si>
  <si>
    <t>ftp.sra.ebi.ac.uk/vol1/fastq/SRR116/001/SRR11657701/SRR11657701_1.fastq.gz;ftp.sra.ebi.ac.uk/vol1/fastq/SRR116/001/SRR11657701/SRR11657701_2.fastq.gz</t>
  </si>
  <si>
    <t>SFK193</t>
  </si>
  <si>
    <t>Suffolk Sheep</t>
  </si>
  <si>
    <t>SKF</t>
  </si>
  <si>
    <t>England</t>
  </si>
  <si>
    <t>ftp.sra.ebi.ac.uk/vol1/fastq/SRR116/057/SRR11657657/SRR11657657_1.fastq.gz;ftp.sra.ebi.ac.uk/vol1/fastq/SRR116/057/SRR11657657/SRR11657657_2.fastq.gz</t>
  </si>
  <si>
    <t>SRR11657657</t>
  </si>
  <si>
    <t>SFK194</t>
  </si>
  <si>
    <t>ftp.sra.ebi.ac.uk/vol1/fastq/SRR116/056/SRR11657656/SRR11657656_1.fastq.gz;ftp.sra.ebi.ac.uk/vol1/fastq/SRR116/056/SRR11657656/SRR11657656_2.fastq.gz</t>
  </si>
  <si>
    <t>SRR11657656</t>
  </si>
  <si>
    <t>SFK195</t>
  </si>
  <si>
    <t>ftp.sra.ebi.ac.uk/vol1/fastq/SRR116/055/SRR11657655/SRR11657655_1.fastq.gz;ftp.sra.ebi.ac.uk/vol1/fastq/SRR116/055/SRR11657655/SRR11657655_2.fastq.gz</t>
  </si>
  <si>
    <t>SRR11657655</t>
  </si>
  <si>
    <t>SFK197</t>
  </si>
  <si>
    <t>ftp.sra.ebi.ac.uk/vol1/fastq/SRR116/054/SRR11657654/SRR11657654_1.fastq.gz;ftp.sra.ebi.ac.uk/vol1/fastq/SRR116/054/SRR11657654/SRR11657654_2.fastq.gz</t>
  </si>
  <si>
    <t>SRR11657654</t>
  </si>
  <si>
    <t>SFK198</t>
  </si>
  <si>
    <t>ftp.sra.ebi.ac.uk/vol1/fastq/SRR116/053/SRR11657653/SRR11657653_1.fastq.gz;ftp.sra.ebi.ac.uk/vol1/fastq/SRR116/053/SRR11657653/SRR11657653_2.fastq.gz</t>
  </si>
  <si>
    <t>SRR11657653</t>
  </si>
  <si>
    <t>SFK201</t>
  </si>
  <si>
    <t>ftp.sra.ebi.ac.uk/vol1/fastq/SRR116/052/SRR11657652/SRR11657652_1.fastq.gz;ftp.sra.ebi.ac.uk/vol1/fastq/SRR116/052/SRR11657652/SRR11657652_2.fastq.gz</t>
  </si>
  <si>
    <t>SRR11657652</t>
  </si>
  <si>
    <t>SFK203</t>
  </si>
  <si>
    <t>ftp.sra.ebi.ac.uk/vol1/fastq/SRR116/051/SRR11657651/SRR11657651_1.fastq.gz;ftp.sra.ebi.ac.uk/vol1/fastq/SRR116/051/SRR11657651/SRR11657651_2.fastq.gz</t>
  </si>
  <si>
    <t>SRR11657651</t>
  </si>
  <si>
    <t>SFK204</t>
  </si>
  <si>
    <t>ftp.sra.ebi.ac.uk/vol1/fastq/SRR116/050/SRR11657650/SRR11657650_1.fastq.gz;ftp.sra.ebi.ac.uk/vol1/fastq/SRR116/050/SRR11657650/SRR11657650_2.fastq.gz</t>
  </si>
  <si>
    <t>SRR11657650</t>
  </si>
  <si>
    <t>SFK205</t>
  </si>
  <si>
    <t>ftp.sra.ebi.ac.uk/vol1/fastq/SRR116/049/SRR11657649/SRR11657649_1.fastq.gz;ftp.sra.ebi.ac.uk/vol1/fastq/SRR116/049/SRR11657649/SRR11657649_2.fastq.gz</t>
  </si>
  <si>
    <t>SRR11657649</t>
  </si>
  <si>
    <t>SFK206</t>
  </si>
  <si>
    <t>ftp.sra.ebi.ac.uk/vol1/fastq/SRR116/048/SRR11657648/SRR11657648_1.fastq.gz;ftp.sra.ebi.ac.uk/vol1/fastq/SRR116/048/SRR11657648/SRR11657648_2.fastq.gz</t>
  </si>
  <si>
    <t>SRR11657648</t>
  </si>
  <si>
    <t>T-01</t>
  </si>
  <si>
    <t>TEX</t>
  </si>
  <si>
    <t>Texel Sheep</t>
  </si>
  <si>
    <t>ftp.sra.ebi.ac.uk/vol1/fastq/SRR123/090/SRR12396990/SRR12396990_1.fastq.gz;ftp.sra.ebi.ac.uk/vol1/fastq/SRR123/090/SRR12396990/SRR12396990_2.fastq.gz</t>
  </si>
  <si>
    <t>T-02</t>
  </si>
  <si>
    <t>ftp.sra.ebi.ac.uk/vol1/fastq/SRR123/088/SRR12396988/SRR12396988_1.fastq.gz;ftp.sra.ebi.ac.uk/vol1/fastq/SRR123/088/SRR12396988/SRR12396988_2.fastq.gz</t>
  </si>
  <si>
    <t>T-11</t>
  </si>
  <si>
    <t>ftp.sra.ebi.ac.uk/vol1/fastq/SRR123/089/SRR12396989/SRR12396989_1.fastq.gz;ftp.sra.ebi.ac.uk/vol1/fastq/SRR123/089/SRR12396989/SRR12396989_2.fastq.gz</t>
  </si>
  <si>
    <t>THA</t>
  </si>
  <si>
    <t>Thalli Sheep</t>
  </si>
  <si>
    <t>ftp.sra.ebi.ac.uk/vol1/fastq/SRR123/068/SRR12396968/SRR12396968_1.fastq.gz;ftp.sra.ebi.ac.uk/vol1/fastq/SRR123/068/SRR12396968/SRR12396968_2.fastq.gz</t>
  </si>
  <si>
    <t>ftp.sra.ebi.ac.uk/vol1/fastq/SRR123/067/SRR12396967/SRR12396967_1.fastq.gz;ftp.sra.ebi.ac.uk/vol1/fastq/SRR123/067/SRR12396967/SRR12396967_2.fastq.gz</t>
  </si>
  <si>
    <t>ftp.sra.ebi.ac.uk/vol1/fastq/SRR123/030/SRR12396930/SRR12396930_1.fastq.gz;ftp.sra.ebi.ac.uk/vol1/fastq/SRR123/030/SRR12396930/SRR12396930_2.fastq.gz</t>
  </si>
  <si>
    <t>AWT1</t>
  </si>
  <si>
    <t>AWT</t>
  </si>
  <si>
    <t>Turkish_Awassi</t>
  </si>
  <si>
    <t>SRR501893</t>
  </si>
  <si>
    <t>AWT2</t>
  </si>
  <si>
    <t>SRR501872</t>
  </si>
  <si>
    <t>V-08</t>
  </si>
  <si>
    <t>VAL</t>
  </si>
  <si>
    <t>Valachian Sheep</t>
  </si>
  <si>
    <t>Czech Republic</t>
  </si>
  <si>
    <t>ftp.sra.ebi.ac.uk/vol1/fastq/SRR123/096/SRR12396996/SRR12396996_1.fastq.gz;ftp.sra.ebi.ac.uk/vol1/fastq/SRR123/096/SRR12396996/SRR12396996_2.fastq.gz</t>
  </si>
  <si>
    <t>V-09</t>
  </si>
  <si>
    <t>ftp.sra.ebi.ac.uk/vol1/fastq/SRR123/095/SRR12396995/SRR12396995_1.fastq.gz;ftp.sra.ebi.ac.uk/vol1/fastq/SRR123/095/SRR12396995/SRR12396995_2.fastq.gz</t>
  </si>
  <si>
    <t>10N</t>
  </si>
  <si>
    <t>WAG</t>
  </si>
  <si>
    <t>Waggir Sheep</t>
  </si>
  <si>
    <t>WGR</t>
  </si>
  <si>
    <t>Afghanistan</t>
  </si>
  <si>
    <t>ftp.sra.ebi.ac.uk/vol1/fastq/SRR116/094/SRR11657594/SRR11657594_1.fastq.gz;ftp.sra.ebi.ac.uk/vol1/fastq/SRR116/094/SRR11657594/SRR11657594_2.fastq.gz</t>
  </si>
  <si>
    <t>11N</t>
  </si>
  <si>
    <t>ftp.sra.ebi.ac.uk/vol1/fastq/SRR116/019/SRR11657619/SRR11657619_1.fastq.gz;ftp.sra.ebi.ac.uk/vol1/fastq/SRR116/019/SRR11657619/SRR11657619_2.fastq.gz</t>
  </si>
  <si>
    <t>1N</t>
  </si>
  <si>
    <t>ftp.sra.ebi.ac.uk/vol1/fastq/SRR116/099/SRR11657599/SRR11657599_1.fastq.gz;ftp.sra.ebi.ac.uk/vol1/fastq/SRR116/099/SRR11657599/SRR11657599_2.fastq.gz</t>
  </si>
  <si>
    <t>2N</t>
  </si>
  <si>
    <t>ftp.sra.ebi.ac.uk/vol1/fastq/SRR116/098/SRR11657598/SRR11657598_1.fastq.gz;ftp.sra.ebi.ac.uk/vol1/fastq/SRR116/098/SRR11657598/SRR11657598_2.fastq.gz</t>
  </si>
  <si>
    <t>SRR11657598</t>
  </si>
  <si>
    <t>3N</t>
  </si>
  <si>
    <t>ftp.sra.ebi.ac.uk/vol1/fastq/SRR116/097/SRR11657597/SRR11657597_1.fastq.gz;ftp.sra.ebi.ac.uk/vol1/fastq/SRR116/097/SRR11657597/SRR11657597_2.fastq.gz</t>
  </si>
  <si>
    <t>SRR11657597</t>
  </si>
  <si>
    <t>5N</t>
  </si>
  <si>
    <t>ftp.sra.ebi.ac.uk/vol1/fastq/SRR116/096/SRR11657596/SRR11657596_1.fastq.gz;ftp.sra.ebi.ac.uk/vol1/fastq/SRR116/096/SRR11657596/SRR11657596_2.fastq.gz</t>
  </si>
  <si>
    <t>SRR11657596</t>
  </si>
  <si>
    <t>6N</t>
  </si>
  <si>
    <t>ftp.sra.ebi.ac.uk/vol1/fastq/SRR116/015/SRR11657615/SRR11657615_1.fastq.gz;ftp.sra.ebi.ac.uk/vol1/fastq/SRR116/015/SRR11657615/SRR11657615_2.fastq.gz</t>
  </si>
  <si>
    <t>SRR11657615</t>
  </si>
  <si>
    <t>7N</t>
  </si>
  <si>
    <t>ftp.sra.ebi.ac.uk/vol1/fastq/SRR116/016/SRR11657616/SRR11657616_1.fastq.gz;ftp.sra.ebi.ac.uk/vol1/fastq/SRR116/016/SRR11657616/SRR11657616_2.fastq.gz</t>
  </si>
  <si>
    <t>SRR11657616</t>
  </si>
  <si>
    <t>8N</t>
  </si>
  <si>
    <t>ftp.sra.ebi.ac.uk/vol1/fastq/SRR116/017/SRR11657617/SRR11657617_1.fastq.gz;ftp.sra.ebi.ac.uk/vol1/fastq/SRR116/017/SRR11657617/SRR11657617_2.fastq.gz</t>
  </si>
  <si>
    <t>SRR11657617</t>
  </si>
  <si>
    <t>9N</t>
  </si>
  <si>
    <t>ftp.sra.ebi.ac.uk/vol1/fastq/SRR116/018/SRR11657618/SRR11657618_1.fastq.gz;ftp.sra.ebi.ac.uk/vol1/fastq/SRR116/018/SRR11657618/SRR11657618_2.fastq.gz</t>
  </si>
  <si>
    <t>SRR11657618</t>
  </si>
  <si>
    <t>Supplementary Table 3: Sheep breeds included in the SNPCHP panel</t>
  </si>
  <si>
    <t>Code</t>
  </si>
  <si>
    <t>Population Name</t>
  </si>
  <si>
    <t>Latitude</t>
  </si>
  <si>
    <t>Longitude</t>
  </si>
  <si>
    <t>Ouessant</t>
  </si>
  <si>
    <t>Rochus 2020</t>
  </si>
  <si>
    <t>ROU</t>
  </si>
  <si>
    <t>Roussin de la Hague</t>
  </si>
  <si>
    <t>MTR</t>
  </si>
  <si>
    <t>Manech Tête Rouge</t>
  </si>
  <si>
    <t>VEN</t>
  </si>
  <si>
    <t>Mouton Vendéen</t>
  </si>
  <si>
    <t>RWE</t>
  </si>
  <si>
    <t>Rouge de l'Ouest</t>
  </si>
  <si>
    <t>RMN</t>
  </si>
  <si>
    <t>Romane</t>
  </si>
  <si>
    <t>SUF</t>
  </si>
  <si>
    <t>Suffolk</t>
  </si>
  <si>
    <t>CHR</t>
  </si>
  <si>
    <t>Charmoise</t>
  </si>
  <si>
    <t>TAR</t>
  </si>
  <si>
    <t>Tarasconnaise</t>
  </si>
  <si>
    <t>CDL</t>
  </si>
  <si>
    <t>Causses du Lot</t>
  </si>
  <si>
    <t>RAM</t>
  </si>
  <si>
    <t>Mérinos de Rambouillet</t>
  </si>
  <si>
    <t>LIM</t>
  </si>
  <si>
    <t>Limousine</t>
  </si>
  <si>
    <t>BER</t>
  </si>
  <si>
    <t>Berrichon du Cher</t>
  </si>
  <si>
    <t>IDF</t>
  </si>
  <si>
    <t>Île de France</t>
  </si>
  <si>
    <t>LAC</t>
  </si>
  <si>
    <t>Lacaune (milk)</t>
  </si>
  <si>
    <t>LAM</t>
  </si>
  <si>
    <t>Lacaune (meat)</t>
  </si>
  <si>
    <t>RAV</t>
  </si>
  <si>
    <t>Rava</t>
  </si>
  <si>
    <t>BMC</t>
  </si>
  <si>
    <t>Blanc du Massif Central</t>
  </si>
  <si>
    <t>NVE</t>
  </si>
  <si>
    <t>Noire du Velay</t>
  </si>
  <si>
    <t>CHA</t>
  </si>
  <si>
    <t>Mouton Charollais</t>
  </si>
  <si>
    <t>Texel</t>
  </si>
  <si>
    <t>Mérinos d'Arles</t>
  </si>
  <si>
    <t>PAS</t>
  </si>
  <si>
    <t>Préalpes du Sud</t>
  </si>
  <si>
    <t>Mourerous</t>
  </si>
  <si>
    <t>EUR</t>
  </si>
  <si>
    <t>European Mouflon</t>
  </si>
  <si>
    <t>COR</t>
  </si>
  <si>
    <t>Corse</t>
  </si>
  <si>
    <t>DAL</t>
  </si>
  <si>
    <t>Dala päls sheep</t>
  </si>
  <si>
    <t>Rochus 2018</t>
  </si>
  <si>
    <t>KLO</t>
  </si>
  <si>
    <t>Klövsjö sheep</t>
  </si>
  <si>
    <t>Gotland sheep</t>
  </si>
  <si>
    <t>GUT</t>
  </si>
  <si>
    <t>Gute sheep</t>
  </si>
  <si>
    <t>FIAH</t>
  </si>
  <si>
    <t>Åland sheep</t>
  </si>
  <si>
    <t>Cao 2021</t>
  </si>
  <si>
    <t>FJA</t>
  </si>
  <si>
    <t>Fjällnäs sheep</t>
  </si>
  <si>
    <t>RULH</t>
  </si>
  <si>
    <t>Russian Longhaired</t>
  </si>
  <si>
    <t>Igoshin 2022</t>
  </si>
  <si>
    <t>ROM</t>
  </si>
  <si>
    <t>Romanov</t>
  </si>
  <si>
    <t>SALS</t>
  </si>
  <si>
    <t>Salsk</t>
  </si>
  <si>
    <t>RMNV</t>
  </si>
  <si>
    <t xml:space="preserve">58.10945221542815, </t>
  </si>
  <si>
    <t>KRCH</t>
  </si>
  <si>
    <t>Karachaev</t>
  </si>
  <si>
    <t>GRZN</t>
  </si>
  <si>
    <t>Groznensk</t>
  </si>
  <si>
    <t>VOLG</t>
  </si>
  <si>
    <t>Volgograd</t>
  </si>
  <si>
    <t>LEZG</t>
  </si>
  <si>
    <t>Lezgin</t>
  </si>
  <si>
    <t>EDLB</t>
  </si>
  <si>
    <t>Edilbai</t>
  </si>
  <si>
    <t>OSTN</t>
  </si>
  <si>
    <t>Osetin</t>
  </si>
  <si>
    <t>KARA</t>
  </si>
  <si>
    <t>Karakul</t>
  </si>
  <si>
    <t>Kulundinskaya</t>
  </si>
  <si>
    <t>Kulundin</t>
  </si>
  <si>
    <t>Tuvinskaya</t>
  </si>
  <si>
    <t>Tuva</t>
  </si>
  <si>
    <t>Zabaykalskaya</t>
  </si>
  <si>
    <t>Baikal</t>
  </si>
  <si>
    <t>Gornoaltayskaya</t>
  </si>
  <si>
    <t>Altai Mountain</t>
  </si>
  <si>
    <t>Krasnoyarskaya</t>
  </si>
  <si>
    <t>Krasnoyarsk</t>
  </si>
  <si>
    <t>Buryat</t>
  </si>
  <si>
    <t>Buubei</t>
  </si>
  <si>
    <t>Supplementary Table 4: Continuity results for ASTF</t>
  </si>
  <si>
    <t>Stora Förvar</t>
  </si>
  <si>
    <t>Continuity</t>
  </si>
  <si>
    <t>Discontinuity</t>
  </si>
  <si>
    <t>Pop</t>
  </si>
  <si>
    <t>Data Type</t>
  </si>
  <si>
    <t>LnLike</t>
  </si>
  <si>
    <t>Drift Ancestral/Modern</t>
  </si>
  <si>
    <t>Error Ancient</t>
  </si>
  <si>
    <t>LnLike2</t>
  </si>
  <si>
    <t>Drift Ancestral/Modern2</t>
  </si>
  <si>
    <t>Drift Ancestral/Ancient</t>
  </si>
  <si>
    <t>Error Ancient2</t>
  </si>
  <si>
    <t>Likelihood Ratio</t>
  </si>
  <si>
    <t>AKAS</t>
  </si>
  <si>
    <t>Ancient</t>
  </si>
  <si>
    <t>SNPCHP</t>
  </si>
  <si>
    <t>Gorn</t>
  </si>
  <si>
    <t>Gute</t>
  </si>
  <si>
    <t>Kara</t>
  </si>
  <si>
    <t>Kras</t>
  </si>
  <si>
    <t>Kulu</t>
  </si>
  <si>
    <t>Tuv</t>
  </si>
  <si>
    <t>Zabay</t>
  </si>
  <si>
    <t>Supplementary Table 5: Continuity results for AKAS</t>
  </si>
  <si>
    <t>Kastelholm</t>
  </si>
  <si>
    <t>Supplementary Table 6: Information on sheep remains</t>
  </si>
  <si>
    <t>Alternative ID</t>
  </si>
  <si>
    <t>Section</t>
  </si>
  <si>
    <t>Element</t>
  </si>
  <si>
    <t>Description</t>
  </si>
  <si>
    <t>ASTF001</t>
  </si>
  <si>
    <t>6198:4474 (26)</t>
  </si>
  <si>
    <t>Section I, layer 4</t>
  </si>
  <si>
    <t>Right radius. Mid Part of diaphysis.</t>
  </si>
  <si>
    <t>Bone is of adult size.</t>
  </si>
  <si>
    <t>ASTF002</t>
  </si>
  <si>
    <t>6165:3863 (12)</t>
  </si>
  <si>
    <t>Section I, layer 5</t>
  </si>
  <si>
    <t>Proximal part of the diaphysis of right radius.</t>
  </si>
  <si>
    <t>Individual is older than 7 months. However, the bone is of adult size.</t>
  </si>
  <si>
    <t>ASTF003</t>
  </si>
  <si>
    <t>6165:3641 (1)</t>
  </si>
  <si>
    <t>Complete diaphysis of right radius, fused proximally but unfused distal part.</t>
  </si>
  <si>
    <t>The age of the individual is between 7 and 36 months. Size of element close to adult size.</t>
  </si>
  <si>
    <t>AKAS001</t>
  </si>
  <si>
    <t>ÅM581 KS41 - A1 plan 7 178c, KS9)</t>
  </si>
  <si>
    <t>Phase 1</t>
  </si>
  <si>
    <t>right radius, a proximal part of the element, missing c.20% of the distal part</t>
  </si>
  <si>
    <t>Judging from morphological features the individual was an adult animal, i.e. older than c.31 months.</t>
  </si>
  <si>
    <t>AKAS002</t>
  </si>
  <si>
    <t>ÅM581 KS41 - b2 plan 7 191, KS6</t>
  </si>
  <si>
    <t>right radius, complete diaphysis with the proximal epiphysis fused while the distal part is unfused (and missing)</t>
  </si>
  <si>
    <t>The age of the individual is between c.7 and 36 months.</t>
  </si>
  <si>
    <t>Age at death estimated according to (Popkin et al. 2012).</t>
  </si>
  <si>
    <t>Popkin PRW, Baker P, Worley F, Payne S, Hammon A. 2012. The Sheep Project (1): determining skeletal growth, timing of epiphyseal fusion and morphometric variation in unimproved Shetland sheep of known age, sex, castration status and nutrition. Journal of Archaeological Science 39:1775–1792.</t>
  </si>
  <si>
    <t>Supplementary Table 7: p values of compare_fits comparisons for the admixture graph model. Small p values indicate significantly better fits of the model with more migration events.</t>
  </si>
  <si>
    <t>Number of migration events</t>
  </si>
  <si>
    <t>Supplementary Table 9. Samples, Genotype for Phenotypic markers (Number of reads crossing breakpoints for fine-wool (F) and coarse- wool (C), see also Supplementary Figures 12&amp;13 . Genotype for rs161553028 (number of reads with C and T base calls respectively), number of reads crossing breakpoint for tail insertion</t>
  </si>
  <si>
    <t>Sample</t>
  </si>
  <si>
    <t>Wool – Insertion</t>
  </si>
  <si>
    <t>Wool – SNP</t>
  </si>
  <si>
    <t>Tail – Insertion</t>
  </si>
  <si>
    <t>ASTF-001</t>
  </si>
  <si>
    <t>F 1, C 1</t>
  </si>
  <si>
    <t>2 T, 0 C</t>
  </si>
  <si>
    <t>6 reads overlapping breakpoint</t>
  </si>
  <si>
    <t>ASTF-002</t>
  </si>
  <si>
    <t>F 3, C 1</t>
  </si>
  <si>
    <t>11 T, 0 C</t>
  </si>
  <si>
    <t>8 reads overlapping breakpoint</t>
  </si>
  <si>
    <t>ASTF-003</t>
  </si>
  <si>
    <t>F 0, C 0</t>
  </si>
  <si>
    <t>1 T, 0 C</t>
  </si>
  <si>
    <t>1 read overlapping breakpoint</t>
  </si>
  <si>
    <t>AKAS-001</t>
  </si>
  <si>
    <t>No Calls</t>
  </si>
  <si>
    <t>no data</t>
  </si>
  <si>
    <t>AKAS-002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</si>
</sst>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0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u/>
      <sz val="11"/>
      <color rgb="FF0563C1"/>
      <name val="Arial"/>
      <family val="2"/>
      <charset val="1"/>
    </font>
    <font>
      <u/>
      <sz val="11"/>
      <color rgb="FF0563C1"/>
      <name val="Calibri"/>
      <family val="2"/>
      <charset val="1"/>
    </font>
    <font>
      <i/>
      <sz val="11"/>
      <color rgb="FF000000"/>
      <name val="Arial"/>
      <family val="2"/>
      <charset val="1"/>
    </font>
    <font>
      <i/>
      <sz val="11"/>
      <name val="Arial"/>
      <family val="2"/>
      <charset val="1"/>
    </font>
    <font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b/>
      <sz val="12"/>
      <name val="Calibri"/>
      <family val="2"/>
      <charset val="1"/>
    </font>
    <font>
      <i/>
      <sz val="12"/>
      <name val="Calibri"/>
      <family val="2"/>
      <charset val="1"/>
    </font>
    <font>
      <sz val="12"/>
      <name val="Calibri"/>
      <family val="2"/>
      <charset val="1"/>
    </font>
    <font>
      <sz val="10"/>
      <color rgb="FF000000"/>
      <name val="Helvetica Neue"/>
      <family val="2"/>
      <charset val="1"/>
    </font>
    <font>
      <sz val="11"/>
      <name val="Calibri"/>
      <family val="2"/>
      <charset val="1"/>
    </font>
    <font>
      <sz val="11"/>
      <color rgb="FF212529"/>
      <name val="Calibri"/>
      <family val="2"/>
      <charset val="1"/>
    </font>
    <font>
      <sz val="11"/>
      <color rgb="FF202122"/>
      <name val="Calibri"/>
      <family val="2"/>
      <charset val="1"/>
    </font>
    <font>
      <sz val="11"/>
      <color rgb="FF333333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0" fontId="4" fillId="0" borderId="0" applyBorder="0" applyProtection="0"/>
    <xf numFmtId="0" fontId="18" fillId="0" borderId="0"/>
  </cellStyleXfs>
  <cellXfs count="46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0" fontId="3" fillId="0" borderId="0" xfId="1" applyFont="1" applyBorder="1" applyAlignment="1" applyProtection="1">
      <alignment horizontal="left" vertical="top"/>
    </xf>
    <xf numFmtId="0" fontId="5" fillId="0" borderId="0" xfId="0" applyFont="1" applyAlignment="1">
      <alignment horizontal="left" vertical="top"/>
    </xf>
    <xf numFmtId="14" fontId="1" fillId="0" borderId="0" xfId="0" applyNumberFormat="1" applyFont="1" applyAlignment="1">
      <alignment horizontal="left" vertical="top"/>
    </xf>
    <xf numFmtId="0" fontId="1" fillId="0" borderId="0" xfId="0" applyFont="1"/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4" fillId="0" borderId="0" xfId="1" applyBorder="1" applyAlignment="1" applyProtection="1">
      <alignment horizontal="left" vertical="top"/>
    </xf>
    <xf numFmtId="0" fontId="0" fillId="0" borderId="0" xfId="1" applyFont="1" applyBorder="1" applyAlignment="1" applyProtection="1">
      <alignment horizontal="left" vertical="top"/>
    </xf>
    <xf numFmtId="0" fontId="13" fillId="0" borderId="0" xfId="0" applyFon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vertical="top"/>
    </xf>
    <xf numFmtId="0" fontId="9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4" fillId="0" borderId="0" xfId="1" applyFont="1" applyBorder="1" applyAlignment="1" applyProtection="1">
      <alignment vertical="top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0" fillId="0" borderId="0" xfId="2" applyFont="1" applyAlignment="1">
      <alignment vertical="top"/>
    </xf>
    <xf numFmtId="0" fontId="8" fillId="0" borderId="0" xfId="0" applyFont="1"/>
    <xf numFmtId="0" fontId="0" fillId="0" borderId="0" xfId="0" applyAlignment="1">
      <alignment wrapText="1"/>
    </xf>
    <xf numFmtId="11" fontId="0" fillId="0" borderId="0" xfId="0" applyNumberFormat="1" applyAlignment="1">
      <alignment wrapText="1"/>
    </xf>
    <xf numFmtId="0" fontId="0" fillId="0" borderId="1" xfId="0" applyBorder="1"/>
    <xf numFmtId="0" fontId="8" fillId="0" borderId="4" xfId="0" applyFont="1" applyBorder="1" applyAlignment="1">
      <alignment horizontal="center"/>
    </xf>
    <xf numFmtId="0" fontId="0" fillId="0" borderId="7" xfId="0" applyBorder="1"/>
    <xf numFmtId="0" fontId="8" fillId="0" borderId="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11" fontId="0" fillId="0" borderId="0" xfId="0" applyNumberFormat="1"/>
    <xf numFmtId="0" fontId="19" fillId="0" borderId="0" xfId="0" applyFont="1"/>
    <xf numFmtId="2" fontId="0" fillId="0" borderId="0" xfId="0" applyNumberFormat="1"/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202122"/>
      <rgbColor rgb="FF212529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bi.ac.uk/ena/browser/view/SRR12396882" TargetMode="External"/><Relationship Id="rId2" Type="http://schemas.openxmlformats.org/officeDocument/2006/relationships/hyperlink" Target="https://www.ebi.ac.uk/ena/browser/view/SRR12396880" TargetMode="External"/><Relationship Id="rId1" Type="http://schemas.openxmlformats.org/officeDocument/2006/relationships/hyperlink" Target="https://www.ebi.ac.uk/ena/browser/view/SRR12396951" TargetMode="External"/><Relationship Id="rId6" Type="http://schemas.openxmlformats.org/officeDocument/2006/relationships/hyperlink" Target="https://www.ebi.ac.uk/ena/browser/view/ERR219543" TargetMode="External"/><Relationship Id="rId5" Type="http://schemas.openxmlformats.org/officeDocument/2006/relationships/hyperlink" Target="https://www.ebi.ac.uk/ena/browser/view/ERX194212" TargetMode="External"/><Relationship Id="rId4" Type="http://schemas.openxmlformats.org/officeDocument/2006/relationships/hyperlink" Target="https://www.ebi.ac.uk/ena/browser/view/SRR5765715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www.ebi.ac.uk/ena/data/view/PRJEB14685" TargetMode="External"/><Relationship Id="rId13" Type="http://schemas.openxmlformats.org/officeDocument/2006/relationships/hyperlink" Target="http://www.ebi.ac.uk/ena/data/view/PRJEB14685" TargetMode="External"/><Relationship Id="rId18" Type="http://schemas.openxmlformats.org/officeDocument/2006/relationships/hyperlink" Target="http://www.ebi.ac.uk/ena/data/view/PRJEB14685" TargetMode="External"/><Relationship Id="rId3" Type="http://schemas.openxmlformats.org/officeDocument/2006/relationships/hyperlink" Target="http://www.ebi.ac.uk/ena/data/view/PRJEB14685" TargetMode="External"/><Relationship Id="rId7" Type="http://schemas.openxmlformats.org/officeDocument/2006/relationships/hyperlink" Target="http://www.ebi.ac.uk/ena/data/view/PRJEB14685" TargetMode="External"/><Relationship Id="rId12" Type="http://schemas.openxmlformats.org/officeDocument/2006/relationships/hyperlink" Target="http://www.ebi.ac.uk/ena/data/view/PRJEB14685" TargetMode="External"/><Relationship Id="rId17" Type="http://schemas.openxmlformats.org/officeDocument/2006/relationships/hyperlink" Target="http://www.ebi.ac.uk/ena/data/view/PRJEB14685" TargetMode="External"/><Relationship Id="rId2" Type="http://schemas.openxmlformats.org/officeDocument/2006/relationships/hyperlink" Target="http://www.ebi.ac.uk/ena/data/view/PRJEB14685" TargetMode="External"/><Relationship Id="rId16" Type="http://schemas.openxmlformats.org/officeDocument/2006/relationships/hyperlink" Target="http://www.ebi.ac.uk/ena/data/view/PRJEB14685" TargetMode="External"/><Relationship Id="rId1" Type="http://schemas.openxmlformats.org/officeDocument/2006/relationships/hyperlink" Target="http://www.ebi.ac.uk/ena/data/view/PRJEB14685" TargetMode="External"/><Relationship Id="rId6" Type="http://schemas.openxmlformats.org/officeDocument/2006/relationships/hyperlink" Target="http://www.ebi.ac.uk/ena/data/view/PRJEB14685" TargetMode="External"/><Relationship Id="rId11" Type="http://schemas.openxmlformats.org/officeDocument/2006/relationships/hyperlink" Target="http://www.ebi.ac.uk/ena/data/view/PRJEB14685" TargetMode="External"/><Relationship Id="rId5" Type="http://schemas.openxmlformats.org/officeDocument/2006/relationships/hyperlink" Target="http://www.ebi.ac.uk/ena/data/view/PRJEB14685" TargetMode="External"/><Relationship Id="rId15" Type="http://schemas.openxmlformats.org/officeDocument/2006/relationships/hyperlink" Target="http://www.ebi.ac.uk/ena/data/view/PRJEB14685" TargetMode="External"/><Relationship Id="rId10" Type="http://schemas.openxmlformats.org/officeDocument/2006/relationships/hyperlink" Target="http://www.ebi.ac.uk/ena/data/view/PRJEB14685" TargetMode="External"/><Relationship Id="rId4" Type="http://schemas.openxmlformats.org/officeDocument/2006/relationships/hyperlink" Target="http://www.ebi.ac.uk/ena/data/view/PRJEB14685" TargetMode="External"/><Relationship Id="rId9" Type="http://schemas.openxmlformats.org/officeDocument/2006/relationships/hyperlink" Target="http://www.ebi.ac.uk/ena/data/view/PRJEB14685" TargetMode="External"/><Relationship Id="rId14" Type="http://schemas.openxmlformats.org/officeDocument/2006/relationships/hyperlink" Target="http://www.ebi.ac.uk/ena/data/view/PRJEB146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24"/>
  <sheetViews>
    <sheetView zoomScaleNormal="100" workbookViewId="0">
      <selection activeCell="D23" sqref="D23"/>
    </sheetView>
  </sheetViews>
  <sheetFormatPr defaultColWidth="9.140625" defaultRowHeight="15"/>
  <cols>
    <col min="1" max="1" width="12.5703125" style="1" customWidth="1"/>
    <col min="2" max="2" width="12.85546875" style="1" customWidth="1"/>
    <col min="3" max="3" width="20.28515625" style="1" customWidth="1"/>
    <col min="4" max="4" width="28.85546875" style="1" customWidth="1"/>
    <col min="5" max="5" width="45.42578125" style="1" customWidth="1"/>
    <col min="6" max="6" width="64.5703125" style="1" customWidth="1"/>
    <col min="7" max="7" width="7.28515625" style="1" customWidth="1"/>
    <col min="8" max="8" width="9.7109375" style="1" customWidth="1"/>
    <col min="9" max="9" width="18.5703125" style="1" customWidth="1"/>
    <col min="10" max="10" width="8.28515625" style="1" customWidth="1"/>
    <col min="11" max="11" width="8.85546875" style="1" customWidth="1"/>
    <col min="12" max="12" width="12.140625" style="1" customWidth="1"/>
    <col min="13" max="13" width="6.85546875" style="1" customWidth="1"/>
    <col min="14" max="14" width="10.42578125" style="1" customWidth="1"/>
    <col min="15" max="15" width="30.140625" style="1" customWidth="1"/>
    <col min="16" max="1024" width="9.140625" style="1"/>
  </cols>
  <sheetData>
    <row r="1" spans="1:15" ht="12.75" customHeight="1">
      <c r="A1" s="2" t="s">
        <v>0</v>
      </c>
      <c r="B1" s="3"/>
      <c r="C1" s="3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</row>
    <row r="2" spans="1:15" ht="15" customHeight="1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</row>
    <row r="3" spans="1:15">
      <c r="A3" s="1" t="s">
        <v>16</v>
      </c>
      <c r="B3" s="5" t="s">
        <v>17</v>
      </c>
      <c r="C3" s="1" t="s">
        <v>18</v>
      </c>
      <c r="D3" s="6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27</v>
      </c>
      <c r="M3" s="1" t="s">
        <v>28</v>
      </c>
      <c r="N3" s="7">
        <v>44050</v>
      </c>
      <c r="O3" s="1" t="s">
        <v>29</v>
      </c>
    </row>
    <row r="4" spans="1:15">
      <c r="A4" s="1" t="s">
        <v>30</v>
      </c>
      <c r="B4" s="5" t="s">
        <v>31</v>
      </c>
      <c r="C4" s="1" t="s">
        <v>32</v>
      </c>
      <c r="D4" s="6" t="s">
        <v>19</v>
      </c>
      <c r="E4" s="1" t="s">
        <v>20</v>
      </c>
      <c r="F4" s="1" t="s">
        <v>21</v>
      </c>
      <c r="G4" s="1" t="s">
        <v>33</v>
      </c>
      <c r="H4" s="1" t="s">
        <v>34</v>
      </c>
      <c r="I4" s="1" t="s">
        <v>24</v>
      </c>
      <c r="J4" s="1" t="s">
        <v>25</v>
      </c>
      <c r="K4" s="1" t="s">
        <v>26</v>
      </c>
      <c r="L4" s="1" t="s">
        <v>27</v>
      </c>
      <c r="M4" s="1" t="s">
        <v>28</v>
      </c>
      <c r="N4" s="7">
        <v>44050</v>
      </c>
      <c r="O4" s="1" t="s">
        <v>29</v>
      </c>
    </row>
    <row r="5" spans="1:15">
      <c r="A5" s="1" t="s">
        <v>35</v>
      </c>
      <c r="B5" s="5" t="s">
        <v>36</v>
      </c>
      <c r="C5" s="1" t="s">
        <v>37</v>
      </c>
      <c r="D5" s="6" t="s">
        <v>19</v>
      </c>
      <c r="E5" s="1" t="s">
        <v>20</v>
      </c>
      <c r="F5" s="1" t="s">
        <v>21</v>
      </c>
      <c r="G5" s="1" t="s">
        <v>38</v>
      </c>
      <c r="H5" s="1" t="s">
        <v>39</v>
      </c>
      <c r="I5" s="1" t="s">
        <v>24</v>
      </c>
      <c r="J5" s="1" t="s">
        <v>25</v>
      </c>
      <c r="K5" s="1" t="s">
        <v>26</v>
      </c>
      <c r="L5" s="1" t="s">
        <v>27</v>
      </c>
      <c r="M5" s="1" t="s">
        <v>28</v>
      </c>
      <c r="N5" s="7">
        <v>44049</v>
      </c>
      <c r="O5" s="1" t="s">
        <v>29</v>
      </c>
    </row>
    <row r="6" spans="1:15">
      <c r="A6" s="1" t="s">
        <v>40</v>
      </c>
      <c r="B6" s="5" t="s">
        <v>41</v>
      </c>
      <c r="C6" s="1" t="s">
        <v>42</v>
      </c>
      <c r="D6" s="6" t="s">
        <v>43</v>
      </c>
      <c r="E6" s="1" t="s">
        <v>44</v>
      </c>
      <c r="F6" s="1" t="s">
        <v>45</v>
      </c>
      <c r="G6" s="1" t="s">
        <v>46</v>
      </c>
      <c r="H6" s="1" t="s">
        <v>47</v>
      </c>
      <c r="I6" s="1" t="s">
        <v>48</v>
      </c>
      <c r="J6" s="1" t="s">
        <v>25</v>
      </c>
      <c r="K6" s="1" t="s">
        <v>26</v>
      </c>
      <c r="L6" s="1" t="s">
        <v>49</v>
      </c>
      <c r="M6" s="1" t="s">
        <v>28</v>
      </c>
      <c r="N6" s="7">
        <v>43070</v>
      </c>
      <c r="O6" s="1" t="s">
        <v>50</v>
      </c>
    </row>
    <row r="7" spans="1:15">
      <c r="A7" s="1" t="s">
        <v>51</v>
      </c>
      <c r="B7" s="1" t="s">
        <v>52</v>
      </c>
      <c r="C7" s="1" t="s">
        <v>53</v>
      </c>
      <c r="D7" s="6" t="s">
        <v>54</v>
      </c>
      <c r="E7" s="8" t="s">
        <v>55</v>
      </c>
      <c r="F7" s="8" t="s">
        <v>56</v>
      </c>
      <c r="G7" s="8" t="s">
        <v>57</v>
      </c>
      <c r="H7" s="8" t="s">
        <v>58</v>
      </c>
      <c r="I7" s="8" t="s">
        <v>59</v>
      </c>
      <c r="J7" s="8" t="s">
        <v>25</v>
      </c>
      <c r="K7" s="8" t="s">
        <v>26</v>
      </c>
      <c r="L7" s="8" t="s">
        <v>27</v>
      </c>
      <c r="M7" s="8" t="s">
        <v>28</v>
      </c>
      <c r="N7" s="7">
        <v>43918</v>
      </c>
      <c r="O7" s="1" t="s">
        <v>50</v>
      </c>
    </row>
    <row r="8" spans="1:15">
      <c r="A8" s="1" t="s">
        <v>60</v>
      </c>
      <c r="B8" s="1" t="s">
        <v>61</v>
      </c>
      <c r="C8" s="1" t="s">
        <v>62</v>
      </c>
      <c r="D8" s="6" t="s">
        <v>54</v>
      </c>
      <c r="E8" s="1" t="s">
        <v>50</v>
      </c>
      <c r="F8" s="1" t="s">
        <v>50</v>
      </c>
      <c r="G8" s="1" t="s">
        <v>63</v>
      </c>
      <c r="H8" s="1" t="s">
        <v>64</v>
      </c>
      <c r="I8" s="1" t="s">
        <v>24</v>
      </c>
      <c r="J8" s="1" t="s">
        <v>25</v>
      </c>
      <c r="K8" s="1" t="s">
        <v>26</v>
      </c>
      <c r="L8" s="1" t="s">
        <v>27</v>
      </c>
      <c r="M8" s="1" t="s">
        <v>28</v>
      </c>
      <c r="N8" s="7">
        <v>44465</v>
      </c>
      <c r="O8" s="1" t="s">
        <v>50</v>
      </c>
    </row>
    <row r="9" spans="1:15">
      <c r="A9" s="1" t="s">
        <v>65</v>
      </c>
      <c r="B9" s="1" t="s">
        <v>66</v>
      </c>
      <c r="C9" s="1" t="s">
        <v>67</v>
      </c>
      <c r="D9" s="6" t="s">
        <v>68</v>
      </c>
      <c r="E9" s="1" t="s">
        <v>50</v>
      </c>
      <c r="F9" s="1" t="s">
        <v>50</v>
      </c>
      <c r="G9" s="1" t="s">
        <v>69</v>
      </c>
      <c r="H9" s="1" t="s">
        <v>39</v>
      </c>
      <c r="I9" s="1" t="s">
        <v>24</v>
      </c>
      <c r="J9" s="1" t="s">
        <v>25</v>
      </c>
      <c r="K9" s="1" t="s">
        <v>26</v>
      </c>
      <c r="L9" s="1" t="s">
        <v>27</v>
      </c>
      <c r="M9" s="1" t="s">
        <v>28</v>
      </c>
      <c r="N9" s="7">
        <v>44465</v>
      </c>
      <c r="O9" s="1" t="s">
        <v>50</v>
      </c>
    </row>
    <row r="10" spans="1:15">
      <c r="A10" s="1" t="s">
        <v>70</v>
      </c>
      <c r="B10" s="1" t="s">
        <v>71</v>
      </c>
      <c r="C10" s="1" t="s">
        <v>72</v>
      </c>
      <c r="D10" s="6" t="s">
        <v>73</v>
      </c>
      <c r="E10" s="1" t="s">
        <v>50</v>
      </c>
      <c r="F10" s="1" t="s">
        <v>50</v>
      </c>
      <c r="G10" s="1" t="s">
        <v>74</v>
      </c>
      <c r="H10" s="1" t="s">
        <v>75</v>
      </c>
      <c r="I10" s="1" t="s">
        <v>24</v>
      </c>
      <c r="J10" s="1" t="s">
        <v>25</v>
      </c>
      <c r="K10" s="1" t="s">
        <v>26</v>
      </c>
      <c r="L10" s="1" t="s">
        <v>27</v>
      </c>
      <c r="M10" s="1" t="s">
        <v>28</v>
      </c>
      <c r="N10" s="7">
        <v>44465</v>
      </c>
      <c r="O10" s="1" t="s">
        <v>50</v>
      </c>
    </row>
    <row r="11" spans="1:15">
      <c r="A11" s="1" t="s">
        <v>76</v>
      </c>
      <c r="B11" s="1" t="s">
        <v>77</v>
      </c>
      <c r="C11" s="1" t="s">
        <v>78</v>
      </c>
      <c r="D11" s="6" t="s">
        <v>73</v>
      </c>
      <c r="E11" s="1" t="s">
        <v>50</v>
      </c>
      <c r="F11" s="1" t="s">
        <v>50</v>
      </c>
      <c r="G11" s="1" t="s">
        <v>79</v>
      </c>
      <c r="H11" s="1" t="s">
        <v>80</v>
      </c>
      <c r="I11" s="1" t="s">
        <v>24</v>
      </c>
      <c r="J11" s="1" t="s">
        <v>25</v>
      </c>
      <c r="K11" s="1" t="s">
        <v>26</v>
      </c>
      <c r="L11" s="1" t="s">
        <v>27</v>
      </c>
      <c r="M11" s="1" t="s">
        <v>28</v>
      </c>
      <c r="N11" s="7">
        <v>44465</v>
      </c>
      <c r="O11" s="1" t="s">
        <v>50</v>
      </c>
    </row>
    <row r="12" spans="1:15">
      <c r="A12" s="1" t="s">
        <v>81</v>
      </c>
      <c r="B12" s="1" t="s">
        <v>82</v>
      </c>
      <c r="C12" s="1" t="s">
        <v>83</v>
      </c>
      <c r="D12" s="6" t="s">
        <v>84</v>
      </c>
      <c r="E12" s="1" t="s">
        <v>85</v>
      </c>
      <c r="F12" s="1" t="s">
        <v>50</v>
      </c>
      <c r="G12" s="1" t="s">
        <v>50</v>
      </c>
      <c r="H12" s="1" t="s">
        <v>86</v>
      </c>
      <c r="I12" s="1" t="s">
        <v>24</v>
      </c>
      <c r="J12" s="1" t="s">
        <v>25</v>
      </c>
      <c r="K12" s="1" t="s">
        <v>26</v>
      </c>
      <c r="L12" s="1" t="s">
        <v>27</v>
      </c>
      <c r="M12" s="1" t="s">
        <v>28</v>
      </c>
      <c r="N12" s="7">
        <v>44465</v>
      </c>
      <c r="O12" s="1" t="s">
        <v>87</v>
      </c>
    </row>
    <row r="13" spans="1:15">
      <c r="D13" s="6"/>
      <c r="N13" s="7"/>
    </row>
    <row r="14" spans="1:15">
      <c r="A14" s="5" t="s">
        <v>88</v>
      </c>
      <c r="B14" s="5" t="s">
        <v>89</v>
      </c>
      <c r="C14" s="1" t="s">
        <v>90</v>
      </c>
      <c r="D14" s="6" t="s">
        <v>91</v>
      </c>
      <c r="E14" s="1" t="s">
        <v>92</v>
      </c>
      <c r="F14" s="1" t="s">
        <v>93</v>
      </c>
      <c r="G14" s="1" t="s">
        <v>94</v>
      </c>
      <c r="H14" s="1" t="s">
        <v>95</v>
      </c>
      <c r="I14" s="1" t="s">
        <v>48</v>
      </c>
      <c r="J14" s="1" t="s">
        <v>25</v>
      </c>
      <c r="K14" s="1" t="s">
        <v>26</v>
      </c>
      <c r="L14" s="1" t="s">
        <v>27</v>
      </c>
      <c r="M14" s="1" t="s">
        <v>28</v>
      </c>
      <c r="N14" s="1" t="s">
        <v>50</v>
      </c>
      <c r="O14" s="1" t="s">
        <v>50</v>
      </c>
    </row>
    <row r="15" spans="1:15">
      <c r="D15" s="9"/>
      <c r="O15" s="10"/>
    </row>
    <row r="16" spans="1:15">
      <c r="D16" s="9"/>
      <c r="O16" s="10"/>
    </row>
    <row r="17" spans="4:15">
      <c r="D17" s="9"/>
      <c r="O17" s="10"/>
    </row>
    <row r="18" spans="4:15">
      <c r="D18" s="9"/>
      <c r="O18" s="10"/>
    </row>
    <row r="19" spans="4:15">
      <c r="D19" s="9"/>
      <c r="O19" s="10"/>
    </row>
    <row r="20" spans="4:15">
      <c r="D20" s="9"/>
      <c r="O20" s="10"/>
    </row>
    <row r="21" spans="4:15">
      <c r="D21" s="9"/>
      <c r="O21" s="10"/>
    </row>
    <row r="22" spans="4:15">
      <c r="D22" s="9"/>
      <c r="O22" s="10"/>
    </row>
    <row r="23" spans="4:15">
      <c r="D23" s="9"/>
      <c r="O23" s="10"/>
    </row>
    <row r="24" spans="4:15">
      <c r="D24" s="9"/>
      <c r="O24" s="10"/>
    </row>
  </sheetData>
  <hyperlinks>
    <hyperlink ref="B3" r:id="rId1" xr:uid="{00000000-0004-0000-0000-000000000000}"/>
    <hyperlink ref="B4" r:id="rId2" xr:uid="{00000000-0004-0000-0000-000001000000}"/>
    <hyperlink ref="B5" r:id="rId3" xr:uid="{00000000-0004-0000-0000-000002000000}"/>
    <hyperlink ref="B6" r:id="rId4" xr:uid="{00000000-0004-0000-0000-000003000000}"/>
    <hyperlink ref="A14" r:id="rId5" xr:uid="{00000000-0004-0000-0000-000004000000}"/>
    <hyperlink ref="B14" r:id="rId6" xr:uid="{00000000-0004-0000-0000-000005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90"/>
  <sheetViews>
    <sheetView zoomScaleNormal="100" workbookViewId="0"/>
  </sheetViews>
  <sheetFormatPr defaultColWidth="8.7109375" defaultRowHeight="15"/>
  <cols>
    <col min="1" max="1" width="15.140625" customWidth="1"/>
    <col min="2" max="2" width="12.42578125" customWidth="1"/>
    <col min="3" max="3" width="37.5703125" customWidth="1"/>
    <col min="4" max="4" width="21.5703125" customWidth="1"/>
    <col min="5" max="5" width="14.42578125" customWidth="1"/>
    <col min="6" max="6" width="12.7109375" customWidth="1"/>
    <col min="7" max="8" width="12" customWidth="1"/>
    <col min="9" max="9" width="15.140625" customWidth="1"/>
    <col min="10" max="10" width="12" customWidth="1"/>
    <col min="11" max="11" width="7.5703125" customWidth="1"/>
    <col min="12" max="12" width="9.42578125" customWidth="1"/>
    <col min="13" max="13" width="29.42578125" customWidth="1"/>
    <col min="14" max="14" width="10" customWidth="1"/>
    <col min="15" max="15" width="52.5703125" customWidth="1"/>
    <col min="16" max="16" width="139.140625" customWidth="1"/>
    <col min="17" max="17" width="12.85546875" customWidth="1"/>
  </cols>
  <sheetData>
    <row r="1" spans="1:18" ht="15.75">
      <c r="A1" s="11" t="s">
        <v>96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3"/>
      <c r="N1" s="12"/>
      <c r="O1" s="12"/>
      <c r="P1" s="12"/>
      <c r="Q1" s="12"/>
      <c r="R1" s="12"/>
    </row>
    <row r="2" spans="1:18" ht="15.75">
      <c r="A2" s="12" t="s">
        <v>97</v>
      </c>
      <c r="B2" s="12" t="s">
        <v>98</v>
      </c>
      <c r="C2" s="12" t="s">
        <v>99</v>
      </c>
      <c r="D2" s="12" t="s">
        <v>100</v>
      </c>
      <c r="E2" s="12" t="s">
        <v>101</v>
      </c>
      <c r="F2" s="12" t="s">
        <v>102</v>
      </c>
      <c r="G2" s="12" t="s">
        <v>103</v>
      </c>
      <c r="H2" s="12" t="s">
        <v>104</v>
      </c>
      <c r="I2" s="12" t="s">
        <v>105</v>
      </c>
      <c r="J2" s="12" t="s">
        <v>106</v>
      </c>
      <c r="K2" s="12" t="s">
        <v>107</v>
      </c>
      <c r="L2" s="12" t="s">
        <v>108</v>
      </c>
      <c r="M2" s="13" t="s">
        <v>15</v>
      </c>
      <c r="N2" s="12" t="s">
        <v>109</v>
      </c>
      <c r="O2" s="12" t="s">
        <v>110</v>
      </c>
      <c r="P2" s="12" t="s">
        <v>111</v>
      </c>
      <c r="Q2" s="12" t="s">
        <v>112</v>
      </c>
      <c r="R2" s="12" t="s">
        <v>113</v>
      </c>
    </row>
    <row r="3" spans="1:18" ht="15.75">
      <c r="A3" s="14" t="s">
        <v>114</v>
      </c>
      <c r="B3" s="14" t="s">
        <v>115</v>
      </c>
      <c r="C3" s="14" t="s">
        <v>116</v>
      </c>
      <c r="D3" s="14" t="s">
        <v>115</v>
      </c>
      <c r="E3" s="14" t="s">
        <v>117</v>
      </c>
      <c r="F3" s="14" t="s">
        <v>117</v>
      </c>
      <c r="G3" s="14" t="s">
        <v>50</v>
      </c>
      <c r="H3" s="14" t="s">
        <v>50</v>
      </c>
      <c r="I3" s="15" t="s">
        <v>118</v>
      </c>
      <c r="J3" s="14">
        <v>380282098</v>
      </c>
      <c r="K3" s="14" t="s">
        <v>50</v>
      </c>
      <c r="L3" s="14" t="s">
        <v>119</v>
      </c>
      <c r="M3" s="16" t="s">
        <v>120</v>
      </c>
      <c r="N3" s="14">
        <v>6.2483899999999997</v>
      </c>
      <c r="O3" s="17" t="s">
        <v>121</v>
      </c>
      <c r="P3" s="14" t="s">
        <v>50</v>
      </c>
      <c r="Q3" s="14" t="s">
        <v>122</v>
      </c>
      <c r="R3" s="14" t="s">
        <v>50</v>
      </c>
    </row>
    <row r="4" spans="1:18" ht="15.75">
      <c r="A4" s="14" t="s">
        <v>123</v>
      </c>
      <c r="B4" s="14" t="s">
        <v>115</v>
      </c>
      <c r="C4" s="14" t="s">
        <v>116</v>
      </c>
      <c r="D4" s="14" t="s">
        <v>115</v>
      </c>
      <c r="E4" s="14" t="s">
        <v>117</v>
      </c>
      <c r="F4" s="14" t="s">
        <v>117</v>
      </c>
      <c r="G4" s="14" t="s">
        <v>50</v>
      </c>
      <c r="H4" s="14" t="s">
        <v>50</v>
      </c>
      <c r="I4" s="15" t="s">
        <v>118</v>
      </c>
      <c r="J4" s="14">
        <v>398578016</v>
      </c>
      <c r="K4" s="14" t="s">
        <v>50</v>
      </c>
      <c r="L4" s="14" t="s">
        <v>119</v>
      </c>
      <c r="M4" s="16" t="s">
        <v>120</v>
      </c>
      <c r="N4" s="14">
        <v>6.5794199999999998</v>
      </c>
      <c r="O4" s="17" t="s">
        <v>121</v>
      </c>
      <c r="P4" s="14" t="s">
        <v>50</v>
      </c>
      <c r="Q4" s="14" t="s">
        <v>124</v>
      </c>
      <c r="R4" s="14" t="s">
        <v>50</v>
      </c>
    </row>
    <row r="5" spans="1:18" ht="15.75">
      <c r="A5" s="14" t="s">
        <v>125</v>
      </c>
      <c r="B5" s="14" t="s">
        <v>126</v>
      </c>
      <c r="C5" s="14" t="s">
        <v>127</v>
      </c>
      <c r="D5" s="14" t="s">
        <v>126</v>
      </c>
      <c r="E5" s="14" t="s">
        <v>50</v>
      </c>
      <c r="F5" s="14" t="s">
        <v>128</v>
      </c>
      <c r="G5" s="14" t="s">
        <v>50</v>
      </c>
      <c r="H5" s="14" t="s">
        <v>50</v>
      </c>
      <c r="I5" s="15" t="s">
        <v>118</v>
      </c>
      <c r="J5" s="14" t="s">
        <v>50</v>
      </c>
      <c r="K5" s="14" t="s">
        <v>50</v>
      </c>
      <c r="L5" s="14" t="s">
        <v>119</v>
      </c>
      <c r="M5" s="16" t="s">
        <v>120</v>
      </c>
      <c r="N5" s="14">
        <v>5.6032799999999998</v>
      </c>
      <c r="O5" s="17" t="s">
        <v>121</v>
      </c>
      <c r="P5" s="18" t="s">
        <v>50</v>
      </c>
      <c r="Q5" s="14" t="s">
        <v>129</v>
      </c>
      <c r="R5" s="14" t="s">
        <v>50</v>
      </c>
    </row>
    <row r="6" spans="1:18" ht="15.75">
      <c r="A6" s="14" t="s">
        <v>130</v>
      </c>
      <c r="B6" s="14" t="s">
        <v>126</v>
      </c>
      <c r="C6" s="14" t="s">
        <v>127</v>
      </c>
      <c r="D6" s="14" t="s">
        <v>126</v>
      </c>
      <c r="E6" s="14" t="s">
        <v>50</v>
      </c>
      <c r="F6" s="14" t="s">
        <v>128</v>
      </c>
      <c r="G6" s="14" t="s">
        <v>50</v>
      </c>
      <c r="H6" s="14" t="s">
        <v>50</v>
      </c>
      <c r="I6" s="15" t="s">
        <v>118</v>
      </c>
      <c r="J6" s="14" t="s">
        <v>50</v>
      </c>
      <c r="K6" s="14" t="s">
        <v>50</v>
      </c>
      <c r="L6" s="14" t="s">
        <v>119</v>
      </c>
      <c r="M6" s="16" t="s">
        <v>120</v>
      </c>
      <c r="N6" s="14">
        <v>6.2344299999999997</v>
      </c>
      <c r="O6" s="17" t="s">
        <v>121</v>
      </c>
      <c r="P6" s="18" t="s">
        <v>50</v>
      </c>
      <c r="Q6" s="14" t="s">
        <v>131</v>
      </c>
      <c r="R6" s="14" t="s">
        <v>50</v>
      </c>
    </row>
    <row r="7" spans="1:18" ht="15.75">
      <c r="A7" s="14" t="s">
        <v>132</v>
      </c>
      <c r="B7" s="14" t="s">
        <v>133</v>
      </c>
      <c r="C7" s="14" t="s">
        <v>127</v>
      </c>
      <c r="D7" s="14" t="s">
        <v>134</v>
      </c>
      <c r="E7" s="14" t="s">
        <v>135</v>
      </c>
      <c r="F7" s="14" t="s">
        <v>136</v>
      </c>
      <c r="G7" s="14">
        <v>36.67</v>
      </c>
      <c r="H7" s="14">
        <v>48.48</v>
      </c>
      <c r="I7" s="15" t="s">
        <v>118</v>
      </c>
      <c r="J7" s="14">
        <v>427745772</v>
      </c>
      <c r="K7" s="14" t="s">
        <v>137</v>
      </c>
      <c r="L7" s="14" t="s">
        <v>50</v>
      </c>
      <c r="M7" s="16" t="s">
        <v>138</v>
      </c>
      <c r="N7" s="14">
        <v>9.15</v>
      </c>
      <c r="O7" s="14" t="s">
        <v>139</v>
      </c>
      <c r="P7" s="19" t="s">
        <v>140</v>
      </c>
      <c r="Q7" s="14" t="s">
        <v>50</v>
      </c>
      <c r="R7" s="14" t="s">
        <v>141</v>
      </c>
    </row>
    <row r="8" spans="1:18" ht="15.75">
      <c r="A8" s="14" t="s">
        <v>142</v>
      </c>
      <c r="B8" s="14" t="s">
        <v>126</v>
      </c>
      <c r="C8" s="14" t="s">
        <v>127</v>
      </c>
      <c r="D8" s="14" t="s">
        <v>126</v>
      </c>
      <c r="E8" s="14" t="s">
        <v>135</v>
      </c>
      <c r="F8" s="14" t="s">
        <v>143</v>
      </c>
      <c r="G8" s="14" t="s">
        <v>50</v>
      </c>
      <c r="H8" s="14" t="s">
        <v>50</v>
      </c>
      <c r="I8" s="15" t="s">
        <v>118</v>
      </c>
      <c r="J8" s="14">
        <v>447937652</v>
      </c>
      <c r="K8" s="14" t="s">
        <v>50</v>
      </c>
      <c r="L8" s="14" t="s">
        <v>119</v>
      </c>
      <c r="M8" s="16" t="s">
        <v>144</v>
      </c>
      <c r="N8" s="14">
        <v>20.010000000000002</v>
      </c>
      <c r="O8" s="14" t="s">
        <v>145</v>
      </c>
      <c r="P8" s="19" t="s">
        <v>146</v>
      </c>
      <c r="Q8" s="14" t="s">
        <v>147</v>
      </c>
      <c r="R8" s="14" t="s">
        <v>50</v>
      </c>
    </row>
    <row r="9" spans="1:18" ht="15.75">
      <c r="A9" s="14" t="s">
        <v>142</v>
      </c>
      <c r="B9" s="14" t="s">
        <v>133</v>
      </c>
      <c r="C9" s="14" t="s">
        <v>127</v>
      </c>
      <c r="D9" s="14" t="s">
        <v>134</v>
      </c>
      <c r="E9" s="14" t="s">
        <v>135</v>
      </c>
      <c r="F9" s="14" t="s">
        <v>136</v>
      </c>
      <c r="G9" s="14">
        <v>36.67</v>
      </c>
      <c r="H9" s="14">
        <v>48.48</v>
      </c>
      <c r="I9" s="15" t="s">
        <v>118</v>
      </c>
      <c r="J9" s="14">
        <v>447937652</v>
      </c>
      <c r="K9" s="14" t="s">
        <v>137</v>
      </c>
      <c r="L9" s="14" t="s">
        <v>50</v>
      </c>
      <c r="M9" s="16" t="s">
        <v>138</v>
      </c>
      <c r="N9" s="14">
        <v>9.4600000000000009</v>
      </c>
      <c r="O9" s="14" t="s">
        <v>139</v>
      </c>
      <c r="P9" s="19" t="s">
        <v>148</v>
      </c>
      <c r="Q9" s="14" t="s">
        <v>50</v>
      </c>
      <c r="R9" s="14" t="s">
        <v>141</v>
      </c>
    </row>
    <row r="10" spans="1:18" ht="15.75">
      <c r="A10" s="14" t="s">
        <v>149</v>
      </c>
      <c r="B10" s="14" t="s">
        <v>133</v>
      </c>
      <c r="C10" s="14" t="s">
        <v>127</v>
      </c>
      <c r="D10" s="14" t="s">
        <v>134</v>
      </c>
      <c r="E10" s="14" t="s">
        <v>135</v>
      </c>
      <c r="F10" s="14" t="s">
        <v>136</v>
      </c>
      <c r="G10" s="14">
        <v>36.67</v>
      </c>
      <c r="H10" s="14">
        <v>48.48</v>
      </c>
      <c r="I10" s="15" t="s">
        <v>118</v>
      </c>
      <c r="J10" s="14">
        <v>459018832</v>
      </c>
      <c r="K10" s="14" t="s">
        <v>137</v>
      </c>
      <c r="L10" s="14" t="s">
        <v>50</v>
      </c>
      <c r="M10" s="16" t="s">
        <v>138</v>
      </c>
      <c r="N10" s="14">
        <v>9.5500000000000007</v>
      </c>
      <c r="O10" s="14" t="s">
        <v>139</v>
      </c>
      <c r="P10" s="19" t="s">
        <v>150</v>
      </c>
      <c r="Q10" s="14" t="s">
        <v>50</v>
      </c>
      <c r="R10" s="14" t="s">
        <v>141</v>
      </c>
    </row>
    <row r="11" spans="1:18" ht="15.75">
      <c r="A11" s="14" t="s">
        <v>151</v>
      </c>
      <c r="B11" s="14" t="s">
        <v>50</v>
      </c>
      <c r="C11" s="14" t="s">
        <v>152</v>
      </c>
      <c r="D11" s="14" t="s">
        <v>153</v>
      </c>
      <c r="E11" s="14" t="s">
        <v>154</v>
      </c>
      <c r="F11" s="14" t="s">
        <v>136</v>
      </c>
      <c r="G11" s="14">
        <v>36.395859000000002</v>
      </c>
      <c r="H11" s="20">
        <v>118.769882</v>
      </c>
      <c r="I11" s="15" t="s">
        <v>118</v>
      </c>
      <c r="J11" s="14">
        <v>554449504</v>
      </c>
      <c r="K11" s="14" t="s">
        <v>50</v>
      </c>
      <c r="L11" s="14" t="s">
        <v>119</v>
      </c>
      <c r="M11" s="16" t="s">
        <v>144</v>
      </c>
      <c r="N11" s="14">
        <v>26.8</v>
      </c>
      <c r="O11" s="14" t="s">
        <v>145</v>
      </c>
      <c r="P11" s="19" t="s">
        <v>155</v>
      </c>
      <c r="Q11" s="14" t="s">
        <v>156</v>
      </c>
      <c r="R11" s="14" t="s">
        <v>50</v>
      </c>
    </row>
    <row r="12" spans="1:18" ht="15.75">
      <c r="A12" s="14" t="s">
        <v>157</v>
      </c>
      <c r="B12" s="14" t="s">
        <v>50</v>
      </c>
      <c r="C12" s="14" t="s">
        <v>152</v>
      </c>
      <c r="D12" s="14" t="s">
        <v>153</v>
      </c>
      <c r="E12" s="14" t="s">
        <v>154</v>
      </c>
      <c r="F12" s="14" t="s">
        <v>136</v>
      </c>
      <c r="G12" s="14">
        <v>36.395859000000002</v>
      </c>
      <c r="H12" s="20">
        <v>118.769882</v>
      </c>
      <c r="I12" s="15" t="s">
        <v>118</v>
      </c>
      <c r="J12" s="14">
        <v>533646352</v>
      </c>
      <c r="K12" s="14" t="s">
        <v>50</v>
      </c>
      <c r="L12" s="14" t="s">
        <v>119</v>
      </c>
      <c r="M12" s="16" t="s">
        <v>144</v>
      </c>
      <c r="N12" s="14">
        <v>25.45</v>
      </c>
      <c r="O12" s="14" t="s">
        <v>145</v>
      </c>
      <c r="P12" s="19" t="s">
        <v>158</v>
      </c>
      <c r="Q12" s="14" t="s">
        <v>156</v>
      </c>
      <c r="R12" s="14" t="s">
        <v>50</v>
      </c>
    </row>
    <row r="13" spans="1:18" ht="15.75">
      <c r="A13" s="14" t="s">
        <v>159</v>
      </c>
      <c r="B13" s="14" t="s">
        <v>50</v>
      </c>
      <c r="C13" s="14" t="s">
        <v>152</v>
      </c>
      <c r="D13" s="14" t="s">
        <v>153</v>
      </c>
      <c r="E13" s="14" t="s">
        <v>154</v>
      </c>
      <c r="F13" s="14" t="s">
        <v>136</v>
      </c>
      <c r="G13" s="14">
        <v>36.395859000000002</v>
      </c>
      <c r="H13" s="20">
        <v>118.769882</v>
      </c>
      <c r="I13" s="15" t="s">
        <v>118</v>
      </c>
      <c r="J13" s="14">
        <v>531636748</v>
      </c>
      <c r="K13" s="14" t="s">
        <v>50</v>
      </c>
      <c r="L13" s="14" t="s">
        <v>119</v>
      </c>
      <c r="M13" s="16" t="s">
        <v>144</v>
      </c>
      <c r="N13" s="14">
        <v>25.59</v>
      </c>
      <c r="O13" s="14" t="s">
        <v>145</v>
      </c>
      <c r="P13" s="19" t="s">
        <v>160</v>
      </c>
      <c r="Q13" s="14" t="s">
        <v>156</v>
      </c>
      <c r="R13" s="14" t="s">
        <v>50</v>
      </c>
    </row>
    <row r="14" spans="1:18" ht="15.75">
      <c r="A14" s="14" t="s">
        <v>161</v>
      </c>
      <c r="B14" s="14" t="s">
        <v>50</v>
      </c>
      <c r="C14" s="14" t="s">
        <v>152</v>
      </c>
      <c r="D14" s="14" t="s">
        <v>153</v>
      </c>
      <c r="E14" s="14" t="s">
        <v>154</v>
      </c>
      <c r="F14" s="14" t="s">
        <v>136</v>
      </c>
      <c r="G14" s="14">
        <v>36.395859000000002</v>
      </c>
      <c r="H14" s="20">
        <v>118.769882</v>
      </c>
      <c r="I14" s="15" t="s">
        <v>118</v>
      </c>
      <c r="J14" s="14">
        <v>540518174</v>
      </c>
      <c r="K14" s="14" t="s">
        <v>50</v>
      </c>
      <c r="L14" s="14" t="s">
        <v>119</v>
      </c>
      <c r="M14" s="16" t="s">
        <v>144</v>
      </c>
      <c r="N14" s="14">
        <v>25.61</v>
      </c>
      <c r="O14" s="14" t="s">
        <v>145</v>
      </c>
      <c r="P14" s="19" t="s">
        <v>162</v>
      </c>
      <c r="Q14" s="14" t="s">
        <v>156</v>
      </c>
      <c r="R14" s="14" t="s">
        <v>50</v>
      </c>
    </row>
    <row r="15" spans="1:18" ht="15.75">
      <c r="A15" s="14" t="s">
        <v>163</v>
      </c>
      <c r="B15" s="14" t="s">
        <v>50</v>
      </c>
      <c r="C15" s="14" t="s">
        <v>152</v>
      </c>
      <c r="D15" s="14" t="s">
        <v>153</v>
      </c>
      <c r="E15" s="14" t="s">
        <v>154</v>
      </c>
      <c r="F15" s="14" t="s">
        <v>136</v>
      </c>
      <c r="G15" s="14">
        <v>36.395859000000002</v>
      </c>
      <c r="H15" s="20">
        <v>118.769882</v>
      </c>
      <c r="I15" s="15" t="s">
        <v>118</v>
      </c>
      <c r="J15" s="14">
        <v>539609524</v>
      </c>
      <c r="K15" s="14" t="s">
        <v>50</v>
      </c>
      <c r="L15" s="14" t="s">
        <v>119</v>
      </c>
      <c r="M15" s="16" t="s">
        <v>144</v>
      </c>
      <c r="N15" s="14">
        <v>26.2</v>
      </c>
      <c r="O15" s="14" t="s">
        <v>145</v>
      </c>
      <c r="P15" s="19" t="s">
        <v>164</v>
      </c>
      <c r="Q15" s="14" t="s">
        <v>156</v>
      </c>
      <c r="R15" s="14" t="s">
        <v>50</v>
      </c>
    </row>
    <row r="16" spans="1:18" ht="15.75">
      <c r="A16" s="14" t="s">
        <v>165</v>
      </c>
      <c r="B16" s="14" t="s">
        <v>50</v>
      </c>
      <c r="C16" s="14" t="s">
        <v>152</v>
      </c>
      <c r="D16" s="14" t="s">
        <v>153</v>
      </c>
      <c r="E16" s="14" t="s">
        <v>154</v>
      </c>
      <c r="F16" s="14" t="s">
        <v>136</v>
      </c>
      <c r="G16" s="14">
        <v>36.395859000000002</v>
      </c>
      <c r="H16" s="20">
        <v>118.769882</v>
      </c>
      <c r="I16" s="15" t="s">
        <v>118</v>
      </c>
      <c r="J16" s="14">
        <v>543709320</v>
      </c>
      <c r="K16" s="14" t="s">
        <v>50</v>
      </c>
      <c r="L16" s="14" t="s">
        <v>119</v>
      </c>
      <c r="M16" s="16" t="s">
        <v>144</v>
      </c>
      <c r="N16" s="14">
        <v>26.45</v>
      </c>
      <c r="O16" s="14" t="s">
        <v>145</v>
      </c>
      <c r="P16" s="19" t="s">
        <v>166</v>
      </c>
      <c r="Q16" s="14" t="s">
        <v>156</v>
      </c>
      <c r="R16" s="14" t="s">
        <v>50</v>
      </c>
    </row>
    <row r="17" spans="1:18" ht="15.75">
      <c r="A17" s="14" t="s">
        <v>167</v>
      </c>
      <c r="B17" s="14" t="s">
        <v>50</v>
      </c>
      <c r="C17" s="14" t="s">
        <v>152</v>
      </c>
      <c r="D17" s="14" t="s">
        <v>153</v>
      </c>
      <c r="E17" s="14" t="s">
        <v>154</v>
      </c>
      <c r="F17" s="14" t="s">
        <v>136</v>
      </c>
      <c r="G17" s="14">
        <v>36.395859000000002</v>
      </c>
      <c r="H17" s="20">
        <v>118.769882</v>
      </c>
      <c r="I17" s="15" t="s">
        <v>118</v>
      </c>
      <c r="J17" s="14">
        <v>532371786</v>
      </c>
      <c r="K17" s="14" t="s">
        <v>50</v>
      </c>
      <c r="L17" s="14" t="s">
        <v>119</v>
      </c>
      <c r="M17" s="16" t="s">
        <v>144</v>
      </c>
      <c r="N17" s="14">
        <v>25.68</v>
      </c>
      <c r="O17" s="14" t="s">
        <v>145</v>
      </c>
      <c r="P17" s="19" t="s">
        <v>168</v>
      </c>
      <c r="Q17" s="14" t="s">
        <v>156</v>
      </c>
      <c r="R17" s="14" t="s">
        <v>50</v>
      </c>
    </row>
    <row r="18" spans="1:18" ht="15.75">
      <c r="A18" s="14" t="s">
        <v>169</v>
      </c>
      <c r="B18" s="14" t="s">
        <v>50</v>
      </c>
      <c r="C18" s="14" t="s">
        <v>152</v>
      </c>
      <c r="D18" s="14" t="s">
        <v>153</v>
      </c>
      <c r="E18" s="14" t="s">
        <v>154</v>
      </c>
      <c r="F18" s="14" t="s">
        <v>136</v>
      </c>
      <c r="G18" s="14">
        <v>36.395859000000002</v>
      </c>
      <c r="H18" s="20">
        <v>118.769882</v>
      </c>
      <c r="I18" s="15" t="s">
        <v>118</v>
      </c>
      <c r="J18" s="14">
        <v>614941862</v>
      </c>
      <c r="K18" s="14" t="s">
        <v>50</v>
      </c>
      <c r="L18" s="14" t="s">
        <v>119</v>
      </c>
      <c r="M18" s="16" t="s">
        <v>144</v>
      </c>
      <c r="N18" s="14">
        <v>29.48</v>
      </c>
      <c r="O18" s="14" t="s">
        <v>145</v>
      </c>
      <c r="P18" s="19" t="s">
        <v>170</v>
      </c>
      <c r="Q18" s="14" t="s">
        <v>50</v>
      </c>
      <c r="R18" s="14" t="s">
        <v>50</v>
      </c>
    </row>
    <row r="19" spans="1:18" ht="15.75">
      <c r="A19" s="14" t="s">
        <v>171</v>
      </c>
      <c r="B19" s="14" t="s">
        <v>50</v>
      </c>
      <c r="C19" s="14" t="s">
        <v>152</v>
      </c>
      <c r="D19" s="14" t="s">
        <v>153</v>
      </c>
      <c r="E19" s="14" t="s">
        <v>154</v>
      </c>
      <c r="F19" s="14" t="s">
        <v>136</v>
      </c>
      <c r="G19" s="14">
        <v>36.395859000000002</v>
      </c>
      <c r="H19" s="20">
        <v>118.769882</v>
      </c>
      <c r="I19" s="15" t="s">
        <v>118</v>
      </c>
      <c r="J19" s="14">
        <v>553078286</v>
      </c>
      <c r="K19" s="14" t="s">
        <v>50</v>
      </c>
      <c r="L19" s="14" t="s">
        <v>119</v>
      </c>
      <c r="M19" s="16" t="s">
        <v>144</v>
      </c>
      <c r="N19" s="14">
        <v>26.64</v>
      </c>
      <c r="O19" s="14" t="s">
        <v>145</v>
      </c>
      <c r="P19" s="19" t="s">
        <v>172</v>
      </c>
      <c r="Q19" s="14" t="s">
        <v>156</v>
      </c>
      <c r="R19" s="14" t="s">
        <v>50</v>
      </c>
    </row>
    <row r="20" spans="1:18" ht="15.75">
      <c r="A20" s="14" t="s">
        <v>173</v>
      </c>
      <c r="B20" s="14" t="s">
        <v>50</v>
      </c>
      <c r="C20" s="14" t="s">
        <v>152</v>
      </c>
      <c r="D20" s="14" t="s">
        <v>153</v>
      </c>
      <c r="E20" s="14" t="s">
        <v>154</v>
      </c>
      <c r="F20" s="14" t="s">
        <v>136</v>
      </c>
      <c r="G20" s="14">
        <v>36.395859000000002</v>
      </c>
      <c r="H20" s="20">
        <v>118.769882</v>
      </c>
      <c r="I20" s="15" t="s">
        <v>118</v>
      </c>
      <c r="J20" s="14">
        <v>532421478</v>
      </c>
      <c r="K20" s="14" t="s">
        <v>50</v>
      </c>
      <c r="L20" s="14" t="s">
        <v>119</v>
      </c>
      <c r="M20" s="16" t="s">
        <v>144</v>
      </c>
      <c r="N20" s="14">
        <v>25.54</v>
      </c>
      <c r="O20" s="14" t="s">
        <v>145</v>
      </c>
      <c r="P20" s="19" t="s">
        <v>174</v>
      </c>
      <c r="Q20" s="14" t="s">
        <v>156</v>
      </c>
      <c r="R20" s="14" t="s">
        <v>50</v>
      </c>
    </row>
    <row r="21" spans="1:18" ht="15.75">
      <c r="A21" s="14">
        <v>266</v>
      </c>
      <c r="B21" s="14" t="s">
        <v>175</v>
      </c>
      <c r="C21" s="14" t="s">
        <v>176</v>
      </c>
      <c r="D21" s="14" t="s">
        <v>177</v>
      </c>
      <c r="E21" s="14" t="s">
        <v>178</v>
      </c>
      <c r="F21" s="14" t="s">
        <v>179</v>
      </c>
      <c r="G21" s="14">
        <v>32.325555555555503</v>
      </c>
      <c r="H21" s="14">
        <v>50.864444444444402</v>
      </c>
      <c r="I21" s="15" t="s">
        <v>180</v>
      </c>
      <c r="J21" s="14">
        <v>651039160</v>
      </c>
      <c r="K21" s="14" t="s">
        <v>137</v>
      </c>
      <c r="L21" s="14" t="s">
        <v>119</v>
      </c>
      <c r="M21" s="16" t="s">
        <v>144</v>
      </c>
      <c r="N21" s="14">
        <v>29.49</v>
      </c>
      <c r="O21" s="14" t="s">
        <v>145</v>
      </c>
      <c r="P21" s="19" t="s">
        <v>181</v>
      </c>
      <c r="Q21" s="14" t="s">
        <v>182</v>
      </c>
      <c r="R21" s="14" t="s">
        <v>183</v>
      </c>
    </row>
    <row r="22" spans="1:18" ht="15.75">
      <c r="A22" s="14">
        <v>271</v>
      </c>
      <c r="B22" s="14" t="s">
        <v>175</v>
      </c>
      <c r="C22" s="14" t="s">
        <v>176</v>
      </c>
      <c r="D22" s="14" t="s">
        <v>177</v>
      </c>
      <c r="E22" s="14" t="s">
        <v>178</v>
      </c>
      <c r="F22" s="14" t="s">
        <v>179</v>
      </c>
      <c r="G22" s="14">
        <v>30.283333333333299</v>
      </c>
      <c r="H22" s="14">
        <v>57.0833333333333</v>
      </c>
      <c r="I22" s="15" t="s">
        <v>180</v>
      </c>
      <c r="J22" s="14">
        <v>556239776</v>
      </c>
      <c r="K22" s="14" t="s">
        <v>184</v>
      </c>
      <c r="L22" s="14" t="s">
        <v>119</v>
      </c>
      <c r="M22" s="16" t="s">
        <v>144</v>
      </c>
      <c r="N22" s="14">
        <v>26.77</v>
      </c>
      <c r="O22" s="14" t="s">
        <v>145</v>
      </c>
      <c r="P22" s="19" t="s">
        <v>185</v>
      </c>
      <c r="Q22" s="14" t="s">
        <v>50</v>
      </c>
      <c r="R22" s="14" t="s">
        <v>186</v>
      </c>
    </row>
    <row r="23" spans="1:18" ht="15.75">
      <c r="A23" s="14">
        <v>272</v>
      </c>
      <c r="B23" s="14" t="s">
        <v>175</v>
      </c>
      <c r="C23" s="14" t="s">
        <v>176</v>
      </c>
      <c r="D23" s="14" t="s">
        <v>177</v>
      </c>
      <c r="E23" s="14" t="s">
        <v>178</v>
      </c>
      <c r="F23" s="14" t="s">
        <v>179</v>
      </c>
      <c r="G23" s="14">
        <v>30.283333333333299</v>
      </c>
      <c r="H23" s="14">
        <v>57.0833333333333</v>
      </c>
      <c r="I23" s="15" t="s">
        <v>180</v>
      </c>
      <c r="J23" s="14">
        <v>640458576</v>
      </c>
      <c r="K23" s="14" t="s">
        <v>184</v>
      </c>
      <c r="L23" s="14" t="s">
        <v>119</v>
      </c>
      <c r="M23" s="16" t="s">
        <v>144</v>
      </c>
      <c r="N23" s="14">
        <v>29.25</v>
      </c>
      <c r="O23" s="14" t="s">
        <v>145</v>
      </c>
      <c r="P23" s="19" t="s">
        <v>187</v>
      </c>
      <c r="Q23" s="14" t="s">
        <v>188</v>
      </c>
      <c r="R23" s="14" t="s">
        <v>186</v>
      </c>
    </row>
    <row r="24" spans="1:18" ht="15.75">
      <c r="A24" s="14">
        <v>273</v>
      </c>
      <c r="B24" s="14" t="s">
        <v>175</v>
      </c>
      <c r="C24" s="14" t="s">
        <v>176</v>
      </c>
      <c r="D24" s="14" t="s">
        <v>177</v>
      </c>
      <c r="E24" s="14" t="s">
        <v>178</v>
      </c>
      <c r="F24" s="14" t="s">
        <v>179</v>
      </c>
      <c r="G24" s="14">
        <v>30.283333333333299</v>
      </c>
      <c r="H24" s="14">
        <v>57.0833333333333</v>
      </c>
      <c r="I24" s="15" t="s">
        <v>180</v>
      </c>
      <c r="J24" s="14">
        <v>602173446</v>
      </c>
      <c r="K24" s="14" t="s">
        <v>184</v>
      </c>
      <c r="L24" s="14" t="s">
        <v>119</v>
      </c>
      <c r="M24" s="16" t="s">
        <v>144</v>
      </c>
      <c r="N24" s="14">
        <v>27.36</v>
      </c>
      <c r="O24" s="14" t="s">
        <v>145</v>
      </c>
      <c r="P24" s="19" t="s">
        <v>189</v>
      </c>
      <c r="Q24" s="14" t="s">
        <v>190</v>
      </c>
      <c r="R24" s="14" t="s">
        <v>186</v>
      </c>
    </row>
    <row r="25" spans="1:18" ht="15.75">
      <c r="A25" s="14" t="s">
        <v>191</v>
      </c>
      <c r="B25" s="14" t="s">
        <v>175</v>
      </c>
      <c r="C25" s="14" t="s">
        <v>176</v>
      </c>
      <c r="D25" s="14" t="s">
        <v>177</v>
      </c>
      <c r="E25" s="14" t="s">
        <v>178</v>
      </c>
      <c r="F25" s="14" t="s">
        <v>179</v>
      </c>
      <c r="G25" s="14">
        <v>30.283333333333299</v>
      </c>
      <c r="H25" s="14">
        <v>57.0833333333333</v>
      </c>
      <c r="I25" s="15" t="s">
        <v>180</v>
      </c>
      <c r="J25" s="14">
        <v>569753960</v>
      </c>
      <c r="K25" s="14" t="s">
        <v>137</v>
      </c>
      <c r="L25" s="14" t="s">
        <v>119</v>
      </c>
      <c r="M25" s="16" t="s">
        <v>144</v>
      </c>
      <c r="N25" s="14">
        <v>25.66</v>
      </c>
      <c r="O25" s="14" t="s">
        <v>145</v>
      </c>
      <c r="P25" s="19" t="s">
        <v>192</v>
      </c>
      <c r="Q25" s="14" t="s">
        <v>193</v>
      </c>
      <c r="R25" s="14" t="s">
        <v>183</v>
      </c>
    </row>
    <row r="26" spans="1:18" ht="15.75">
      <c r="A26" s="14" t="s">
        <v>194</v>
      </c>
      <c r="B26" s="14" t="s">
        <v>175</v>
      </c>
      <c r="C26" s="14" t="s">
        <v>176</v>
      </c>
      <c r="D26" s="14" t="s">
        <v>177</v>
      </c>
      <c r="E26" s="14" t="s">
        <v>178</v>
      </c>
      <c r="F26" s="14" t="s">
        <v>179</v>
      </c>
      <c r="G26" s="14">
        <v>30.283333333333299</v>
      </c>
      <c r="H26" s="14">
        <v>57.0833333333333</v>
      </c>
      <c r="I26" s="15" t="s">
        <v>180</v>
      </c>
      <c r="J26" s="14">
        <v>673552060</v>
      </c>
      <c r="K26" s="14" t="s">
        <v>137</v>
      </c>
      <c r="L26" s="14" t="s">
        <v>119</v>
      </c>
      <c r="M26" s="16" t="s">
        <v>144</v>
      </c>
      <c r="N26" s="14">
        <v>31.57</v>
      </c>
      <c r="O26" s="14" t="s">
        <v>145</v>
      </c>
      <c r="P26" s="19" t="s">
        <v>195</v>
      </c>
      <c r="Q26" s="14" t="s">
        <v>156</v>
      </c>
      <c r="R26" s="14" t="s">
        <v>183</v>
      </c>
    </row>
    <row r="27" spans="1:18" ht="15.75">
      <c r="A27" s="14" t="s">
        <v>196</v>
      </c>
      <c r="B27" s="14" t="s">
        <v>175</v>
      </c>
      <c r="C27" s="14" t="s">
        <v>176</v>
      </c>
      <c r="D27" s="14" t="s">
        <v>177</v>
      </c>
      <c r="E27" s="14" t="s">
        <v>178</v>
      </c>
      <c r="F27" s="14" t="s">
        <v>179</v>
      </c>
      <c r="G27" s="14">
        <v>30.283333333333299</v>
      </c>
      <c r="H27" s="14">
        <v>57.0833333333333</v>
      </c>
      <c r="I27" s="15" t="s">
        <v>180</v>
      </c>
      <c r="J27" s="14">
        <v>558986042</v>
      </c>
      <c r="K27" s="14" t="s">
        <v>137</v>
      </c>
      <c r="L27" s="14" t="s">
        <v>119</v>
      </c>
      <c r="M27" s="16" t="s">
        <v>144</v>
      </c>
      <c r="N27" s="14">
        <v>25.96</v>
      </c>
      <c r="O27" s="14" t="s">
        <v>145</v>
      </c>
      <c r="P27" s="19" t="s">
        <v>197</v>
      </c>
      <c r="Q27" s="14" t="s">
        <v>156</v>
      </c>
      <c r="R27" s="14" t="s">
        <v>183</v>
      </c>
    </row>
    <row r="28" spans="1:18" ht="15.75">
      <c r="A28" s="14" t="s">
        <v>198</v>
      </c>
      <c r="B28" s="14" t="s">
        <v>175</v>
      </c>
      <c r="C28" s="14" t="s">
        <v>176</v>
      </c>
      <c r="D28" s="14" t="s">
        <v>177</v>
      </c>
      <c r="E28" s="14" t="s">
        <v>178</v>
      </c>
      <c r="F28" s="14" t="s">
        <v>179</v>
      </c>
      <c r="G28" s="14">
        <v>35.689166666666601</v>
      </c>
      <c r="H28" s="14">
        <v>51.3888888888888</v>
      </c>
      <c r="I28" s="15" t="s">
        <v>180</v>
      </c>
      <c r="J28" s="14">
        <v>770408206</v>
      </c>
      <c r="K28" s="14" t="s">
        <v>137</v>
      </c>
      <c r="L28" s="14" t="s">
        <v>119</v>
      </c>
      <c r="M28" s="16" t="s">
        <v>144</v>
      </c>
      <c r="N28" s="14">
        <v>34.11</v>
      </c>
      <c r="O28" s="14" t="s">
        <v>145</v>
      </c>
      <c r="P28" s="19" t="s">
        <v>199</v>
      </c>
      <c r="Q28" s="14" t="s">
        <v>200</v>
      </c>
      <c r="R28" s="14" t="s">
        <v>183</v>
      </c>
    </row>
    <row r="29" spans="1:18" ht="15.75">
      <c r="A29" s="14" t="s">
        <v>201</v>
      </c>
      <c r="B29" s="14" t="s">
        <v>175</v>
      </c>
      <c r="C29" s="14" t="s">
        <v>176</v>
      </c>
      <c r="D29" s="14" t="s">
        <v>177</v>
      </c>
      <c r="E29" s="14" t="s">
        <v>178</v>
      </c>
      <c r="F29" s="14" t="s">
        <v>179</v>
      </c>
      <c r="G29" s="14">
        <v>31.897222222222201</v>
      </c>
      <c r="H29" s="14">
        <v>54.367777777777697</v>
      </c>
      <c r="I29" s="15" t="s">
        <v>180</v>
      </c>
      <c r="J29" s="14">
        <v>813551536</v>
      </c>
      <c r="K29" s="14" t="s">
        <v>184</v>
      </c>
      <c r="L29" s="14" t="s">
        <v>119</v>
      </c>
      <c r="M29" s="16" t="s">
        <v>144</v>
      </c>
      <c r="N29" s="14">
        <v>36.93</v>
      </c>
      <c r="O29" s="14" t="s">
        <v>145</v>
      </c>
      <c r="P29" s="19" t="s">
        <v>202</v>
      </c>
      <c r="Q29" s="14" t="s">
        <v>156</v>
      </c>
      <c r="R29" s="14" t="s">
        <v>186</v>
      </c>
    </row>
    <row r="30" spans="1:18" ht="15.75">
      <c r="A30" s="14" t="s">
        <v>203</v>
      </c>
      <c r="B30" s="14" t="s">
        <v>175</v>
      </c>
      <c r="C30" s="14" t="s">
        <v>176</v>
      </c>
      <c r="D30" s="14" t="s">
        <v>177</v>
      </c>
      <c r="E30" s="14" t="s">
        <v>178</v>
      </c>
      <c r="F30" s="14" t="s">
        <v>179</v>
      </c>
      <c r="G30" s="14">
        <v>31.897222222222201</v>
      </c>
      <c r="H30" s="14">
        <v>54.367777777777697</v>
      </c>
      <c r="I30" s="15" t="s">
        <v>180</v>
      </c>
      <c r="J30" s="14">
        <v>628617440</v>
      </c>
      <c r="K30" s="14" t="s">
        <v>184</v>
      </c>
      <c r="L30" s="14" t="s">
        <v>119</v>
      </c>
      <c r="M30" s="16" t="s">
        <v>144</v>
      </c>
      <c r="N30" s="14">
        <v>28.71</v>
      </c>
      <c r="O30" s="14" t="s">
        <v>145</v>
      </c>
      <c r="P30" s="19" t="s">
        <v>204</v>
      </c>
      <c r="Q30" s="14" t="s">
        <v>156</v>
      </c>
      <c r="R30" s="14" t="s">
        <v>186</v>
      </c>
    </row>
    <row r="31" spans="1:18" ht="15.75">
      <c r="A31" s="14" t="s">
        <v>205</v>
      </c>
      <c r="B31" s="14" t="s">
        <v>206</v>
      </c>
      <c r="C31" s="14" t="s">
        <v>207</v>
      </c>
      <c r="D31" s="14" t="s">
        <v>206</v>
      </c>
      <c r="E31" s="14" t="s">
        <v>50</v>
      </c>
      <c r="F31" s="14" t="s">
        <v>128</v>
      </c>
      <c r="G31" s="14" t="s">
        <v>50</v>
      </c>
      <c r="H31" s="14" t="s">
        <v>50</v>
      </c>
      <c r="I31" s="15" t="s">
        <v>118</v>
      </c>
      <c r="J31" s="14" t="s">
        <v>50</v>
      </c>
      <c r="K31" s="14" t="s">
        <v>50</v>
      </c>
      <c r="L31" s="14" t="s">
        <v>119</v>
      </c>
      <c r="M31" s="16" t="s">
        <v>120</v>
      </c>
      <c r="N31" s="14">
        <v>0.96</v>
      </c>
      <c r="O31" s="17" t="s">
        <v>121</v>
      </c>
      <c r="P31" s="18" t="s">
        <v>50</v>
      </c>
      <c r="Q31" s="14" t="s">
        <v>208</v>
      </c>
      <c r="R31" s="14" t="s">
        <v>50</v>
      </c>
    </row>
    <row r="32" spans="1:18" ht="15.75">
      <c r="A32" s="14" t="s">
        <v>209</v>
      </c>
      <c r="B32" s="14" t="s">
        <v>210</v>
      </c>
      <c r="C32" s="14" t="s">
        <v>207</v>
      </c>
      <c r="D32" s="14" t="s">
        <v>210</v>
      </c>
      <c r="E32" s="14" t="s">
        <v>211</v>
      </c>
      <c r="F32" s="14" t="s">
        <v>136</v>
      </c>
      <c r="G32" s="14">
        <v>33.187362999999998</v>
      </c>
      <c r="H32" s="14">
        <v>43.721656000000003</v>
      </c>
      <c r="I32" s="15" t="s">
        <v>118</v>
      </c>
      <c r="J32" s="14">
        <v>404758448</v>
      </c>
      <c r="K32" s="14" t="s">
        <v>137</v>
      </c>
      <c r="L32" s="14" t="s">
        <v>50</v>
      </c>
      <c r="M32" s="16" t="s">
        <v>138</v>
      </c>
      <c r="N32" s="14">
        <v>9</v>
      </c>
      <c r="O32" s="14" t="s">
        <v>139</v>
      </c>
      <c r="P32" s="19" t="s">
        <v>212</v>
      </c>
      <c r="Q32" s="14" t="s">
        <v>50</v>
      </c>
      <c r="R32" s="14" t="s">
        <v>141</v>
      </c>
    </row>
    <row r="33" spans="1:18" ht="15.75">
      <c r="A33" s="14">
        <v>6</v>
      </c>
      <c r="B33" s="14" t="s">
        <v>213</v>
      </c>
      <c r="C33" s="14" t="s">
        <v>214</v>
      </c>
      <c r="D33" s="14" t="s">
        <v>50</v>
      </c>
      <c r="E33" s="14" t="s">
        <v>215</v>
      </c>
      <c r="F33" s="14" t="s">
        <v>117</v>
      </c>
      <c r="G33" s="14">
        <v>27.69</v>
      </c>
      <c r="H33" s="14">
        <v>26.16</v>
      </c>
      <c r="I33" s="15" t="s">
        <v>118</v>
      </c>
      <c r="J33" s="14">
        <v>463252424</v>
      </c>
      <c r="K33" s="14" t="s">
        <v>137</v>
      </c>
      <c r="L33" s="14" t="s">
        <v>50</v>
      </c>
      <c r="M33" s="16" t="s">
        <v>138</v>
      </c>
      <c r="N33" s="14">
        <v>9.6</v>
      </c>
      <c r="O33" s="14" t="s">
        <v>139</v>
      </c>
      <c r="P33" s="19" t="s">
        <v>216</v>
      </c>
      <c r="Q33" s="14" t="s">
        <v>50</v>
      </c>
      <c r="R33" s="14" t="s">
        <v>183</v>
      </c>
    </row>
    <row r="34" spans="1:18" ht="15.75">
      <c r="A34" s="14">
        <v>7</v>
      </c>
      <c r="B34" s="14" t="s">
        <v>213</v>
      </c>
      <c r="C34" s="14" t="s">
        <v>214</v>
      </c>
      <c r="D34" s="14" t="s">
        <v>50</v>
      </c>
      <c r="E34" s="14" t="s">
        <v>215</v>
      </c>
      <c r="F34" s="14" t="s">
        <v>117</v>
      </c>
      <c r="G34" s="14">
        <v>27.69</v>
      </c>
      <c r="H34" s="14">
        <v>26.16</v>
      </c>
      <c r="I34" s="15" t="s">
        <v>118</v>
      </c>
      <c r="J34" s="14">
        <v>528914682</v>
      </c>
      <c r="K34" s="14" t="s">
        <v>137</v>
      </c>
      <c r="L34" s="14" t="s">
        <v>50</v>
      </c>
      <c r="M34" s="16" t="s">
        <v>138</v>
      </c>
      <c r="N34" s="14">
        <v>10.9</v>
      </c>
      <c r="O34" s="14" t="s">
        <v>139</v>
      </c>
      <c r="P34" s="19" t="s">
        <v>217</v>
      </c>
      <c r="Q34" s="14" t="s">
        <v>50</v>
      </c>
      <c r="R34" s="14" t="s">
        <v>183</v>
      </c>
    </row>
    <row r="35" spans="1:18" ht="15.75">
      <c r="A35" s="14">
        <v>11</v>
      </c>
      <c r="B35" s="14" t="s">
        <v>213</v>
      </c>
      <c r="C35" s="14" t="s">
        <v>214</v>
      </c>
      <c r="D35" s="14" t="s">
        <v>50</v>
      </c>
      <c r="E35" s="14" t="s">
        <v>215</v>
      </c>
      <c r="F35" s="14" t="s">
        <v>117</v>
      </c>
      <c r="G35" s="14">
        <v>27.69</v>
      </c>
      <c r="H35" s="14">
        <v>26.16</v>
      </c>
      <c r="I35" s="15" t="s">
        <v>118</v>
      </c>
      <c r="J35" s="14">
        <v>437023150</v>
      </c>
      <c r="K35" s="14" t="s">
        <v>137</v>
      </c>
      <c r="L35" s="14" t="s">
        <v>50</v>
      </c>
      <c r="M35" s="16" t="s">
        <v>138</v>
      </c>
      <c r="N35" s="14">
        <v>9.65</v>
      </c>
      <c r="O35" s="14" t="s">
        <v>139</v>
      </c>
      <c r="P35" s="19" t="s">
        <v>218</v>
      </c>
      <c r="Q35" s="14" t="s">
        <v>50</v>
      </c>
      <c r="R35" s="14" t="s">
        <v>183</v>
      </c>
    </row>
    <row r="36" spans="1:18" ht="15.75">
      <c r="A36" s="14" t="s">
        <v>219</v>
      </c>
      <c r="B36" s="14" t="s">
        <v>220</v>
      </c>
      <c r="C36" s="14" t="s">
        <v>221</v>
      </c>
      <c r="D36" s="14" t="s">
        <v>220</v>
      </c>
      <c r="E36" s="14" t="s">
        <v>222</v>
      </c>
      <c r="F36" s="14" t="s">
        <v>223</v>
      </c>
      <c r="G36" s="14" t="s">
        <v>50</v>
      </c>
      <c r="H36" s="14" t="s">
        <v>50</v>
      </c>
      <c r="I36" s="15" t="s">
        <v>118</v>
      </c>
      <c r="J36" s="14">
        <v>587964516</v>
      </c>
      <c r="K36" s="14" t="s">
        <v>50</v>
      </c>
      <c r="L36" s="14" t="s">
        <v>119</v>
      </c>
      <c r="M36" s="16" t="s">
        <v>144</v>
      </c>
      <c r="N36" s="14">
        <v>28.08</v>
      </c>
      <c r="O36" s="14" t="s">
        <v>145</v>
      </c>
      <c r="P36" s="19" t="s">
        <v>224</v>
      </c>
      <c r="Q36" s="14" t="s">
        <v>225</v>
      </c>
      <c r="R36" s="14" t="s">
        <v>50</v>
      </c>
    </row>
    <row r="37" spans="1:18" ht="15.75">
      <c r="A37" s="14" t="s">
        <v>226</v>
      </c>
      <c r="B37" s="14" t="s">
        <v>220</v>
      </c>
      <c r="C37" s="14" t="s">
        <v>221</v>
      </c>
      <c r="D37" s="14" t="s">
        <v>220</v>
      </c>
      <c r="E37" s="14" t="s">
        <v>222</v>
      </c>
      <c r="F37" s="14" t="s">
        <v>223</v>
      </c>
      <c r="G37" s="14" t="s">
        <v>50</v>
      </c>
      <c r="H37" s="14" t="s">
        <v>50</v>
      </c>
      <c r="I37" s="15" t="s">
        <v>118</v>
      </c>
      <c r="J37" s="14">
        <v>635659858</v>
      </c>
      <c r="K37" s="14" t="s">
        <v>50</v>
      </c>
      <c r="L37" s="14" t="s">
        <v>119</v>
      </c>
      <c r="M37" s="16" t="s">
        <v>144</v>
      </c>
      <c r="N37" s="14">
        <v>28.71</v>
      </c>
      <c r="O37" s="14" t="s">
        <v>145</v>
      </c>
      <c r="P37" s="19" t="s">
        <v>227</v>
      </c>
      <c r="Q37" s="14" t="s">
        <v>228</v>
      </c>
      <c r="R37" s="14" t="s">
        <v>50</v>
      </c>
    </row>
    <row r="38" spans="1:18" ht="15.75">
      <c r="A38" s="14" t="s">
        <v>229</v>
      </c>
      <c r="B38" s="14" t="s">
        <v>220</v>
      </c>
      <c r="C38" s="14" t="s">
        <v>221</v>
      </c>
      <c r="D38" s="14" t="s">
        <v>220</v>
      </c>
      <c r="E38" s="14" t="s">
        <v>222</v>
      </c>
      <c r="F38" s="14" t="s">
        <v>223</v>
      </c>
      <c r="G38" s="14" t="s">
        <v>50</v>
      </c>
      <c r="H38" s="14" t="s">
        <v>50</v>
      </c>
      <c r="I38" s="15" t="s">
        <v>118</v>
      </c>
      <c r="J38" s="14">
        <v>595733168</v>
      </c>
      <c r="K38" s="14" t="s">
        <v>50</v>
      </c>
      <c r="L38" s="14" t="s">
        <v>119</v>
      </c>
      <c r="M38" s="16" t="s">
        <v>144</v>
      </c>
      <c r="N38" s="14">
        <v>27.76</v>
      </c>
      <c r="O38" s="14" t="s">
        <v>145</v>
      </c>
      <c r="P38" s="19" t="s">
        <v>230</v>
      </c>
      <c r="Q38" s="14" t="s">
        <v>231</v>
      </c>
      <c r="R38" s="14" t="s">
        <v>50</v>
      </c>
    </row>
    <row r="39" spans="1:18" ht="15.75">
      <c r="A39" s="14" t="s">
        <v>232</v>
      </c>
      <c r="B39" s="14" t="s">
        <v>220</v>
      </c>
      <c r="C39" s="14" t="s">
        <v>221</v>
      </c>
      <c r="D39" s="14" t="s">
        <v>220</v>
      </c>
      <c r="E39" s="14" t="s">
        <v>222</v>
      </c>
      <c r="F39" s="14" t="s">
        <v>223</v>
      </c>
      <c r="G39" s="14" t="s">
        <v>50</v>
      </c>
      <c r="H39" s="14" t="s">
        <v>50</v>
      </c>
      <c r="I39" s="15" t="s">
        <v>118</v>
      </c>
      <c r="J39" s="14">
        <v>652914278</v>
      </c>
      <c r="K39" s="14" t="s">
        <v>50</v>
      </c>
      <c r="L39" s="14" t="s">
        <v>119</v>
      </c>
      <c r="M39" s="16" t="s">
        <v>144</v>
      </c>
      <c r="N39" s="14">
        <v>29.29</v>
      </c>
      <c r="O39" s="14" t="s">
        <v>145</v>
      </c>
      <c r="P39" s="19" t="s">
        <v>233</v>
      </c>
      <c r="Q39" s="14" t="s">
        <v>234</v>
      </c>
      <c r="R39" s="14" t="s">
        <v>50</v>
      </c>
    </row>
    <row r="40" spans="1:18" ht="15.75">
      <c r="A40" s="14" t="s">
        <v>235</v>
      </c>
      <c r="B40" s="14" t="s">
        <v>220</v>
      </c>
      <c r="C40" s="14" t="s">
        <v>221</v>
      </c>
      <c r="D40" s="14" t="s">
        <v>220</v>
      </c>
      <c r="E40" s="14" t="s">
        <v>222</v>
      </c>
      <c r="F40" s="14" t="s">
        <v>223</v>
      </c>
      <c r="G40" s="14" t="s">
        <v>50</v>
      </c>
      <c r="H40" s="14" t="s">
        <v>50</v>
      </c>
      <c r="I40" s="15" t="s">
        <v>118</v>
      </c>
      <c r="J40" s="14">
        <v>633302300</v>
      </c>
      <c r="K40" s="14" t="s">
        <v>50</v>
      </c>
      <c r="L40" s="14" t="s">
        <v>119</v>
      </c>
      <c r="M40" s="16" t="s">
        <v>144</v>
      </c>
      <c r="N40" s="14">
        <v>30.96</v>
      </c>
      <c r="O40" s="14" t="s">
        <v>145</v>
      </c>
      <c r="P40" s="19" t="s">
        <v>236</v>
      </c>
      <c r="Q40" s="14" t="s">
        <v>237</v>
      </c>
      <c r="R40" s="14" t="s">
        <v>50</v>
      </c>
    </row>
    <row r="41" spans="1:18" ht="15.75">
      <c r="A41" s="14" t="s">
        <v>238</v>
      </c>
      <c r="B41" s="14" t="s">
        <v>220</v>
      </c>
      <c r="C41" s="14" t="s">
        <v>221</v>
      </c>
      <c r="D41" s="14" t="s">
        <v>220</v>
      </c>
      <c r="E41" s="14" t="s">
        <v>222</v>
      </c>
      <c r="F41" s="14" t="s">
        <v>223</v>
      </c>
      <c r="G41" s="14" t="s">
        <v>50</v>
      </c>
      <c r="H41" s="14" t="s">
        <v>50</v>
      </c>
      <c r="I41" s="15" t="s">
        <v>118</v>
      </c>
      <c r="J41" s="14">
        <v>573630398</v>
      </c>
      <c r="K41" s="14" t="s">
        <v>50</v>
      </c>
      <c r="L41" s="14" t="s">
        <v>119</v>
      </c>
      <c r="M41" s="16" t="s">
        <v>144</v>
      </c>
      <c r="N41" s="14">
        <v>27.7</v>
      </c>
      <c r="O41" s="14" t="s">
        <v>145</v>
      </c>
      <c r="P41" s="19" t="s">
        <v>239</v>
      </c>
      <c r="Q41" s="14" t="s">
        <v>240</v>
      </c>
      <c r="R41" s="14" t="s">
        <v>50</v>
      </c>
    </row>
    <row r="42" spans="1:18" ht="15.75">
      <c r="A42" s="14" t="s">
        <v>241</v>
      </c>
      <c r="B42" s="14" t="s">
        <v>242</v>
      </c>
      <c r="C42" s="14" t="s">
        <v>243</v>
      </c>
      <c r="D42" s="14" t="s">
        <v>242</v>
      </c>
      <c r="E42" s="14" t="s">
        <v>222</v>
      </c>
      <c r="F42" s="14" t="s">
        <v>223</v>
      </c>
      <c r="G42" s="14" t="s">
        <v>50</v>
      </c>
      <c r="H42" s="14" t="s">
        <v>50</v>
      </c>
      <c r="I42" s="15" t="s">
        <v>118</v>
      </c>
      <c r="J42" s="14">
        <v>578728694</v>
      </c>
      <c r="K42" s="14" t="s">
        <v>50</v>
      </c>
      <c r="L42" s="14" t="s">
        <v>119</v>
      </c>
      <c r="M42" s="16" t="s">
        <v>144</v>
      </c>
      <c r="N42" s="14">
        <v>27.77</v>
      </c>
      <c r="O42" s="14" t="s">
        <v>145</v>
      </c>
      <c r="P42" s="19" t="s">
        <v>244</v>
      </c>
      <c r="Q42" s="14" t="s">
        <v>245</v>
      </c>
      <c r="R42" s="14" t="s">
        <v>50</v>
      </c>
    </row>
    <row r="43" spans="1:18" ht="15.75">
      <c r="A43" s="14" t="s">
        <v>246</v>
      </c>
      <c r="B43" s="14" t="s">
        <v>242</v>
      </c>
      <c r="C43" s="14" t="s">
        <v>243</v>
      </c>
      <c r="D43" s="14" t="s">
        <v>242</v>
      </c>
      <c r="E43" s="14" t="s">
        <v>222</v>
      </c>
      <c r="F43" s="14" t="s">
        <v>223</v>
      </c>
      <c r="G43" s="14" t="s">
        <v>50</v>
      </c>
      <c r="H43" s="14" t="s">
        <v>50</v>
      </c>
      <c r="I43" s="15" t="s">
        <v>118</v>
      </c>
      <c r="J43" s="14">
        <v>643125218</v>
      </c>
      <c r="K43" s="14" t="s">
        <v>50</v>
      </c>
      <c r="L43" s="14" t="s">
        <v>119</v>
      </c>
      <c r="M43" s="16" t="s">
        <v>144</v>
      </c>
      <c r="N43" s="14">
        <v>30.95</v>
      </c>
      <c r="O43" s="14" t="s">
        <v>145</v>
      </c>
      <c r="P43" s="19" t="s">
        <v>247</v>
      </c>
      <c r="Q43" s="14" t="s">
        <v>248</v>
      </c>
      <c r="R43" s="14" t="s">
        <v>50</v>
      </c>
    </row>
    <row r="44" spans="1:18" ht="15.75">
      <c r="A44" s="14" t="s">
        <v>249</v>
      </c>
      <c r="B44" s="14" t="s">
        <v>242</v>
      </c>
      <c r="C44" s="14" t="s">
        <v>243</v>
      </c>
      <c r="D44" s="14" t="s">
        <v>242</v>
      </c>
      <c r="E44" s="14" t="s">
        <v>222</v>
      </c>
      <c r="F44" s="14" t="s">
        <v>223</v>
      </c>
      <c r="G44" s="14" t="s">
        <v>50</v>
      </c>
      <c r="H44" s="14" t="s">
        <v>50</v>
      </c>
      <c r="I44" s="15" t="s">
        <v>118</v>
      </c>
      <c r="J44" s="14">
        <v>679564204</v>
      </c>
      <c r="K44" s="14" t="s">
        <v>50</v>
      </c>
      <c r="L44" s="14" t="s">
        <v>119</v>
      </c>
      <c r="M44" s="16" t="s">
        <v>144</v>
      </c>
      <c r="N44" s="14">
        <v>32.979999999999997</v>
      </c>
      <c r="O44" s="14" t="s">
        <v>145</v>
      </c>
      <c r="P44" s="19" t="s">
        <v>250</v>
      </c>
      <c r="Q44" s="14" t="s">
        <v>251</v>
      </c>
      <c r="R44" s="14" t="s">
        <v>50</v>
      </c>
    </row>
    <row r="45" spans="1:18" ht="15.75">
      <c r="A45" s="14" t="s">
        <v>252</v>
      </c>
      <c r="B45" s="14" t="s">
        <v>242</v>
      </c>
      <c r="C45" s="14" t="s">
        <v>243</v>
      </c>
      <c r="D45" s="14" t="s">
        <v>242</v>
      </c>
      <c r="E45" s="14" t="s">
        <v>222</v>
      </c>
      <c r="F45" s="14" t="s">
        <v>223</v>
      </c>
      <c r="G45" s="14" t="s">
        <v>50</v>
      </c>
      <c r="H45" s="14" t="s">
        <v>50</v>
      </c>
      <c r="I45" s="15" t="s">
        <v>118</v>
      </c>
      <c r="J45" s="14">
        <v>571865242</v>
      </c>
      <c r="K45" s="14" t="s">
        <v>50</v>
      </c>
      <c r="L45" s="14" t="s">
        <v>119</v>
      </c>
      <c r="M45" s="16" t="s">
        <v>144</v>
      </c>
      <c r="N45" s="14">
        <v>27.15</v>
      </c>
      <c r="O45" s="14" t="s">
        <v>145</v>
      </c>
      <c r="P45" s="19" t="s">
        <v>253</v>
      </c>
      <c r="Q45" s="14" t="s">
        <v>254</v>
      </c>
      <c r="R45" s="14" t="s">
        <v>50</v>
      </c>
    </row>
    <row r="46" spans="1:18" ht="15.75">
      <c r="A46" s="14" t="s">
        <v>255</v>
      </c>
      <c r="B46" s="14" t="s">
        <v>256</v>
      </c>
      <c r="C46" s="14" t="s">
        <v>257</v>
      </c>
      <c r="D46" s="14" t="s">
        <v>256</v>
      </c>
      <c r="E46" s="14" t="s">
        <v>50</v>
      </c>
      <c r="F46" s="14" t="s">
        <v>223</v>
      </c>
      <c r="G46" s="14" t="s">
        <v>50</v>
      </c>
      <c r="H46" s="14" t="s">
        <v>50</v>
      </c>
      <c r="I46" s="15" t="s">
        <v>118</v>
      </c>
      <c r="J46" s="14" t="s">
        <v>50</v>
      </c>
      <c r="K46" s="14" t="s">
        <v>50</v>
      </c>
      <c r="L46" s="14" t="s">
        <v>119</v>
      </c>
      <c r="M46" s="16" t="s">
        <v>120</v>
      </c>
      <c r="N46" s="14">
        <v>5.9103599999999998</v>
      </c>
      <c r="O46" s="17" t="s">
        <v>121</v>
      </c>
      <c r="P46" s="18" t="s">
        <v>50</v>
      </c>
      <c r="Q46" s="14" t="s">
        <v>258</v>
      </c>
      <c r="R46" s="14" t="s">
        <v>50</v>
      </c>
    </row>
    <row r="47" spans="1:18" ht="15.75">
      <c r="A47" s="14" t="s">
        <v>259</v>
      </c>
      <c r="B47" s="14" t="s">
        <v>256</v>
      </c>
      <c r="C47" s="14" t="s">
        <v>257</v>
      </c>
      <c r="D47" s="14" t="s">
        <v>256</v>
      </c>
      <c r="E47" s="14" t="s">
        <v>50</v>
      </c>
      <c r="F47" s="14" t="s">
        <v>223</v>
      </c>
      <c r="G47" s="14" t="s">
        <v>50</v>
      </c>
      <c r="H47" s="14" t="s">
        <v>50</v>
      </c>
      <c r="I47" s="15" t="s">
        <v>118</v>
      </c>
      <c r="J47" s="14" t="s">
        <v>50</v>
      </c>
      <c r="K47" s="14" t="s">
        <v>50</v>
      </c>
      <c r="L47" s="14" t="s">
        <v>119</v>
      </c>
      <c r="M47" s="16" t="s">
        <v>120</v>
      </c>
      <c r="N47" s="14">
        <v>6.53742</v>
      </c>
      <c r="O47" s="17" t="s">
        <v>121</v>
      </c>
      <c r="P47" s="18" t="s">
        <v>50</v>
      </c>
      <c r="Q47" s="14" t="s">
        <v>260</v>
      </c>
      <c r="R47" s="14" t="s">
        <v>50</v>
      </c>
    </row>
    <row r="48" spans="1:18" ht="15.75">
      <c r="A48" s="14" t="s">
        <v>261</v>
      </c>
      <c r="B48" s="14" t="s">
        <v>262</v>
      </c>
      <c r="C48" s="14" t="s">
        <v>263</v>
      </c>
      <c r="D48" s="14" t="s">
        <v>262</v>
      </c>
      <c r="E48" s="14" t="s">
        <v>50</v>
      </c>
      <c r="F48" s="14" t="s">
        <v>128</v>
      </c>
      <c r="G48" s="14" t="s">
        <v>50</v>
      </c>
      <c r="H48" s="14" t="s">
        <v>50</v>
      </c>
      <c r="I48" s="15" t="s">
        <v>118</v>
      </c>
      <c r="J48" s="14" t="s">
        <v>50</v>
      </c>
      <c r="K48" s="14" t="s">
        <v>50</v>
      </c>
      <c r="L48" s="14" t="s">
        <v>119</v>
      </c>
      <c r="M48" s="16" t="s">
        <v>120</v>
      </c>
      <c r="N48" s="14">
        <v>6.8317199999999998</v>
      </c>
      <c r="O48" s="17" t="s">
        <v>121</v>
      </c>
      <c r="P48" s="18" t="s">
        <v>50</v>
      </c>
      <c r="Q48" s="14" t="s">
        <v>264</v>
      </c>
      <c r="R48" s="14" t="s">
        <v>50</v>
      </c>
    </row>
    <row r="49" spans="1:18" ht="15.75">
      <c r="A49" s="14" t="s">
        <v>265</v>
      </c>
      <c r="B49" s="14" t="s">
        <v>50</v>
      </c>
      <c r="C49" s="14" t="s">
        <v>266</v>
      </c>
      <c r="D49" s="14" t="s">
        <v>267</v>
      </c>
      <c r="E49" s="14" t="s">
        <v>268</v>
      </c>
      <c r="F49" s="14" t="s">
        <v>117</v>
      </c>
      <c r="G49" s="14" t="s">
        <v>50</v>
      </c>
      <c r="H49" s="14" t="s">
        <v>50</v>
      </c>
      <c r="I49" s="15" t="s">
        <v>118</v>
      </c>
      <c r="J49" s="14">
        <v>562463000</v>
      </c>
      <c r="K49" s="14" t="s">
        <v>50</v>
      </c>
      <c r="L49" s="14" t="s">
        <v>119</v>
      </c>
      <c r="M49" s="16" t="s">
        <v>144</v>
      </c>
      <c r="N49" s="14">
        <v>26.7</v>
      </c>
      <c r="O49" s="14" t="s">
        <v>145</v>
      </c>
      <c r="P49" s="19" t="s">
        <v>269</v>
      </c>
      <c r="Q49" s="14" t="s">
        <v>270</v>
      </c>
      <c r="R49" s="14" t="s">
        <v>50</v>
      </c>
    </row>
    <row r="50" spans="1:18" ht="15.75">
      <c r="A50" s="14" t="s">
        <v>271</v>
      </c>
      <c r="B50" s="14" t="s">
        <v>50</v>
      </c>
      <c r="C50" s="14" t="s">
        <v>266</v>
      </c>
      <c r="D50" s="14" t="s">
        <v>267</v>
      </c>
      <c r="E50" s="14" t="s">
        <v>268</v>
      </c>
      <c r="F50" s="14" t="s">
        <v>117</v>
      </c>
      <c r="G50" s="14" t="s">
        <v>50</v>
      </c>
      <c r="H50" s="14" t="s">
        <v>50</v>
      </c>
      <c r="I50" s="15" t="s">
        <v>118</v>
      </c>
      <c r="J50" s="14">
        <v>550589318</v>
      </c>
      <c r="K50" s="14" t="s">
        <v>50</v>
      </c>
      <c r="L50" s="14" t="s">
        <v>119</v>
      </c>
      <c r="M50" s="16" t="s">
        <v>144</v>
      </c>
      <c r="N50" s="14">
        <v>26.28</v>
      </c>
      <c r="O50" s="14" t="s">
        <v>145</v>
      </c>
      <c r="P50" s="19" t="s">
        <v>272</v>
      </c>
      <c r="Q50" s="14" t="s">
        <v>273</v>
      </c>
      <c r="R50" s="14" t="s">
        <v>50</v>
      </c>
    </row>
    <row r="51" spans="1:18" ht="15.75">
      <c r="A51" s="14" t="s">
        <v>274</v>
      </c>
      <c r="B51" s="14" t="s">
        <v>50</v>
      </c>
      <c r="C51" s="14" t="s">
        <v>266</v>
      </c>
      <c r="D51" s="14" t="s">
        <v>267</v>
      </c>
      <c r="E51" s="14" t="s">
        <v>268</v>
      </c>
      <c r="F51" s="14" t="s">
        <v>117</v>
      </c>
      <c r="G51" s="14" t="s">
        <v>50</v>
      </c>
      <c r="H51" s="14" t="s">
        <v>50</v>
      </c>
      <c r="I51" s="15" t="s">
        <v>118</v>
      </c>
      <c r="J51" s="14">
        <v>530416608</v>
      </c>
      <c r="K51" s="14" t="s">
        <v>50</v>
      </c>
      <c r="L51" s="14" t="s">
        <v>119</v>
      </c>
      <c r="M51" s="16" t="s">
        <v>144</v>
      </c>
      <c r="N51" s="14">
        <v>25.53</v>
      </c>
      <c r="O51" s="14" t="s">
        <v>145</v>
      </c>
      <c r="P51" s="19" t="s">
        <v>275</v>
      </c>
      <c r="Q51" s="14" t="s">
        <v>276</v>
      </c>
      <c r="R51" s="14" t="s">
        <v>50</v>
      </c>
    </row>
    <row r="52" spans="1:18" ht="15.75">
      <c r="A52" s="14" t="s">
        <v>277</v>
      </c>
      <c r="B52" s="14" t="s">
        <v>50</v>
      </c>
      <c r="C52" s="14" t="s">
        <v>266</v>
      </c>
      <c r="D52" s="14" t="s">
        <v>267</v>
      </c>
      <c r="E52" s="14" t="s">
        <v>268</v>
      </c>
      <c r="F52" s="14" t="s">
        <v>117</v>
      </c>
      <c r="G52" s="14" t="s">
        <v>50</v>
      </c>
      <c r="H52" s="14" t="s">
        <v>50</v>
      </c>
      <c r="I52" s="15" t="s">
        <v>118</v>
      </c>
      <c r="J52" s="14">
        <v>534328220</v>
      </c>
      <c r="K52" s="14" t="s">
        <v>50</v>
      </c>
      <c r="L52" s="14" t="s">
        <v>119</v>
      </c>
      <c r="M52" s="16" t="s">
        <v>144</v>
      </c>
      <c r="N52" s="14">
        <v>25.68</v>
      </c>
      <c r="O52" s="14" t="s">
        <v>145</v>
      </c>
      <c r="P52" s="19" t="s">
        <v>278</v>
      </c>
      <c r="Q52" s="14" t="s">
        <v>279</v>
      </c>
      <c r="R52" s="14" t="s">
        <v>50</v>
      </c>
    </row>
    <row r="53" spans="1:18" ht="15.75">
      <c r="A53" s="14" t="s">
        <v>280</v>
      </c>
      <c r="B53" s="14" t="s">
        <v>50</v>
      </c>
      <c r="C53" s="14" t="s">
        <v>266</v>
      </c>
      <c r="D53" s="14" t="s">
        <v>267</v>
      </c>
      <c r="E53" s="14" t="s">
        <v>268</v>
      </c>
      <c r="F53" s="14" t="s">
        <v>117</v>
      </c>
      <c r="G53" s="14" t="s">
        <v>50</v>
      </c>
      <c r="H53" s="14" t="s">
        <v>50</v>
      </c>
      <c r="I53" s="15" t="s">
        <v>118</v>
      </c>
      <c r="J53" s="14">
        <v>527291888</v>
      </c>
      <c r="K53" s="14" t="s">
        <v>50</v>
      </c>
      <c r="L53" s="14" t="s">
        <v>119</v>
      </c>
      <c r="M53" s="16" t="s">
        <v>144</v>
      </c>
      <c r="N53" s="14">
        <v>25.33</v>
      </c>
      <c r="O53" s="14" t="s">
        <v>145</v>
      </c>
      <c r="P53" s="19" t="s">
        <v>281</v>
      </c>
      <c r="Q53" s="14" t="s">
        <v>282</v>
      </c>
      <c r="R53" s="14" t="s">
        <v>50</v>
      </c>
    </row>
    <row r="54" spans="1:18" ht="15.75">
      <c r="A54" s="14" t="s">
        <v>283</v>
      </c>
      <c r="B54" s="14" t="s">
        <v>50</v>
      </c>
      <c r="C54" s="14" t="s">
        <v>284</v>
      </c>
      <c r="D54" s="14" t="s">
        <v>285</v>
      </c>
      <c r="E54" s="14" t="s">
        <v>268</v>
      </c>
      <c r="F54" s="14" t="s">
        <v>117</v>
      </c>
      <c r="G54" s="14" t="s">
        <v>50</v>
      </c>
      <c r="H54" s="14" t="s">
        <v>50</v>
      </c>
      <c r="I54" s="15" t="s">
        <v>118</v>
      </c>
      <c r="J54" s="14">
        <v>532230640</v>
      </c>
      <c r="K54" s="14" t="s">
        <v>50</v>
      </c>
      <c r="L54" s="14" t="s">
        <v>119</v>
      </c>
      <c r="M54" s="16" t="s">
        <v>144</v>
      </c>
      <c r="N54" s="14">
        <v>25.63</v>
      </c>
      <c r="O54" s="14" t="s">
        <v>145</v>
      </c>
      <c r="P54" s="19" t="s">
        <v>286</v>
      </c>
      <c r="Q54" s="14" t="s">
        <v>287</v>
      </c>
      <c r="R54" s="14" t="s">
        <v>50</v>
      </c>
    </row>
    <row r="55" spans="1:18" ht="15.75">
      <c r="A55" s="14" t="s">
        <v>288</v>
      </c>
      <c r="B55" s="14" t="s">
        <v>50</v>
      </c>
      <c r="C55" s="14" t="s">
        <v>284</v>
      </c>
      <c r="D55" s="14" t="s">
        <v>285</v>
      </c>
      <c r="E55" s="14" t="s">
        <v>268</v>
      </c>
      <c r="F55" s="14" t="s">
        <v>117</v>
      </c>
      <c r="G55" s="14" t="s">
        <v>50</v>
      </c>
      <c r="H55" s="14" t="s">
        <v>50</v>
      </c>
      <c r="I55" s="15" t="s">
        <v>118</v>
      </c>
      <c r="J55" s="14">
        <v>526997314</v>
      </c>
      <c r="K55" s="14" t="s">
        <v>50</v>
      </c>
      <c r="L55" s="14" t="s">
        <v>119</v>
      </c>
      <c r="M55" s="16" t="s">
        <v>144</v>
      </c>
      <c r="N55" s="14">
        <v>25.28</v>
      </c>
      <c r="O55" s="14" t="s">
        <v>145</v>
      </c>
      <c r="P55" s="19" t="s">
        <v>289</v>
      </c>
      <c r="Q55" s="14" t="s">
        <v>290</v>
      </c>
      <c r="R55" s="14" t="s">
        <v>50</v>
      </c>
    </row>
    <row r="56" spans="1:18" ht="15.75">
      <c r="A56" s="14" t="s">
        <v>291</v>
      </c>
      <c r="B56" s="14" t="s">
        <v>50</v>
      </c>
      <c r="C56" s="14" t="s">
        <v>284</v>
      </c>
      <c r="D56" s="14" t="s">
        <v>285</v>
      </c>
      <c r="E56" s="14" t="s">
        <v>268</v>
      </c>
      <c r="F56" s="14" t="s">
        <v>117</v>
      </c>
      <c r="G56" s="14" t="s">
        <v>50</v>
      </c>
      <c r="H56" s="14" t="s">
        <v>50</v>
      </c>
      <c r="I56" s="15" t="s">
        <v>118</v>
      </c>
      <c r="J56" s="14">
        <v>526820780</v>
      </c>
      <c r="K56" s="14" t="s">
        <v>50</v>
      </c>
      <c r="L56" s="14" t="s">
        <v>119</v>
      </c>
      <c r="M56" s="16" t="s">
        <v>144</v>
      </c>
      <c r="N56" s="14">
        <v>25.21</v>
      </c>
      <c r="O56" s="14" t="s">
        <v>145</v>
      </c>
      <c r="P56" s="19" t="s">
        <v>292</v>
      </c>
      <c r="Q56" s="14" t="s">
        <v>293</v>
      </c>
      <c r="R56" s="14" t="s">
        <v>50</v>
      </c>
    </row>
    <row r="57" spans="1:18" ht="15.75">
      <c r="A57" s="14" t="s">
        <v>294</v>
      </c>
      <c r="B57" s="14" t="s">
        <v>50</v>
      </c>
      <c r="C57" s="14" t="s">
        <v>284</v>
      </c>
      <c r="D57" s="14" t="s">
        <v>285</v>
      </c>
      <c r="E57" s="14" t="s">
        <v>268</v>
      </c>
      <c r="F57" s="14" t="s">
        <v>117</v>
      </c>
      <c r="G57" s="14" t="s">
        <v>50</v>
      </c>
      <c r="H57" s="14" t="s">
        <v>50</v>
      </c>
      <c r="I57" s="15" t="s">
        <v>118</v>
      </c>
      <c r="J57" s="14">
        <v>555838114</v>
      </c>
      <c r="K57" s="14" t="s">
        <v>50</v>
      </c>
      <c r="L57" s="14" t="s">
        <v>119</v>
      </c>
      <c r="M57" s="16" t="s">
        <v>144</v>
      </c>
      <c r="N57" s="14">
        <v>26.48</v>
      </c>
      <c r="O57" s="14" t="s">
        <v>145</v>
      </c>
      <c r="P57" s="19" t="s">
        <v>295</v>
      </c>
      <c r="Q57" s="14" t="s">
        <v>50</v>
      </c>
      <c r="R57" s="14" t="s">
        <v>50</v>
      </c>
    </row>
    <row r="58" spans="1:18" ht="15.75">
      <c r="A58" s="14" t="s">
        <v>296</v>
      </c>
      <c r="B58" s="14" t="s">
        <v>50</v>
      </c>
      <c r="C58" s="14" t="s">
        <v>284</v>
      </c>
      <c r="D58" s="14" t="s">
        <v>285</v>
      </c>
      <c r="E58" s="14" t="s">
        <v>268</v>
      </c>
      <c r="F58" s="14" t="s">
        <v>117</v>
      </c>
      <c r="G58" s="14" t="s">
        <v>50</v>
      </c>
      <c r="H58" s="14" t="s">
        <v>50</v>
      </c>
      <c r="I58" s="15" t="s">
        <v>118</v>
      </c>
      <c r="J58" s="14">
        <v>527977370</v>
      </c>
      <c r="K58" s="14" t="s">
        <v>50</v>
      </c>
      <c r="L58" s="14" t="s">
        <v>119</v>
      </c>
      <c r="M58" s="16" t="s">
        <v>144</v>
      </c>
      <c r="N58" s="14">
        <v>25.43</v>
      </c>
      <c r="O58" s="14" t="s">
        <v>145</v>
      </c>
      <c r="P58" s="19" t="s">
        <v>297</v>
      </c>
      <c r="Q58" s="14" t="s">
        <v>50</v>
      </c>
      <c r="R58" s="14" t="s">
        <v>50</v>
      </c>
    </row>
    <row r="59" spans="1:18" ht="15.75">
      <c r="A59" s="14" t="s">
        <v>298</v>
      </c>
      <c r="B59" s="14" t="s">
        <v>299</v>
      </c>
      <c r="C59" s="14" t="s">
        <v>300</v>
      </c>
      <c r="D59" s="14" t="s">
        <v>299</v>
      </c>
      <c r="E59" s="14" t="s">
        <v>301</v>
      </c>
      <c r="F59" s="14" t="s">
        <v>223</v>
      </c>
      <c r="G59" s="14">
        <v>53</v>
      </c>
      <c r="H59" s="14">
        <v>6.56</v>
      </c>
      <c r="I59" s="15" t="s">
        <v>118</v>
      </c>
      <c r="J59" s="14">
        <v>552981402</v>
      </c>
      <c r="K59" s="14" t="s">
        <v>137</v>
      </c>
      <c r="L59" s="14" t="s">
        <v>119</v>
      </c>
      <c r="M59" s="16" t="s">
        <v>144</v>
      </c>
      <c r="N59" s="14">
        <v>20.84</v>
      </c>
      <c r="O59" s="14" t="s">
        <v>145</v>
      </c>
      <c r="P59" s="19" t="s">
        <v>302</v>
      </c>
      <c r="Q59" s="14" t="s">
        <v>303</v>
      </c>
      <c r="R59" s="14" t="s">
        <v>304</v>
      </c>
    </row>
    <row r="60" spans="1:18" ht="15.75">
      <c r="A60" s="14" t="s">
        <v>305</v>
      </c>
      <c r="B60" s="14" t="s">
        <v>299</v>
      </c>
      <c r="C60" s="14" t="s">
        <v>300</v>
      </c>
      <c r="D60" s="14" t="s">
        <v>299</v>
      </c>
      <c r="E60" s="14" t="s">
        <v>301</v>
      </c>
      <c r="F60" s="14" t="s">
        <v>223</v>
      </c>
      <c r="G60" s="14">
        <v>53</v>
      </c>
      <c r="H60" s="14">
        <v>6.56</v>
      </c>
      <c r="I60" s="15" t="s">
        <v>118</v>
      </c>
      <c r="J60" s="14">
        <v>548168066</v>
      </c>
      <c r="K60" s="14" t="s">
        <v>137</v>
      </c>
      <c r="L60" s="14" t="s">
        <v>119</v>
      </c>
      <c r="M60" s="16" t="s">
        <v>144</v>
      </c>
      <c r="N60" s="14">
        <v>25.98</v>
      </c>
      <c r="O60" s="14" t="s">
        <v>145</v>
      </c>
      <c r="P60" s="19" t="s">
        <v>306</v>
      </c>
      <c r="Q60" s="14" t="s">
        <v>307</v>
      </c>
      <c r="R60" s="14" t="s">
        <v>304</v>
      </c>
    </row>
    <row r="61" spans="1:18" ht="15.75">
      <c r="A61" s="14" t="s">
        <v>308</v>
      </c>
      <c r="B61" s="14" t="s">
        <v>299</v>
      </c>
      <c r="C61" s="14" t="s">
        <v>300</v>
      </c>
      <c r="D61" s="14" t="s">
        <v>299</v>
      </c>
      <c r="E61" s="14" t="s">
        <v>301</v>
      </c>
      <c r="F61" s="14" t="s">
        <v>223</v>
      </c>
      <c r="G61" s="14">
        <v>53</v>
      </c>
      <c r="H61" s="14">
        <v>6.56</v>
      </c>
      <c r="I61" s="15" t="s">
        <v>118</v>
      </c>
      <c r="J61" s="14">
        <v>564688106</v>
      </c>
      <c r="K61" s="14" t="s">
        <v>137</v>
      </c>
      <c r="L61" s="14" t="s">
        <v>119</v>
      </c>
      <c r="M61" s="16" t="s">
        <v>144</v>
      </c>
      <c r="N61" s="14">
        <v>26.5</v>
      </c>
      <c r="O61" s="14" t="s">
        <v>145</v>
      </c>
      <c r="P61" s="19" t="s">
        <v>309</v>
      </c>
      <c r="Q61" s="14" t="s">
        <v>310</v>
      </c>
      <c r="R61" s="14" t="s">
        <v>304</v>
      </c>
    </row>
    <row r="62" spans="1:18" ht="15.75">
      <c r="A62" s="14" t="s">
        <v>311</v>
      </c>
      <c r="B62" s="14" t="s">
        <v>299</v>
      </c>
      <c r="C62" s="14" t="s">
        <v>300</v>
      </c>
      <c r="D62" s="14" t="s">
        <v>299</v>
      </c>
      <c r="E62" s="14" t="s">
        <v>301</v>
      </c>
      <c r="F62" s="14" t="s">
        <v>223</v>
      </c>
      <c r="G62" s="14">
        <v>53</v>
      </c>
      <c r="H62" s="14">
        <v>6.56</v>
      </c>
      <c r="I62" s="15" t="s">
        <v>118</v>
      </c>
      <c r="J62" s="14">
        <v>570925136</v>
      </c>
      <c r="K62" s="14" t="s">
        <v>137</v>
      </c>
      <c r="L62" s="14" t="s">
        <v>119</v>
      </c>
      <c r="M62" s="16" t="s">
        <v>144</v>
      </c>
      <c r="N62" s="14">
        <v>27.05</v>
      </c>
      <c r="O62" s="14" t="s">
        <v>145</v>
      </c>
      <c r="P62" s="19" t="s">
        <v>312</v>
      </c>
      <c r="Q62" s="14" t="s">
        <v>313</v>
      </c>
      <c r="R62" s="14" t="s">
        <v>304</v>
      </c>
    </row>
    <row r="63" spans="1:18" ht="15.75">
      <c r="A63" s="14" t="s">
        <v>314</v>
      </c>
      <c r="B63" s="14" t="s">
        <v>299</v>
      </c>
      <c r="C63" s="14" t="s">
        <v>300</v>
      </c>
      <c r="D63" s="14" t="s">
        <v>299</v>
      </c>
      <c r="E63" s="14" t="s">
        <v>301</v>
      </c>
      <c r="F63" s="14" t="s">
        <v>223</v>
      </c>
      <c r="G63" s="14">
        <v>53</v>
      </c>
      <c r="H63" s="14">
        <v>6.56</v>
      </c>
      <c r="I63" s="15" t="s">
        <v>118</v>
      </c>
      <c r="J63" s="14">
        <v>538175074</v>
      </c>
      <c r="K63" s="14" t="s">
        <v>137</v>
      </c>
      <c r="L63" s="14" t="s">
        <v>119</v>
      </c>
      <c r="M63" s="16" t="s">
        <v>144</v>
      </c>
      <c r="N63" s="14">
        <v>25.46</v>
      </c>
      <c r="O63" s="14" t="s">
        <v>145</v>
      </c>
      <c r="P63" s="19" t="s">
        <v>315</v>
      </c>
      <c r="Q63" s="14" t="s">
        <v>316</v>
      </c>
      <c r="R63" s="14" t="s">
        <v>304</v>
      </c>
    </row>
    <row r="64" spans="1:18" ht="15.75">
      <c r="A64" s="14" t="s">
        <v>317</v>
      </c>
      <c r="B64" s="14" t="s">
        <v>50</v>
      </c>
      <c r="C64" s="14" t="s">
        <v>318</v>
      </c>
      <c r="D64" s="14" t="s">
        <v>319</v>
      </c>
      <c r="E64" s="14" t="s">
        <v>320</v>
      </c>
      <c r="F64" s="14" t="s">
        <v>136</v>
      </c>
      <c r="G64" s="14">
        <v>40.932538999999998</v>
      </c>
      <c r="H64" s="14">
        <v>80.580707000000004</v>
      </c>
      <c r="I64" s="15" t="s">
        <v>118</v>
      </c>
      <c r="J64" s="14">
        <v>573754088</v>
      </c>
      <c r="K64" s="14" t="s">
        <v>50</v>
      </c>
      <c r="L64" s="14" t="s">
        <v>119</v>
      </c>
      <c r="M64" s="16" t="s">
        <v>144</v>
      </c>
      <c r="N64" s="14">
        <v>28.19</v>
      </c>
      <c r="O64" s="14" t="s">
        <v>145</v>
      </c>
      <c r="P64" s="19" t="s">
        <v>321</v>
      </c>
      <c r="Q64" s="14" t="s">
        <v>322</v>
      </c>
      <c r="R64" s="14" t="s">
        <v>323</v>
      </c>
    </row>
    <row r="65" spans="1:18" ht="15.75">
      <c r="A65" s="14" t="s">
        <v>324</v>
      </c>
      <c r="B65" s="14" t="s">
        <v>319</v>
      </c>
      <c r="C65" s="14" t="s">
        <v>318</v>
      </c>
      <c r="D65" s="14" t="s">
        <v>319</v>
      </c>
      <c r="E65" s="14" t="s">
        <v>320</v>
      </c>
      <c r="F65" s="14" t="s">
        <v>136</v>
      </c>
      <c r="G65" s="14">
        <v>40.932538999999998</v>
      </c>
      <c r="H65" s="14">
        <v>80.580707000000004</v>
      </c>
      <c r="I65" s="15" t="s">
        <v>118</v>
      </c>
      <c r="J65" s="14">
        <v>534758382</v>
      </c>
      <c r="K65" s="14" t="s">
        <v>137</v>
      </c>
      <c r="L65" s="14" t="s">
        <v>119</v>
      </c>
      <c r="M65" s="16" t="s">
        <v>144</v>
      </c>
      <c r="N65" s="14">
        <v>26.29</v>
      </c>
      <c r="O65" s="14" t="s">
        <v>145</v>
      </c>
      <c r="P65" s="19" t="s">
        <v>325</v>
      </c>
      <c r="Q65" s="14" t="s">
        <v>326</v>
      </c>
      <c r="R65" s="14" t="s">
        <v>323</v>
      </c>
    </row>
    <row r="66" spans="1:18" ht="15.75">
      <c r="A66" s="14" t="s">
        <v>327</v>
      </c>
      <c r="B66" s="14" t="s">
        <v>319</v>
      </c>
      <c r="C66" s="14" t="s">
        <v>318</v>
      </c>
      <c r="D66" s="14" t="s">
        <v>319</v>
      </c>
      <c r="E66" s="14" t="s">
        <v>320</v>
      </c>
      <c r="F66" s="14" t="s">
        <v>136</v>
      </c>
      <c r="G66" s="14">
        <v>40.932538999999998</v>
      </c>
      <c r="H66" s="14">
        <v>80.580707000000004</v>
      </c>
      <c r="I66" s="15" t="s">
        <v>118</v>
      </c>
      <c r="J66" s="14">
        <v>592121900</v>
      </c>
      <c r="K66" s="14" t="s">
        <v>137</v>
      </c>
      <c r="L66" s="14" t="s">
        <v>119</v>
      </c>
      <c r="M66" s="16" t="s">
        <v>144</v>
      </c>
      <c r="N66" s="14">
        <v>28.69</v>
      </c>
      <c r="O66" s="14" t="s">
        <v>145</v>
      </c>
      <c r="P66" s="19" t="s">
        <v>328</v>
      </c>
      <c r="Q66" s="14" t="s">
        <v>329</v>
      </c>
      <c r="R66" s="14" t="s">
        <v>323</v>
      </c>
    </row>
    <row r="67" spans="1:18" ht="15.75">
      <c r="A67" s="14" t="s">
        <v>330</v>
      </c>
      <c r="B67" s="14" t="s">
        <v>319</v>
      </c>
      <c r="C67" s="14" t="s">
        <v>318</v>
      </c>
      <c r="D67" s="14" t="s">
        <v>319</v>
      </c>
      <c r="E67" s="14" t="s">
        <v>320</v>
      </c>
      <c r="F67" s="14" t="s">
        <v>136</v>
      </c>
      <c r="G67" s="14">
        <v>40.932538999999998</v>
      </c>
      <c r="H67" s="14">
        <v>80.580707000000004</v>
      </c>
      <c r="I67" s="15" t="s">
        <v>118</v>
      </c>
      <c r="J67" s="14">
        <v>577871460</v>
      </c>
      <c r="K67" s="14" t="s">
        <v>137</v>
      </c>
      <c r="L67" s="14" t="s">
        <v>119</v>
      </c>
      <c r="M67" s="16" t="s">
        <v>144</v>
      </c>
      <c r="N67" s="14">
        <v>28.56</v>
      </c>
      <c r="O67" s="14" t="s">
        <v>145</v>
      </c>
      <c r="P67" s="19" t="s">
        <v>331</v>
      </c>
      <c r="Q67" s="14" t="s">
        <v>332</v>
      </c>
      <c r="R67" s="14" t="s">
        <v>323</v>
      </c>
    </row>
    <row r="68" spans="1:18" ht="15.75">
      <c r="A68" s="14" t="s">
        <v>333</v>
      </c>
      <c r="B68" s="14" t="s">
        <v>319</v>
      </c>
      <c r="C68" s="14" t="s">
        <v>318</v>
      </c>
      <c r="D68" s="14" t="s">
        <v>319</v>
      </c>
      <c r="E68" s="14" t="s">
        <v>320</v>
      </c>
      <c r="F68" s="14" t="s">
        <v>136</v>
      </c>
      <c r="G68" s="14">
        <v>40.932538999999998</v>
      </c>
      <c r="H68" s="14">
        <v>80.580707000000004</v>
      </c>
      <c r="I68" s="15" t="s">
        <v>118</v>
      </c>
      <c r="J68" s="14">
        <v>636738994</v>
      </c>
      <c r="K68" s="14" t="s">
        <v>137</v>
      </c>
      <c r="L68" s="14" t="s">
        <v>119</v>
      </c>
      <c r="M68" s="16" t="s">
        <v>144</v>
      </c>
      <c r="N68" s="14">
        <v>31.35</v>
      </c>
      <c r="O68" s="14" t="s">
        <v>145</v>
      </c>
      <c r="P68" s="19" t="s">
        <v>334</v>
      </c>
      <c r="Q68" s="14" t="s">
        <v>335</v>
      </c>
      <c r="R68" s="14" t="s">
        <v>323</v>
      </c>
    </row>
    <row r="69" spans="1:18" ht="15.75">
      <c r="A69" s="14" t="s">
        <v>336</v>
      </c>
      <c r="B69" s="14" t="s">
        <v>319</v>
      </c>
      <c r="C69" s="14" t="s">
        <v>318</v>
      </c>
      <c r="D69" s="14" t="s">
        <v>319</v>
      </c>
      <c r="E69" s="14" t="s">
        <v>320</v>
      </c>
      <c r="F69" s="14" t="s">
        <v>136</v>
      </c>
      <c r="G69" s="14">
        <v>40.932538999999998</v>
      </c>
      <c r="H69" s="14">
        <v>80.580707000000004</v>
      </c>
      <c r="I69" s="15" t="s">
        <v>118</v>
      </c>
      <c r="J69" s="14">
        <v>524082510</v>
      </c>
      <c r="K69" s="14" t="s">
        <v>137</v>
      </c>
      <c r="L69" s="14" t="s">
        <v>119</v>
      </c>
      <c r="M69" s="16" t="s">
        <v>144</v>
      </c>
      <c r="N69" s="14">
        <v>25.63</v>
      </c>
      <c r="O69" s="14" t="s">
        <v>145</v>
      </c>
      <c r="P69" s="19" t="s">
        <v>337</v>
      </c>
      <c r="Q69" s="14" t="s">
        <v>338</v>
      </c>
      <c r="R69" s="14" t="s">
        <v>323</v>
      </c>
    </row>
    <row r="70" spans="1:18" ht="15.75">
      <c r="A70" s="14" t="s">
        <v>339</v>
      </c>
      <c r="B70" s="14" t="s">
        <v>50</v>
      </c>
      <c r="C70" s="14" t="s">
        <v>318</v>
      </c>
      <c r="D70" s="14" t="s">
        <v>319</v>
      </c>
      <c r="E70" s="14" t="s">
        <v>320</v>
      </c>
      <c r="F70" s="14" t="s">
        <v>136</v>
      </c>
      <c r="G70" s="14">
        <v>40.932538999999998</v>
      </c>
      <c r="H70" s="14">
        <v>80.580707000000004</v>
      </c>
      <c r="I70" s="15" t="s">
        <v>118</v>
      </c>
      <c r="J70" s="14">
        <v>527544574</v>
      </c>
      <c r="K70" s="14" t="s">
        <v>50</v>
      </c>
      <c r="L70" s="14" t="s">
        <v>119</v>
      </c>
      <c r="M70" s="16" t="s">
        <v>144</v>
      </c>
      <c r="N70" s="14">
        <v>25.66</v>
      </c>
      <c r="O70" s="14" t="s">
        <v>145</v>
      </c>
      <c r="P70" s="19" t="s">
        <v>340</v>
      </c>
      <c r="Q70" s="14" t="s">
        <v>341</v>
      </c>
      <c r="R70" s="14" t="s">
        <v>323</v>
      </c>
    </row>
    <row r="71" spans="1:18" ht="15.75">
      <c r="A71" s="14" t="s">
        <v>342</v>
      </c>
      <c r="B71" s="14" t="s">
        <v>50</v>
      </c>
      <c r="C71" s="14" t="s">
        <v>318</v>
      </c>
      <c r="D71" s="14" t="s">
        <v>319</v>
      </c>
      <c r="E71" s="14" t="s">
        <v>320</v>
      </c>
      <c r="F71" s="14" t="s">
        <v>136</v>
      </c>
      <c r="G71" s="14">
        <v>40.932538999999998</v>
      </c>
      <c r="H71" s="14">
        <v>80.580707000000004</v>
      </c>
      <c r="I71" s="15" t="s">
        <v>118</v>
      </c>
      <c r="J71" s="14">
        <v>527137642</v>
      </c>
      <c r="K71" s="14" t="s">
        <v>50</v>
      </c>
      <c r="L71" s="14" t="s">
        <v>119</v>
      </c>
      <c r="M71" s="16" t="s">
        <v>144</v>
      </c>
      <c r="N71" s="14">
        <v>25.14</v>
      </c>
      <c r="O71" s="14" t="s">
        <v>145</v>
      </c>
      <c r="P71" s="19" t="s">
        <v>343</v>
      </c>
      <c r="Q71" s="14" t="s">
        <v>344</v>
      </c>
      <c r="R71" s="14" t="s">
        <v>323</v>
      </c>
    </row>
    <row r="72" spans="1:18" ht="15.75">
      <c r="A72" s="14" t="s">
        <v>345</v>
      </c>
      <c r="B72" s="14" t="s">
        <v>50</v>
      </c>
      <c r="C72" s="14" t="s">
        <v>318</v>
      </c>
      <c r="D72" s="14" t="s">
        <v>319</v>
      </c>
      <c r="E72" s="14" t="s">
        <v>320</v>
      </c>
      <c r="F72" s="14" t="s">
        <v>136</v>
      </c>
      <c r="G72" s="14">
        <v>40.932538999999998</v>
      </c>
      <c r="H72" s="14">
        <v>80.580707000000004</v>
      </c>
      <c r="I72" s="15" t="s">
        <v>118</v>
      </c>
      <c r="J72" s="14">
        <v>551652756</v>
      </c>
      <c r="K72" s="14" t="s">
        <v>50</v>
      </c>
      <c r="L72" s="14" t="s">
        <v>119</v>
      </c>
      <c r="M72" s="16" t="s">
        <v>144</v>
      </c>
      <c r="N72" s="14">
        <v>26.37</v>
      </c>
      <c r="O72" s="14" t="s">
        <v>145</v>
      </c>
      <c r="P72" s="19" t="s">
        <v>346</v>
      </c>
      <c r="Q72" s="14" t="s">
        <v>347</v>
      </c>
      <c r="R72" s="14" t="s">
        <v>323</v>
      </c>
    </row>
    <row r="73" spans="1:18" ht="15.75">
      <c r="A73" s="14" t="s">
        <v>348</v>
      </c>
      <c r="B73" s="14" t="s">
        <v>50</v>
      </c>
      <c r="C73" s="14" t="s">
        <v>349</v>
      </c>
      <c r="D73" s="14" t="s">
        <v>350</v>
      </c>
      <c r="E73" s="14" t="s">
        <v>351</v>
      </c>
      <c r="F73" s="14" t="s">
        <v>223</v>
      </c>
      <c r="G73" s="14">
        <v>36.395859000000002</v>
      </c>
      <c r="H73" s="20">
        <v>118.769882</v>
      </c>
      <c r="I73" s="15" t="s">
        <v>118</v>
      </c>
      <c r="J73" s="14">
        <v>628669746</v>
      </c>
      <c r="K73" s="14" t="s">
        <v>50</v>
      </c>
      <c r="L73" s="14" t="s">
        <v>119</v>
      </c>
      <c r="M73" s="16" t="s">
        <v>144</v>
      </c>
      <c r="N73" s="14">
        <v>29.04</v>
      </c>
      <c r="O73" s="14" t="s">
        <v>145</v>
      </c>
      <c r="P73" s="19" t="s">
        <v>352</v>
      </c>
      <c r="Q73" s="14" t="s">
        <v>353</v>
      </c>
      <c r="R73" s="14" t="s">
        <v>50</v>
      </c>
    </row>
    <row r="74" spans="1:18" ht="15.75">
      <c r="A74" s="14" t="s">
        <v>354</v>
      </c>
      <c r="B74" s="14" t="s">
        <v>50</v>
      </c>
      <c r="C74" s="14" t="s">
        <v>349</v>
      </c>
      <c r="D74" s="14" t="s">
        <v>350</v>
      </c>
      <c r="E74" s="14" t="s">
        <v>351</v>
      </c>
      <c r="F74" s="14" t="s">
        <v>223</v>
      </c>
      <c r="G74" s="14">
        <v>36.395859000000002</v>
      </c>
      <c r="H74" s="20">
        <v>118.769882</v>
      </c>
      <c r="I74" s="15" t="s">
        <v>118</v>
      </c>
      <c r="J74" s="14">
        <v>539319928</v>
      </c>
      <c r="K74" s="14" t="s">
        <v>50</v>
      </c>
      <c r="L74" s="14" t="s">
        <v>119</v>
      </c>
      <c r="M74" s="16" t="s">
        <v>144</v>
      </c>
      <c r="N74" s="14">
        <v>25.57</v>
      </c>
      <c r="O74" s="14" t="s">
        <v>145</v>
      </c>
      <c r="P74" s="19" t="s">
        <v>355</v>
      </c>
      <c r="Q74" s="14" t="s">
        <v>356</v>
      </c>
      <c r="R74" s="14" t="s">
        <v>50</v>
      </c>
    </row>
    <row r="75" spans="1:18" ht="15.75">
      <c r="A75" s="14" t="s">
        <v>357</v>
      </c>
      <c r="B75" s="14" t="s">
        <v>50</v>
      </c>
      <c r="C75" s="14" t="s">
        <v>349</v>
      </c>
      <c r="D75" s="14" t="s">
        <v>350</v>
      </c>
      <c r="E75" s="14" t="s">
        <v>351</v>
      </c>
      <c r="F75" s="14" t="s">
        <v>223</v>
      </c>
      <c r="G75" s="14">
        <v>36.395859000000002</v>
      </c>
      <c r="H75" s="20">
        <v>118.769882</v>
      </c>
      <c r="I75" s="15" t="s">
        <v>118</v>
      </c>
      <c r="J75" s="14">
        <v>582152952</v>
      </c>
      <c r="K75" s="14" t="s">
        <v>50</v>
      </c>
      <c r="L75" s="14" t="s">
        <v>119</v>
      </c>
      <c r="M75" s="16" t="s">
        <v>144</v>
      </c>
      <c r="N75" s="14">
        <v>27.65</v>
      </c>
      <c r="O75" s="14" t="s">
        <v>145</v>
      </c>
      <c r="P75" s="19" t="s">
        <v>358</v>
      </c>
      <c r="Q75" s="14" t="s">
        <v>359</v>
      </c>
      <c r="R75" s="14" t="s">
        <v>50</v>
      </c>
    </row>
    <row r="76" spans="1:18" ht="15.75">
      <c r="A76" s="14" t="s">
        <v>360</v>
      </c>
      <c r="B76" s="14" t="s">
        <v>50</v>
      </c>
      <c r="C76" s="14" t="s">
        <v>349</v>
      </c>
      <c r="D76" s="14" t="s">
        <v>350</v>
      </c>
      <c r="E76" s="14" t="s">
        <v>351</v>
      </c>
      <c r="F76" s="14" t="s">
        <v>223</v>
      </c>
      <c r="G76" s="14">
        <v>36.395859000000002</v>
      </c>
      <c r="H76" s="20">
        <v>118.769882</v>
      </c>
      <c r="I76" s="15" t="s">
        <v>118</v>
      </c>
      <c r="J76" s="14">
        <v>552310586</v>
      </c>
      <c r="K76" s="14" t="s">
        <v>50</v>
      </c>
      <c r="L76" s="14" t="s">
        <v>119</v>
      </c>
      <c r="M76" s="16" t="s">
        <v>144</v>
      </c>
      <c r="N76" s="14">
        <v>25.33</v>
      </c>
      <c r="O76" s="14" t="s">
        <v>145</v>
      </c>
      <c r="P76" s="19" t="s">
        <v>361</v>
      </c>
      <c r="Q76" s="14" t="s">
        <v>362</v>
      </c>
      <c r="R76" s="14" t="s">
        <v>50</v>
      </c>
    </row>
    <row r="77" spans="1:18" ht="15.75">
      <c r="A77" s="14" t="s">
        <v>363</v>
      </c>
      <c r="B77" s="14" t="s">
        <v>50</v>
      </c>
      <c r="C77" s="14" t="s">
        <v>349</v>
      </c>
      <c r="D77" s="14" t="s">
        <v>350</v>
      </c>
      <c r="E77" s="14" t="s">
        <v>351</v>
      </c>
      <c r="F77" s="14" t="s">
        <v>223</v>
      </c>
      <c r="G77" s="14">
        <v>36.395859000000002</v>
      </c>
      <c r="H77" s="20">
        <v>118.769882</v>
      </c>
      <c r="I77" s="15" t="s">
        <v>118</v>
      </c>
      <c r="J77" s="14">
        <v>567818550</v>
      </c>
      <c r="K77" s="14" t="s">
        <v>50</v>
      </c>
      <c r="L77" s="14" t="s">
        <v>119</v>
      </c>
      <c r="M77" s="16" t="s">
        <v>144</v>
      </c>
      <c r="N77" s="14">
        <v>26.86</v>
      </c>
      <c r="O77" s="14" t="s">
        <v>145</v>
      </c>
      <c r="P77" s="19" t="s">
        <v>364</v>
      </c>
      <c r="Q77" s="14" t="s">
        <v>365</v>
      </c>
      <c r="R77" s="14" t="s">
        <v>50</v>
      </c>
    </row>
    <row r="78" spans="1:18" ht="15.75">
      <c r="A78" s="14" t="s">
        <v>366</v>
      </c>
      <c r="B78" s="14" t="s">
        <v>50</v>
      </c>
      <c r="C78" s="14" t="s">
        <v>349</v>
      </c>
      <c r="D78" s="14" t="s">
        <v>350</v>
      </c>
      <c r="E78" s="14" t="s">
        <v>351</v>
      </c>
      <c r="F78" s="14" t="s">
        <v>223</v>
      </c>
      <c r="G78" s="14">
        <v>36.395859000000002</v>
      </c>
      <c r="H78" s="20">
        <v>118.769882</v>
      </c>
      <c r="I78" s="15" t="s">
        <v>118</v>
      </c>
      <c r="J78" s="14">
        <v>524344966</v>
      </c>
      <c r="K78" s="14" t="s">
        <v>50</v>
      </c>
      <c r="L78" s="14" t="s">
        <v>119</v>
      </c>
      <c r="M78" s="16" t="s">
        <v>144</v>
      </c>
      <c r="N78" s="14">
        <v>24.62</v>
      </c>
      <c r="O78" s="14" t="s">
        <v>145</v>
      </c>
      <c r="P78" s="19" t="s">
        <v>367</v>
      </c>
      <c r="Q78" s="14" t="s">
        <v>368</v>
      </c>
      <c r="R78" s="14" t="s">
        <v>50</v>
      </c>
    </row>
    <row r="79" spans="1:18" ht="15.75">
      <c r="A79" s="14" t="s">
        <v>369</v>
      </c>
      <c r="B79" s="14" t="s">
        <v>50</v>
      </c>
      <c r="C79" s="14" t="s">
        <v>349</v>
      </c>
      <c r="D79" s="14" t="s">
        <v>350</v>
      </c>
      <c r="E79" s="14" t="s">
        <v>351</v>
      </c>
      <c r="F79" s="14" t="s">
        <v>223</v>
      </c>
      <c r="G79" s="14">
        <v>36.395859000000002</v>
      </c>
      <c r="H79" s="20">
        <v>118.769882</v>
      </c>
      <c r="I79" s="15" t="s">
        <v>118</v>
      </c>
      <c r="J79" s="14">
        <v>549132510</v>
      </c>
      <c r="K79" s="14" t="s">
        <v>50</v>
      </c>
      <c r="L79" s="14" t="s">
        <v>119</v>
      </c>
      <c r="M79" s="16" t="s">
        <v>144</v>
      </c>
      <c r="N79" s="14">
        <v>25.4</v>
      </c>
      <c r="O79" s="14" t="s">
        <v>145</v>
      </c>
      <c r="P79" s="19" t="s">
        <v>370</v>
      </c>
      <c r="Q79" s="14" t="s">
        <v>371</v>
      </c>
      <c r="R79" s="14" t="s">
        <v>50</v>
      </c>
    </row>
    <row r="80" spans="1:18" ht="15.75">
      <c r="A80" s="14" t="s">
        <v>372</v>
      </c>
      <c r="B80" s="14" t="s">
        <v>50</v>
      </c>
      <c r="C80" s="14" t="s">
        <v>349</v>
      </c>
      <c r="D80" s="14" t="s">
        <v>350</v>
      </c>
      <c r="E80" s="14" t="s">
        <v>351</v>
      </c>
      <c r="F80" s="14" t="s">
        <v>223</v>
      </c>
      <c r="G80" s="14">
        <v>36.395859000000002</v>
      </c>
      <c r="H80" s="20">
        <v>118.769882</v>
      </c>
      <c r="I80" s="15" t="s">
        <v>118</v>
      </c>
      <c r="J80" s="14">
        <v>534819868</v>
      </c>
      <c r="K80" s="14" t="s">
        <v>50</v>
      </c>
      <c r="L80" s="14" t="s">
        <v>119</v>
      </c>
      <c r="M80" s="16" t="s">
        <v>144</v>
      </c>
      <c r="N80" s="14">
        <v>24.85</v>
      </c>
      <c r="O80" s="14" t="s">
        <v>145</v>
      </c>
      <c r="P80" s="19" t="s">
        <v>373</v>
      </c>
      <c r="Q80" s="14" t="s">
        <v>374</v>
      </c>
      <c r="R80" s="14" t="s">
        <v>50</v>
      </c>
    </row>
    <row r="81" spans="1:18" ht="15.75">
      <c r="A81" s="14" t="s">
        <v>375</v>
      </c>
      <c r="B81" s="14" t="s">
        <v>50</v>
      </c>
      <c r="C81" s="14" t="s">
        <v>349</v>
      </c>
      <c r="D81" s="14" t="s">
        <v>350</v>
      </c>
      <c r="E81" s="14" t="s">
        <v>351</v>
      </c>
      <c r="F81" s="14" t="s">
        <v>223</v>
      </c>
      <c r="G81" s="14">
        <v>36.395859000000002</v>
      </c>
      <c r="H81" s="20">
        <v>118.769882</v>
      </c>
      <c r="I81" s="15" t="s">
        <v>118</v>
      </c>
      <c r="J81" s="14">
        <v>623745384</v>
      </c>
      <c r="K81" s="14" t="s">
        <v>50</v>
      </c>
      <c r="L81" s="14" t="s">
        <v>119</v>
      </c>
      <c r="M81" s="16" t="s">
        <v>144</v>
      </c>
      <c r="N81" s="14">
        <v>28.46</v>
      </c>
      <c r="O81" s="14" t="s">
        <v>145</v>
      </c>
      <c r="P81" s="19" t="s">
        <v>376</v>
      </c>
      <c r="Q81" s="14" t="s">
        <v>377</v>
      </c>
      <c r="R81" s="14" t="s">
        <v>50</v>
      </c>
    </row>
    <row r="82" spans="1:18" ht="15.75">
      <c r="A82" s="14" t="s">
        <v>378</v>
      </c>
      <c r="B82" s="14" t="s">
        <v>50</v>
      </c>
      <c r="C82" s="14" t="s">
        <v>349</v>
      </c>
      <c r="D82" s="14" t="s">
        <v>350</v>
      </c>
      <c r="E82" s="14" t="s">
        <v>351</v>
      </c>
      <c r="F82" s="14" t="s">
        <v>223</v>
      </c>
      <c r="G82" s="14">
        <v>36.395859000000002</v>
      </c>
      <c r="H82" s="20">
        <v>118.769882</v>
      </c>
      <c r="I82" s="15" t="s">
        <v>118</v>
      </c>
      <c r="J82" s="14">
        <v>561116650</v>
      </c>
      <c r="K82" s="14" t="s">
        <v>50</v>
      </c>
      <c r="L82" s="14" t="s">
        <v>119</v>
      </c>
      <c r="M82" s="16" t="s">
        <v>144</v>
      </c>
      <c r="N82" s="14">
        <v>25.88</v>
      </c>
      <c r="O82" s="14" t="s">
        <v>145</v>
      </c>
      <c r="P82" s="19" t="s">
        <v>379</v>
      </c>
      <c r="Q82" s="14" t="s">
        <v>380</v>
      </c>
      <c r="R82" s="14" t="s">
        <v>50</v>
      </c>
    </row>
    <row r="83" spans="1:18" ht="15.75">
      <c r="A83" s="14" t="s">
        <v>381</v>
      </c>
      <c r="B83" s="14" t="s">
        <v>382</v>
      </c>
      <c r="C83" s="14" t="s">
        <v>383</v>
      </c>
      <c r="D83" s="14" t="s">
        <v>50</v>
      </c>
      <c r="E83" s="14" t="s">
        <v>384</v>
      </c>
      <c r="F83" s="14" t="s">
        <v>223</v>
      </c>
      <c r="G83" s="14">
        <v>62.09</v>
      </c>
      <c r="H83" s="14">
        <v>5.79</v>
      </c>
      <c r="I83" s="15" t="s">
        <v>118</v>
      </c>
      <c r="J83" s="14">
        <v>470735442</v>
      </c>
      <c r="K83" s="14" t="s">
        <v>137</v>
      </c>
      <c r="L83" s="14" t="s">
        <v>50</v>
      </c>
      <c r="M83" s="16" t="s">
        <v>138</v>
      </c>
      <c r="N83" s="14">
        <v>8.93</v>
      </c>
      <c r="O83" s="14" t="s">
        <v>139</v>
      </c>
      <c r="P83" s="19" t="s">
        <v>385</v>
      </c>
      <c r="Q83" s="14" t="s">
        <v>50</v>
      </c>
      <c r="R83" s="14" t="s">
        <v>183</v>
      </c>
    </row>
    <row r="84" spans="1:18" ht="15.75">
      <c r="A84" s="14" t="s">
        <v>386</v>
      </c>
      <c r="B84" s="14" t="s">
        <v>382</v>
      </c>
      <c r="C84" s="14" t="s">
        <v>383</v>
      </c>
      <c r="D84" s="14" t="s">
        <v>50</v>
      </c>
      <c r="E84" s="14" t="s">
        <v>384</v>
      </c>
      <c r="F84" s="14" t="s">
        <v>223</v>
      </c>
      <c r="G84" s="14">
        <v>62.09</v>
      </c>
      <c r="H84" s="14">
        <v>5.79</v>
      </c>
      <c r="I84" s="15" t="s">
        <v>118</v>
      </c>
      <c r="J84" s="14">
        <v>424052090</v>
      </c>
      <c r="K84" s="14" t="s">
        <v>137</v>
      </c>
      <c r="L84" s="14" t="s">
        <v>50</v>
      </c>
      <c r="M84" s="16" t="s">
        <v>138</v>
      </c>
      <c r="N84" s="14">
        <v>8.7100000000000009</v>
      </c>
      <c r="O84" s="14" t="s">
        <v>139</v>
      </c>
      <c r="P84" s="19" t="s">
        <v>387</v>
      </c>
      <c r="Q84" s="14" t="s">
        <v>50</v>
      </c>
      <c r="R84" s="14" t="s">
        <v>183</v>
      </c>
    </row>
    <row r="85" spans="1:18" ht="15.75">
      <c r="A85" s="14" t="s">
        <v>388</v>
      </c>
      <c r="B85" s="14" t="s">
        <v>382</v>
      </c>
      <c r="C85" s="14" t="s">
        <v>383</v>
      </c>
      <c r="D85" s="14" t="s">
        <v>50</v>
      </c>
      <c r="E85" s="14" t="s">
        <v>384</v>
      </c>
      <c r="F85" s="14" t="s">
        <v>223</v>
      </c>
      <c r="G85" s="14">
        <v>62.09</v>
      </c>
      <c r="H85" s="14">
        <v>5.79</v>
      </c>
      <c r="I85" s="15" t="s">
        <v>118</v>
      </c>
      <c r="J85" s="14">
        <v>489934828</v>
      </c>
      <c r="K85" s="14" t="s">
        <v>137</v>
      </c>
      <c r="L85" s="14" t="s">
        <v>50</v>
      </c>
      <c r="M85" s="16" t="s">
        <v>138</v>
      </c>
      <c r="N85" s="14">
        <v>9.65</v>
      </c>
      <c r="O85" s="14" t="s">
        <v>139</v>
      </c>
      <c r="P85" s="19" t="s">
        <v>389</v>
      </c>
      <c r="Q85" s="14" t="s">
        <v>50</v>
      </c>
      <c r="R85" s="14" t="s">
        <v>183</v>
      </c>
    </row>
    <row r="86" spans="1:18" ht="15.75">
      <c r="A86" s="14" t="s">
        <v>390</v>
      </c>
      <c r="B86" s="14" t="s">
        <v>391</v>
      </c>
      <c r="C86" s="14" t="s">
        <v>392</v>
      </c>
      <c r="D86" s="14" t="s">
        <v>391</v>
      </c>
      <c r="E86" s="14" t="s">
        <v>393</v>
      </c>
      <c r="F86" s="14" t="s">
        <v>223</v>
      </c>
      <c r="G86" s="14" t="s">
        <v>50</v>
      </c>
      <c r="H86" s="14" t="s">
        <v>50</v>
      </c>
      <c r="I86" s="15" t="s">
        <v>118</v>
      </c>
      <c r="J86" s="14">
        <v>294230754</v>
      </c>
      <c r="K86" s="14" t="s">
        <v>50</v>
      </c>
      <c r="L86" s="14" t="s">
        <v>119</v>
      </c>
      <c r="M86" s="16" t="s">
        <v>120</v>
      </c>
      <c r="N86" s="14">
        <v>4.7603799999999996</v>
      </c>
      <c r="O86" s="14" t="s">
        <v>121</v>
      </c>
      <c r="P86" s="14" t="s">
        <v>50</v>
      </c>
      <c r="Q86" s="14" t="s">
        <v>394</v>
      </c>
      <c r="R86" s="14" t="s">
        <v>50</v>
      </c>
    </row>
    <row r="87" spans="1:18" ht="15.75">
      <c r="A87" s="14" t="s">
        <v>395</v>
      </c>
      <c r="B87" s="14" t="s">
        <v>391</v>
      </c>
      <c r="C87" s="14" t="s">
        <v>392</v>
      </c>
      <c r="D87" s="14" t="s">
        <v>391</v>
      </c>
      <c r="E87" s="14" t="s">
        <v>393</v>
      </c>
      <c r="F87" s="14" t="s">
        <v>223</v>
      </c>
      <c r="G87" s="14" t="s">
        <v>50</v>
      </c>
      <c r="H87" s="14" t="s">
        <v>50</v>
      </c>
      <c r="I87" s="15" t="s">
        <v>118</v>
      </c>
      <c r="J87" s="14">
        <v>332474648</v>
      </c>
      <c r="K87" s="14" t="s">
        <v>50</v>
      </c>
      <c r="L87" s="14" t="s">
        <v>119</v>
      </c>
      <c r="M87" s="16" t="s">
        <v>120</v>
      </c>
      <c r="N87" s="14">
        <v>5.4052800000000003</v>
      </c>
      <c r="O87" s="14" t="s">
        <v>121</v>
      </c>
      <c r="P87" s="14" t="s">
        <v>50</v>
      </c>
      <c r="Q87" s="14" t="s">
        <v>396</v>
      </c>
      <c r="R87" s="14" t="s">
        <v>50</v>
      </c>
    </row>
    <row r="88" spans="1:18" ht="15.75">
      <c r="A88" s="14" t="s">
        <v>397</v>
      </c>
      <c r="B88" s="14" t="s">
        <v>391</v>
      </c>
      <c r="C88" s="14" t="s">
        <v>392</v>
      </c>
      <c r="D88" s="14" t="s">
        <v>391</v>
      </c>
      <c r="E88" s="14" t="s">
        <v>393</v>
      </c>
      <c r="F88" s="14" t="s">
        <v>223</v>
      </c>
      <c r="G88" s="14">
        <v>68.151779000000005</v>
      </c>
      <c r="H88" s="14">
        <v>25.816216000000001</v>
      </c>
      <c r="I88" s="15" t="s">
        <v>118</v>
      </c>
      <c r="J88" s="14">
        <v>565384726</v>
      </c>
      <c r="K88" s="14" t="s">
        <v>184</v>
      </c>
      <c r="L88" s="14" t="s">
        <v>119</v>
      </c>
      <c r="M88" s="16" t="s">
        <v>144</v>
      </c>
      <c r="N88" s="14">
        <v>26.82</v>
      </c>
      <c r="O88" s="14" t="s">
        <v>145</v>
      </c>
      <c r="P88" s="19" t="s">
        <v>398</v>
      </c>
      <c r="Q88" s="14" t="s">
        <v>399</v>
      </c>
      <c r="R88" s="14" t="s">
        <v>186</v>
      </c>
    </row>
    <row r="89" spans="1:18" ht="15.75">
      <c r="A89" s="14" t="s">
        <v>400</v>
      </c>
      <c r="B89" s="14" t="s">
        <v>391</v>
      </c>
      <c r="C89" s="14" t="s">
        <v>392</v>
      </c>
      <c r="D89" s="14" t="s">
        <v>391</v>
      </c>
      <c r="E89" s="14" t="s">
        <v>393</v>
      </c>
      <c r="F89" s="14" t="s">
        <v>223</v>
      </c>
      <c r="G89" s="14">
        <v>68.151779000000005</v>
      </c>
      <c r="H89" s="14">
        <v>25.816216000000001</v>
      </c>
      <c r="I89" s="15" t="s">
        <v>118</v>
      </c>
      <c r="J89" s="14">
        <v>563916076</v>
      </c>
      <c r="K89" s="14" t="s">
        <v>184</v>
      </c>
      <c r="L89" s="14" t="s">
        <v>119</v>
      </c>
      <c r="M89" s="16" t="s">
        <v>144</v>
      </c>
      <c r="N89" s="14">
        <v>26.6</v>
      </c>
      <c r="O89" s="14" t="s">
        <v>145</v>
      </c>
      <c r="P89" s="19" t="s">
        <v>401</v>
      </c>
      <c r="Q89" s="14" t="s">
        <v>402</v>
      </c>
      <c r="R89" s="14" t="s">
        <v>186</v>
      </c>
    </row>
    <row r="90" spans="1:18" ht="15.75">
      <c r="A90" s="14" t="s">
        <v>403</v>
      </c>
      <c r="B90" s="14" t="s">
        <v>391</v>
      </c>
      <c r="C90" s="14" t="s">
        <v>392</v>
      </c>
      <c r="D90" s="14" t="s">
        <v>391</v>
      </c>
      <c r="E90" s="14" t="s">
        <v>393</v>
      </c>
      <c r="F90" s="14" t="s">
        <v>223</v>
      </c>
      <c r="G90" s="14">
        <v>68.151779000000005</v>
      </c>
      <c r="H90" s="14">
        <v>25.816216000000001</v>
      </c>
      <c r="I90" s="15" t="s">
        <v>118</v>
      </c>
      <c r="J90" s="14">
        <v>544061842</v>
      </c>
      <c r="K90" s="14" t="s">
        <v>184</v>
      </c>
      <c r="L90" s="14" t="s">
        <v>119</v>
      </c>
      <c r="M90" s="16" t="s">
        <v>144</v>
      </c>
      <c r="N90" s="14">
        <v>26.03</v>
      </c>
      <c r="O90" s="14" t="s">
        <v>145</v>
      </c>
      <c r="P90" s="19" t="s">
        <v>404</v>
      </c>
      <c r="Q90" s="14" t="s">
        <v>405</v>
      </c>
      <c r="R90" s="14" t="s">
        <v>186</v>
      </c>
    </row>
    <row r="91" spans="1:18" ht="15.75">
      <c r="A91" s="14" t="s">
        <v>406</v>
      </c>
      <c r="B91" s="14" t="s">
        <v>391</v>
      </c>
      <c r="C91" s="14" t="s">
        <v>392</v>
      </c>
      <c r="D91" s="14" t="s">
        <v>391</v>
      </c>
      <c r="E91" s="14" t="s">
        <v>393</v>
      </c>
      <c r="F91" s="14" t="s">
        <v>223</v>
      </c>
      <c r="G91" s="14">
        <v>68.151779000000005</v>
      </c>
      <c r="H91" s="14">
        <v>25.816216000000001</v>
      </c>
      <c r="I91" s="15" t="s">
        <v>118</v>
      </c>
      <c r="J91" s="14">
        <v>638755812</v>
      </c>
      <c r="K91" s="14" t="s">
        <v>184</v>
      </c>
      <c r="L91" s="14" t="s">
        <v>119</v>
      </c>
      <c r="M91" s="16" t="s">
        <v>144</v>
      </c>
      <c r="N91" s="14">
        <v>30.48</v>
      </c>
      <c r="O91" s="14" t="s">
        <v>145</v>
      </c>
      <c r="P91" s="19" t="s">
        <v>407</v>
      </c>
      <c r="Q91" s="14" t="s">
        <v>408</v>
      </c>
      <c r="R91" s="14" t="s">
        <v>186</v>
      </c>
    </row>
    <row r="92" spans="1:18" ht="15.75">
      <c r="A92" s="14" t="s">
        <v>409</v>
      </c>
      <c r="B92" s="14" t="s">
        <v>391</v>
      </c>
      <c r="C92" s="14" t="s">
        <v>392</v>
      </c>
      <c r="D92" s="14" t="s">
        <v>391</v>
      </c>
      <c r="E92" s="14" t="s">
        <v>393</v>
      </c>
      <c r="F92" s="14" t="s">
        <v>223</v>
      </c>
      <c r="G92" s="14">
        <v>68.151779000000005</v>
      </c>
      <c r="H92" s="14">
        <v>25.816216000000001</v>
      </c>
      <c r="I92" s="15" t="s">
        <v>118</v>
      </c>
      <c r="J92" s="14">
        <v>519966030</v>
      </c>
      <c r="K92" s="14" t="s">
        <v>184</v>
      </c>
      <c r="L92" s="14" t="s">
        <v>119</v>
      </c>
      <c r="M92" s="16" t="s">
        <v>144</v>
      </c>
      <c r="N92" s="14">
        <v>24.73</v>
      </c>
      <c r="O92" s="14" t="s">
        <v>145</v>
      </c>
      <c r="P92" s="19" t="s">
        <v>410</v>
      </c>
      <c r="Q92" s="14" t="s">
        <v>411</v>
      </c>
      <c r="R92" s="14" t="s">
        <v>186</v>
      </c>
    </row>
    <row r="93" spans="1:18" ht="15.75">
      <c r="A93" s="14" t="s">
        <v>412</v>
      </c>
      <c r="B93" s="14" t="s">
        <v>391</v>
      </c>
      <c r="C93" s="14" t="s">
        <v>392</v>
      </c>
      <c r="D93" s="14" t="s">
        <v>391</v>
      </c>
      <c r="E93" s="14" t="s">
        <v>393</v>
      </c>
      <c r="F93" s="14" t="s">
        <v>223</v>
      </c>
      <c r="G93" s="14">
        <v>68.151779000000005</v>
      </c>
      <c r="H93" s="14">
        <v>25.816216000000001</v>
      </c>
      <c r="I93" s="15" t="s">
        <v>118</v>
      </c>
      <c r="J93" s="14">
        <v>602566288</v>
      </c>
      <c r="K93" s="14" t="s">
        <v>184</v>
      </c>
      <c r="L93" s="14" t="s">
        <v>119</v>
      </c>
      <c r="M93" s="16" t="s">
        <v>144</v>
      </c>
      <c r="N93" s="14">
        <v>28.81</v>
      </c>
      <c r="O93" s="14" t="s">
        <v>145</v>
      </c>
      <c r="P93" s="19" t="s">
        <v>413</v>
      </c>
      <c r="Q93" s="14" t="s">
        <v>414</v>
      </c>
      <c r="R93" s="14" t="s">
        <v>186</v>
      </c>
    </row>
    <row r="94" spans="1:18" ht="15.75">
      <c r="A94" s="14" t="s">
        <v>415</v>
      </c>
      <c r="B94" s="14" t="s">
        <v>391</v>
      </c>
      <c r="C94" s="14" t="s">
        <v>392</v>
      </c>
      <c r="D94" s="14" t="s">
        <v>391</v>
      </c>
      <c r="E94" s="14" t="s">
        <v>393</v>
      </c>
      <c r="F94" s="14" t="s">
        <v>223</v>
      </c>
      <c r="G94" s="14">
        <v>68.151779000000005</v>
      </c>
      <c r="H94" s="14">
        <v>25.816216000000001</v>
      </c>
      <c r="I94" s="15" t="s">
        <v>118</v>
      </c>
      <c r="J94" s="14">
        <v>602036988</v>
      </c>
      <c r="K94" s="14" t="s">
        <v>184</v>
      </c>
      <c r="L94" s="14" t="s">
        <v>119</v>
      </c>
      <c r="M94" s="16" t="s">
        <v>144</v>
      </c>
      <c r="N94" s="14">
        <v>28.82</v>
      </c>
      <c r="O94" s="14" t="s">
        <v>145</v>
      </c>
      <c r="P94" s="19" t="s">
        <v>416</v>
      </c>
      <c r="Q94" s="14" t="s">
        <v>417</v>
      </c>
      <c r="R94" s="14" t="s">
        <v>186</v>
      </c>
    </row>
    <row r="95" spans="1:18" ht="15.75">
      <c r="A95" s="14" t="s">
        <v>418</v>
      </c>
      <c r="B95" s="14" t="s">
        <v>391</v>
      </c>
      <c r="C95" s="14" t="s">
        <v>392</v>
      </c>
      <c r="D95" s="14" t="s">
        <v>391</v>
      </c>
      <c r="E95" s="14" t="s">
        <v>393</v>
      </c>
      <c r="F95" s="14" t="s">
        <v>223</v>
      </c>
      <c r="G95" s="14">
        <v>68.151779000000005</v>
      </c>
      <c r="H95" s="14">
        <v>25.816216000000001</v>
      </c>
      <c r="I95" s="15" t="s">
        <v>118</v>
      </c>
      <c r="J95" s="14">
        <v>565770436</v>
      </c>
      <c r="K95" s="14" t="s">
        <v>184</v>
      </c>
      <c r="L95" s="14" t="s">
        <v>119</v>
      </c>
      <c r="M95" s="16" t="s">
        <v>144</v>
      </c>
      <c r="N95" s="14">
        <v>27.21</v>
      </c>
      <c r="O95" s="14" t="s">
        <v>145</v>
      </c>
      <c r="P95" s="19" t="s">
        <v>419</v>
      </c>
      <c r="Q95" s="14" t="s">
        <v>420</v>
      </c>
      <c r="R95" s="14" t="s">
        <v>186</v>
      </c>
    </row>
    <row r="96" spans="1:18" ht="15.75">
      <c r="A96" s="14" t="s">
        <v>421</v>
      </c>
      <c r="B96" s="14" t="s">
        <v>391</v>
      </c>
      <c r="C96" s="14" t="s">
        <v>392</v>
      </c>
      <c r="D96" s="14" t="s">
        <v>391</v>
      </c>
      <c r="E96" s="14" t="s">
        <v>393</v>
      </c>
      <c r="F96" s="14" t="s">
        <v>223</v>
      </c>
      <c r="G96" s="14">
        <v>68.151779000000005</v>
      </c>
      <c r="H96" s="14">
        <v>25.816216000000001</v>
      </c>
      <c r="I96" s="15" t="s">
        <v>118</v>
      </c>
      <c r="J96" s="14">
        <v>532403998</v>
      </c>
      <c r="K96" s="14" t="s">
        <v>184</v>
      </c>
      <c r="L96" s="14" t="s">
        <v>119</v>
      </c>
      <c r="M96" s="16" t="s">
        <v>144</v>
      </c>
      <c r="N96" s="14">
        <v>25.64</v>
      </c>
      <c r="O96" s="14" t="s">
        <v>145</v>
      </c>
      <c r="P96" s="19" t="s">
        <v>422</v>
      </c>
      <c r="Q96" s="14" t="s">
        <v>423</v>
      </c>
      <c r="R96" s="14" t="s">
        <v>186</v>
      </c>
    </row>
    <row r="97" spans="1:18" ht="15.75">
      <c r="A97" s="14" t="s">
        <v>424</v>
      </c>
      <c r="B97" s="14" t="s">
        <v>391</v>
      </c>
      <c r="C97" s="14" t="s">
        <v>392</v>
      </c>
      <c r="D97" s="14" t="s">
        <v>391</v>
      </c>
      <c r="E97" s="14" t="s">
        <v>393</v>
      </c>
      <c r="F97" s="14" t="s">
        <v>223</v>
      </c>
      <c r="G97" s="14">
        <v>68.151779000000005</v>
      </c>
      <c r="H97" s="14">
        <v>25.816216000000001</v>
      </c>
      <c r="I97" s="15" t="s">
        <v>118</v>
      </c>
      <c r="J97" s="14">
        <v>600487082</v>
      </c>
      <c r="K97" s="14" t="s">
        <v>184</v>
      </c>
      <c r="L97" s="14" t="s">
        <v>119</v>
      </c>
      <c r="M97" s="16" t="s">
        <v>144</v>
      </c>
      <c r="N97" s="14">
        <v>28.87</v>
      </c>
      <c r="O97" s="14" t="s">
        <v>145</v>
      </c>
      <c r="P97" s="19" t="s">
        <v>425</v>
      </c>
      <c r="Q97" s="14" t="s">
        <v>426</v>
      </c>
      <c r="R97" s="14" t="s">
        <v>186</v>
      </c>
    </row>
    <row r="98" spans="1:18" ht="15.75">
      <c r="A98" s="14" t="s">
        <v>427</v>
      </c>
      <c r="B98" s="14" t="s">
        <v>428</v>
      </c>
      <c r="C98" s="14" t="s">
        <v>429</v>
      </c>
      <c r="D98" s="14" t="s">
        <v>428</v>
      </c>
      <c r="E98" s="14" t="s">
        <v>430</v>
      </c>
      <c r="F98" s="14" t="s">
        <v>223</v>
      </c>
      <c r="G98" s="14">
        <v>57.5</v>
      </c>
      <c r="H98" s="14">
        <v>18</v>
      </c>
      <c r="I98" s="15" t="s">
        <v>118</v>
      </c>
      <c r="J98" s="14">
        <v>549172376</v>
      </c>
      <c r="K98" s="14" t="s">
        <v>50</v>
      </c>
      <c r="L98" s="14" t="s">
        <v>119</v>
      </c>
      <c r="M98" s="16" t="s">
        <v>144</v>
      </c>
      <c r="N98" s="14">
        <v>25.31</v>
      </c>
      <c r="O98" s="14" t="s">
        <v>145</v>
      </c>
      <c r="P98" s="19" t="s">
        <v>431</v>
      </c>
      <c r="Q98" s="14" t="s">
        <v>50</v>
      </c>
      <c r="R98" s="14" t="s">
        <v>304</v>
      </c>
    </row>
    <row r="99" spans="1:18" ht="15.75">
      <c r="A99" s="14" t="s">
        <v>432</v>
      </c>
      <c r="B99" s="14" t="s">
        <v>428</v>
      </c>
      <c r="C99" s="14" t="s">
        <v>429</v>
      </c>
      <c r="D99" s="14" t="s">
        <v>428</v>
      </c>
      <c r="E99" s="14" t="s">
        <v>430</v>
      </c>
      <c r="F99" s="14" t="s">
        <v>223</v>
      </c>
      <c r="G99" s="14">
        <v>57.5</v>
      </c>
      <c r="H99" s="14">
        <v>18</v>
      </c>
      <c r="I99" s="15" t="s">
        <v>118</v>
      </c>
      <c r="J99" s="14">
        <v>535474354</v>
      </c>
      <c r="K99" s="14" t="s">
        <v>50</v>
      </c>
      <c r="L99" s="14" t="s">
        <v>119</v>
      </c>
      <c r="M99" s="16" t="s">
        <v>144</v>
      </c>
      <c r="N99" s="14">
        <v>26</v>
      </c>
      <c r="O99" s="14" t="s">
        <v>145</v>
      </c>
      <c r="P99" s="19" t="s">
        <v>433</v>
      </c>
      <c r="Q99" s="14" t="s">
        <v>50</v>
      </c>
      <c r="R99" s="14" t="s">
        <v>304</v>
      </c>
    </row>
    <row r="100" spans="1:18" ht="15.75">
      <c r="A100" s="14" t="s">
        <v>434</v>
      </c>
      <c r="B100" s="14" t="s">
        <v>428</v>
      </c>
      <c r="C100" s="14" t="s">
        <v>429</v>
      </c>
      <c r="D100" s="14" t="s">
        <v>428</v>
      </c>
      <c r="E100" s="14" t="s">
        <v>430</v>
      </c>
      <c r="F100" s="14" t="s">
        <v>223</v>
      </c>
      <c r="G100" s="14">
        <v>57.5</v>
      </c>
      <c r="H100" s="14">
        <v>18</v>
      </c>
      <c r="I100" s="15" t="s">
        <v>118</v>
      </c>
      <c r="J100" s="14">
        <v>532211474</v>
      </c>
      <c r="K100" s="14" t="s">
        <v>50</v>
      </c>
      <c r="L100" s="14" t="s">
        <v>119</v>
      </c>
      <c r="M100" s="16" t="s">
        <v>144</v>
      </c>
      <c r="N100" s="14">
        <v>25.64</v>
      </c>
      <c r="O100" s="14" t="s">
        <v>145</v>
      </c>
      <c r="P100" s="19" t="s">
        <v>435</v>
      </c>
      <c r="Q100" s="14" t="s">
        <v>50</v>
      </c>
      <c r="R100" s="14" t="s">
        <v>304</v>
      </c>
    </row>
    <row r="101" spans="1:18" ht="15.75">
      <c r="A101" s="14" t="s">
        <v>436</v>
      </c>
      <c r="B101" s="14" t="s">
        <v>428</v>
      </c>
      <c r="C101" s="14" t="s">
        <v>429</v>
      </c>
      <c r="D101" s="14" t="s">
        <v>428</v>
      </c>
      <c r="E101" s="14" t="s">
        <v>430</v>
      </c>
      <c r="F101" s="14" t="s">
        <v>223</v>
      </c>
      <c r="G101" s="14">
        <v>57.5</v>
      </c>
      <c r="H101" s="14">
        <v>18</v>
      </c>
      <c r="I101" s="15" t="s">
        <v>118</v>
      </c>
      <c r="J101" s="14">
        <v>536948938</v>
      </c>
      <c r="K101" s="14" t="s">
        <v>137</v>
      </c>
      <c r="L101" s="14" t="s">
        <v>119</v>
      </c>
      <c r="M101" s="16" t="s">
        <v>144</v>
      </c>
      <c r="N101" s="14">
        <v>25.56</v>
      </c>
      <c r="O101" s="14" t="s">
        <v>145</v>
      </c>
      <c r="P101" s="19" t="s">
        <v>437</v>
      </c>
      <c r="Q101" s="14" t="s">
        <v>50</v>
      </c>
      <c r="R101" s="14" t="s">
        <v>304</v>
      </c>
    </row>
    <row r="102" spans="1:18" ht="15.75">
      <c r="A102" s="14" t="s">
        <v>438</v>
      </c>
      <c r="B102" s="14" t="s">
        <v>428</v>
      </c>
      <c r="C102" s="14" t="s">
        <v>429</v>
      </c>
      <c r="D102" s="14" t="s">
        <v>428</v>
      </c>
      <c r="E102" s="14" t="s">
        <v>430</v>
      </c>
      <c r="F102" s="14" t="s">
        <v>223</v>
      </c>
      <c r="G102" s="14">
        <v>57.5</v>
      </c>
      <c r="H102" s="14">
        <v>18</v>
      </c>
      <c r="I102" s="15" t="s">
        <v>118</v>
      </c>
      <c r="J102" s="14">
        <v>535352026</v>
      </c>
      <c r="K102" s="14" t="s">
        <v>50</v>
      </c>
      <c r="L102" s="14" t="s">
        <v>119</v>
      </c>
      <c r="M102" s="16" t="s">
        <v>144</v>
      </c>
      <c r="N102" s="14">
        <v>25.62</v>
      </c>
      <c r="O102" s="14" t="s">
        <v>145</v>
      </c>
      <c r="P102" s="19" t="s">
        <v>439</v>
      </c>
      <c r="Q102" s="14" t="s">
        <v>50</v>
      </c>
      <c r="R102" s="14" t="s">
        <v>304</v>
      </c>
    </row>
    <row r="103" spans="1:18" ht="15.75">
      <c r="A103" s="14" t="s">
        <v>440</v>
      </c>
      <c r="B103" s="14" t="s">
        <v>428</v>
      </c>
      <c r="C103" s="14" t="s">
        <v>429</v>
      </c>
      <c r="D103" s="14" t="s">
        <v>428</v>
      </c>
      <c r="E103" s="14" t="s">
        <v>430</v>
      </c>
      <c r="F103" s="14" t="s">
        <v>223</v>
      </c>
      <c r="G103" s="14">
        <v>57.5</v>
      </c>
      <c r="H103" s="14">
        <v>18</v>
      </c>
      <c r="I103" s="15" t="s">
        <v>118</v>
      </c>
      <c r="J103" s="14">
        <v>535348150</v>
      </c>
      <c r="K103" s="14" t="s">
        <v>50</v>
      </c>
      <c r="L103" s="14" t="s">
        <v>119</v>
      </c>
      <c r="M103" s="16" t="s">
        <v>144</v>
      </c>
      <c r="N103" s="14">
        <v>24.95</v>
      </c>
      <c r="O103" s="14" t="s">
        <v>145</v>
      </c>
      <c r="P103" s="19" t="s">
        <v>441</v>
      </c>
      <c r="Q103" s="14" t="s">
        <v>50</v>
      </c>
      <c r="R103" s="14" t="s">
        <v>304</v>
      </c>
    </row>
    <row r="104" spans="1:18" ht="15.75">
      <c r="A104" s="14" t="s">
        <v>442</v>
      </c>
      <c r="B104" s="14" t="s">
        <v>428</v>
      </c>
      <c r="C104" s="14" t="s">
        <v>429</v>
      </c>
      <c r="D104" s="14" t="s">
        <v>428</v>
      </c>
      <c r="E104" s="14" t="s">
        <v>430</v>
      </c>
      <c r="F104" s="14" t="s">
        <v>223</v>
      </c>
      <c r="G104" s="14">
        <v>57.5</v>
      </c>
      <c r="H104" s="14">
        <v>18</v>
      </c>
      <c r="I104" s="15" t="s">
        <v>118</v>
      </c>
      <c r="J104" s="14">
        <v>531152384</v>
      </c>
      <c r="K104" s="14" t="s">
        <v>137</v>
      </c>
      <c r="L104" s="14" t="s">
        <v>119</v>
      </c>
      <c r="M104" s="16" t="s">
        <v>144</v>
      </c>
      <c r="N104" s="14">
        <v>26.06</v>
      </c>
      <c r="O104" s="14" t="s">
        <v>145</v>
      </c>
      <c r="P104" s="19" t="s">
        <v>443</v>
      </c>
      <c r="Q104" s="14" t="s">
        <v>444</v>
      </c>
      <c r="R104" s="14" t="s">
        <v>304</v>
      </c>
    </row>
    <row r="105" spans="1:18" ht="15.75">
      <c r="A105" s="14" t="s">
        <v>445</v>
      </c>
      <c r="B105" s="14" t="s">
        <v>428</v>
      </c>
      <c r="C105" s="14" t="s">
        <v>429</v>
      </c>
      <c r="D105" s="14" t="s">
        <v>428</v>
      </c>
      <c r="E105" s="14" t="s">
        <v>430</v>
      </c>
      <c r="F105" s="14" t="s">
        <v>223</v>
      </c>
      <c r="G105" s="14">
        <v>57.5</v>
      </c>
      <c r="H105" s="14">
        <v>18</v>
      </c>
      <c r="I105" s="15" t="s">
        <v>118</v>
      </c>
      <c r="J105" s="14">
        <v>521877108</v>
      </c>
      <c r="K105" s="14" t="s">
        <v>137</v>
      </c>
      <c r="L105" s="14" t="s">
        <v>119</v>
      </c>
      <c r="M105" s="16" t="s">
        <v>144</v>
      </c>
      <c r="N105" s="14">
        <v>24.83</v>
      </c>
      <c r="O105" s="14" t="s">
        <v>145</v>
      </c>
      <c r="P105" s="19" t="s">
        <v>446</v>
      </c>
      <c r="Q105" s="14" t="s">
        <v>447</v>
      </c>
      <c r="R105" s="14" t="s">
        <v>304</v>
      </c>
    </row>
    <row r="106" spans="1:18" ht="15.75">
      <c r="A106" s="14" t="s">
        <v>448</v>
      </c>
      <c r="B106" s="14" t="s">
        <v>428</v>
      </c>
      <c r="C106" s="14" t="s">
        <v>429</v>
      </c>
      <c r="D106" s="14" t="s">
        <v>428</v>
      </c>
      <c r="E106" s="14" t="s">
        <v>430</v>
      </c>
      <c r="F106" s="14" t="s">
        <v>223</v>
      </c>
      <c r="G106" s="14">
        <v>57.5</v>
      </c>
      <c r="H106" s="14">
        <v>18</v>
      </c>
      <c r="I106" s="15" t="s">
        <v>118</v>
      </c>
      <c r="J106" s="14">
        <v>535292390</v>
      </c>
      <c r="K106" s="14" t="s">
        <v>137</v>
      </c>
      <c r="L106" s="14" t="s">
        <v>119</v>
      </c>
      <c r="M106" s="16" t="s">
        <v>144</v>
      </c>
      <c r="N106" s="14">
        <v>25.34</v>
      </c>
      <c r="O106" s="14" t="s">
        <v>145</v>
      </c>
      <c r="P106" s="19" t="s">
        <v>449</v>
      </c>
      <c r="Q106" s="14" t="s">
        <v>50</v>
      </c>
      <c r="R106" s="14" t="s">
        <v>304</v>
      </c>
    </row>
    <row r="107" spans="1:18" ht="15.75">
      <c r="A107" s="14" t="s">
        <v>450</v>
      </c>
      <c r="B107" s="14" t="s">
        <v>428</v>
      </c>
      <c r="C107" s="14" t="s">
        <v>429</v>
      </c>
      <c r="D107" s="14" t="s">
        <v>428</v>
      </c>
      <c r="E107" s="14" t="s">
        <v>430</v>
      </c>
      <c r="F107" s="14" t="s">
        <v>223</v>
      </c>
      <c r="G107" s="14">
        <v>57.5</v>
      </c>
      <c r="H107" s="14">
        <v>18</v>
      </c>
      <c r="I107" s="15" t="s">
        <v>118</v>
      </c>
      <c r="J107" s="14">
        <v>528101932</v>
      </c>
      <c r="K107" s="14" t="s">
        <v>50</v>
      </c>
      <c r="L107" s="14" t="s">
        <v>119</v>
      </c>
      <c r="M107" s="16" t="s">
        <v>144</v>
      </c>
      <c r="N107" s="14">
        <v>25.24</v>
      </c>
      <c r="O107" s="14" t="s">
        <v>145</v>
      </c>
      <c r="P107" s="19" t="s">
        <v>451</v>
      </c>
      <c r="Q107" s="14" t="s">
        <v>452</v>
      </c>
      <c r="R107" s="14" t="s">
        <v>304</v>
      </c>
    </row>
    <row r="108" spans="1:18" ht="15.75">
      <c r="A108" s="14" t="s">
        <v>453</v>
      </c>
      <c r="B108" s="14" t="s">
        <v>454</v>
      </c>
      <c r="C108" s="14" t="s">
        <v>455</v>
      </c>
      <c r="D108" s="14" t="s">
        <v>454</v>
      </c>
      <c r="E108" s="14" t="s">
        <v>50</v>
      </c>
      <c r="F108" s="14" t="s">
        <v>128</v>
      </c>
      <c r="G108" s="14" t="s">
        <v>50</v>
      </c>
      <c r="H108" s="14" t="s">
        <v>50</v>
      </c>
      <c r="I108" s="15" t="s">
        <v>118</v>
      </c>
      <c r="J108" s="14" t="s">
        <v>50</v>
      </c>
      <c r="K108" s="14" t="s">
        <v>50</v>
      </c>
      <c r="L108" s="14" t="s">
        <v>119</v>
      </c>
      <c r="M108" s="16" t="s">
        <v>120</v>
      </c>
      <c r="N108" s="14">
        <v>6.9293699999999996</v>
      </c>
      <c r="O108" s="17" t="s">
        <v>121</v>
      </c>
      <c r="P108" s="18" t="s">
        <v>50</v>
      </c>
      <c r="Q108" s="14" t="s">
        <v>456</v>
      </c>
      <c r="R108" s="14" t="s">
        <v>50</v>
      </c>
    </row>
    <row r="109" spans="1:18" ht="15.75">
      <c r="A109" s="14" t="s">
        <v>457</v>
      </c>
      <c r="B109" s="14" t="s">
        <v>454</v>
      </c>
      <c r="C109" s="14" t="s">
        <v>455</v>
      </c>
      <c r="D109" s="14" t="s">
        <v>454</v>
      </c>
      <c r="E109" s="14" t="s">
        <v>50</v>
      </c>
      <c r="F109" s="14" t="s">
        <v>128</v>
      </c>
      <c r="G109" s="14" t="s">
        <v>50</v>
      </c>
      <c r="H109" s="14" t="s">
        <v>50</v>
      </c>
      <c r="I109" s="15" t="s">
        <v>118</v>
      </c>
      <c r="J109" s="14" t="s">
        <v>50</v>
      </c>
      <c r="K109" s="14" t="s">
        <v>50</v>
      </c>
      <c r="L109" s="14" t="s">
        <v>119</v>
      </c>
      <c r="M109" s="16" t="s">
        <v>120</v>
      </c>
      <c r="N109" s="14">
        <v>4.9941800000000001</v>
      </c>
      <c r="O109" s="17" t="s">
        <v>121</v>
      </c>
      <c r="P109" s="18" t="s">
        <v>50</v>
      </c>
      <c r="Q109" s="14" t="s">
        <v>458</v>
      </c>
      <c r="R109" s="14" t="s">
        <v>50</v>
      </c>
    </row>
    <row r="110" spans="1:18" ht="15.75">
      <c r="A110" s="14">
        <v>4263</v>
      </c>
      <c r="B110" s="14" t="s">
        <v>459</v>
      </c>
      <c r="C110" s="14" t="s">
        <v>460</v>
      </c>
      <c r="D110" s="14" t="s">
        <v>50</v>
      </c>
      <c r="E110" s="14" t="s">
        <v>461</v>
      </c>
      <c r="F110" s="14" t="s">
        <v>136</v>
      </c>
      <c r="G110" s="14">
        <v>35.69</v>
      </c>
      <c r="H110" s="14">
        <v>71.66</v>
      </c>
      <c r="I110" s="15" t="s">
        <v>118</v>
      </c>
      <c r="J110" s="14">
        <v>501183056</v>
      </c>
      <c r="K110" s="14" t="s">
        <v>184</v>
      </c>
      <c r="L110" s="14" t="s">
        <v>50</v>
      </c>
      <c r="M110" s="16" t="s">
        <v>138</v>
      </c>
      <c r="N110" s="14" t="s">
        <v>462</v>
      </c>
      <c r="O110" s="14" t="s">
        <v>139</v>
      </c>
      <c r="P110" s="19" t="s">
        <v>463</v>
      </c>
      <c r="Q110" s="14" t="s">
        <v>50</v>
      </c>
      <c r="R110" s="14" t="s">
        <v>186</v>
      </c>
    </row>
    <row r="111" spans="1:18" ht="15.75">
      <c r="A111" s="14">
        <v>4265</v>
      </c>
      <c r="B111" s="14" t="s">
        <v>459</v>
      </c>
      <c r="C111" s="14" t="s">
        <v>460</v>
      </c>
      <c r="D111" s="14" t="s">
        <v>50</v>
      </c>
      <c r="E111" s="14" t="s">
        <v>461</v>
      </c>
      <c r="F111" s="14" t="s">
        <v>136</v>
      </c>
      <c r="G111" s="14">
        <v>35.69</v>
      </c>
      <c r="H111" s="14">
        <v>71.66</v>
      </c>
      <c r="I111" s="15" t="s">
        <v>118</v>
      </c>
      <c r="J111" s="14">
        <v>505763850</v>
      </c>
      <c r="K111" s="14" t="s">
        <v>137</v>
      </c>
      <c r="L111" s="14" t="s">
        <v>50</v>
      </c>
      <c r="M111" s="16" t="s">
        <v>138</v>
      </c>
      <c r="N111" s="14">
        <v>9.44</v>
      </c>
      <c r="O111" s="14" t="s">
        <v>139</v>
      </c>
      <c r="P111" s="19" t="s">
        <v>464</v>
      </c>
      <c r="Q111" s="14" t="s">
        <v>50</v>
      </c>
      <c r="R111" s="14" t="s">
        <v>183</v>
      </c>
    </row>
    <row r="112" spans="1:18" ht="15.75">
      <c r="A112" s="14">
        <v>4270</v>
      </c>
      <c r="B112" s="14" t="s">
        <v>459</v>
      </c>
      <c r="C112" s="14" t="s">
        <v>460</v>
      </c>
      <c r="D112" s="14" t="s">
        <v>50</v>
      </c>
      <c r="E112" s="14" t="s">
        <v>461</v>
      </c>
      <c r="F112" s="14" t="s">
        <v>136</v>
      </c>
      <c r="G112" s="14">
        <v>35.69</v>
      </c>
      <c r="H112" s="14">
        <v>71.66</v>
      </c>
      <c r="I112" s="15" t="s">
        <v>118</v>
      </c>
      <c r="J112" s="14">
        <v>530301252</v>
      </c>
      <c r="K112" s="14" t="s">
        <v>137</v>
      </c>
      <c r="L112" s="14" t="s">
        <v>50</v>
      </c>
      <c r="M112" s="16" t="s">
        <v>138</v>
      </c>
      <c r="N112" s="14">
        <v>10.1</v>
      </c>
      <c r="O112" s="14" t="s">
        <v>139</v>
      </c>
      <c r="P112" s="19" t="s">
        <v>465</v>
      </c>
      <c r="Q112" s="14" t="s">
        <v>50</v>
      </c>
      <c r="R112" s="14" t="s">
        <v>183</v>
      </c>
    </row>
    <row r="113" spans="1:18" ht="15.75">
      <c r="A113" s="14" t="s">
        <v>466</v>
      </c>
      <c r="B113" s="14" t="s">
        <v>467</v>
      </c>
      <c r="C113" s="14" t="s">
        <v>468</v>
      </c>
      <c r="D113" s="14" t="s">
        <v>467</v>
      </c>
      <c r="E113" s="14" t="s">
        <v>50</v>
      </c>
      <c r="F113" s="14" t="s">
        <v>128</v>
      </c>
      <c r="G113" s="14" t="s">
        <v>50</v>
      </c>
      <c r="H113" s="14" t="s">
        <v>50</v>
      </c>
      <c r="I113" s="15" t="s">
        <v>118</v>
      </c>
      <c r="J113" s="14" t="s">
        <v>50</v>
      </c>
      <c r="K113" s="14" t="s">
        <v>50</v>
      </c>
      <c r="L113" s="14" t="s">
        <v>119</v>
      </c>
      <c r="M113" s="16" t="s">
        <v>120</v>
      </c>
      <c r="N113" s="14">
        <v>5.8223599999999998</v>
      </c>
      <c r="O113" s="17" t="s">
        <v>121</v>
      </c>
      <c r="P113" s="18" t="s">
        <v>50</v>
      </c>
      <c r="Q113" s="14" t="s">
        <v>469</v>
      </c>
      <c r="R113" s="14" t="s">
        <v>50</v>
      </c>
    </row>
    <row r="114" spans="1:18" ht="15.75">
      <c r="A114" s="14" t="s">
        <v>470</v>
      </c>
      <c r="B114" s="14" t="s">
        <v>471</v>
      </c>
      <c r="C114" s="14" t="s">
        <v>472</v>
      </c>
      <c r="D114" s="14" t="s">
        <v>50</v>
      </c>
      <c r="E114" s="14" t="s">
        <v>473</v>
      </c>
      <c r="F114" s="14" t="s">
        <v>223</v>
      </c>
      <c r="G114" s="14">
        <v>52.84</v>
      </c>
      <c r="H114" s="14">
        <v>49.02</v>
      </c>
      <c r="I114" s="15" t="s">
        <v>118</v>
      </c>
      <c r="J114" s="14">
        <v>473167060</v>
      </c>
      <c r="K114" s="14" t="s">
        <v>137</v>
      </c>
      <c r="L114" s="14" t="s">
        <v>50</v>
      </c>
      <c r="M114" s="16" t="s">
        <v>138</v>
      </c>
      <c r="N114" s="14">
        <v>9.14</v>
      </c>
      <c r="O114" s="14" t="s">
        <v>139</v>
      </c>
      <c r="P114" s="19" t="s">
        <v>474</v>
      </c>
      <c r="Q114" s="14" t="s">
        <v>50</v>
      </c>
      <c r="R114" s="14" t="s">
        <v>141</v>
      </c>
    </row>
    <row r="115" spans="1:18" ht="15.75">
      <c r="A115" s="14" t="s">
        <v>475</v>
      </c>
      <c r="B115" s="14" t="s">
        <v>471</v>
      </c>
      <c r="C115" s="14" t="s">
        <v>472</v>
      </c>
      <c r="D115" s="14" t="s">
        <v>50</v>
      </c>
      <c r="E115" s="14" t="s">
        <v>473</v>
      </c>
      <c r="F115" s="14" t="s">
        <v>223</v>
      </c>
      <c r="G115" s="14">
        <v>52.84</v>
      </c>
      <c r="H115" s="14">
        <v>49.02</v>
      </c>
      <c r="I115" s="15" t="s">
        <v>118</v>
      </c>
      <c r="J115" s="14">
        <v>444772112</v>
      </c>
      <c r="K115" s="14" t="s">
        <v>137</v>
      </c>
      <c r="L115" s="14" t="s">
        <v>50</v>
      </c>
      <c r="M115" s="16" t="s">
        <v>138</v>
      </c>
      <c r="N115" s="14">
        <v>8.85</v>
      </c>
      <c r="O115" s="14" t="s">
        <v>139</v>
      </c>
      <c r="P115" s="19" t="s">
        <v>476</v>
      </c>
      <c r="Q115" s="14" t="s">
        <v>50</v>
      </c>
      <c r="R115" s="14" t="s">
        <v>141</v>
      </c>
    </row>
    <row r="116" spans="1:18" ht="15.75">
      <c r="A116" s="14" t="s">
        <v>477</v>
      </c>
      <c r="B116" s="14" t="s">
        <v>471</v>
      </c>
      <c r="C116" s="14" t="s">
        <v>472</v>
      </c>
      <c r="D116" s="14" t="s">
        <v>50</v>
      </c>
      <c r="E116" s="14" t="s">
        <v>473</v>
      </c>
      <c r="F116" s="14" t="s">
        <v>223</v>
      </c>
      <c r="G116" s="14">
        <v>52.84</v>
      </c>
      <c r="H116" s="14">
        <v>49.02</v>
      </c>
      <c r="I116" s="15" t="s">
        <v>118</v>
      </c>
      <c r="J116" s="14">
        <v>453500962</v>
      </c>
      <c r="K116" s="14" t="s">
        <v>137</v>
      </c>
      <c r="L116" s="14" t="s">
        <v>50</v>
      </c>
      <c r="M116" s="16" t="s">
        <v>138</v>
      </c>
      <c r="N116" s="14">
        <v>9.3000000000000007</v>
      </c>
      <c r="O116" s="14" t="s">
        <v>139</v>
      </c>
      <c r="P116" s="19" t="s">
        <v>478</v>
      </c>
      <c r="Q116" s="14" t="s">
        <v>50</v>
      </c>
      <c r="R116" s="14" t="s">
        <v>141</v>
      </c>
    </row>
    <row r="117" spans="1:18" ht="15.75">
      <c r="A117" s="14" t="s">
        <v>479</v>
      </c>
      <c r="B117" s="14" t="s">
        <v>480</v>
      </c>
      <c r="C117" s="14" t="s">
        <v>481</v>
      </c>
      <c r="D117" s="14" t="s">
        <v>50</v>
      </c>
      <c r="E117" s="14" t="s">
        <v>482</v>
      </c>
      <c r="F117" s="14" t="s">
        <v>117</v>
      </c>
      <c r="G117" s="14">
        <v>13.92</v>
      </c>
      <c r="H117" s="14">
        <v>9.4600000000000009</v>
      </c>
      <c r="I117" s="15" t="s">
        <v>118</v>
      </c>
      <c r="J117" s="14">
        <v>446638474</v>
      </c>
      <c r="K117" s="14" t="s">
        <v>137</v>
      </c>
      <c r="L117" s="14" t="s">
        <v>50</v>
      </c>
      <c r="M117" s="16" t="s">
        <v>138</v>
      </c>
      <c r="N117" s="14">
        <v>9.1199999999999992</v>
      </c>
      <c r="O117" s="14" t="s">
        <v>139</v>
      </c>
      <c r="P117" s="19" t="s">
        <v>483</v>
      </c>
      <c r="Q117" s="14" t="s">
        <v>50</v>
      </c>
      <c r="R117" s="14" t="s">
        <v>141</v>
      </c>
    </row>
    <row r="118" spans="1:18" ht="15.75">
      <c r="A118" s="14" t="s">
        <v>484</v>
      </c>
      <c r="B118" s="14" t="s">
        <v>50</v>
      </c>
      <c r="C118" s="14" t="s">
        <v>481</v>
      </c>
      <c r="D118" s="14" t="s">
        <v>480</v>
      </c>
      <c r="E118" s="14" t="s">
        <v>482</v>
      </c>
      <c r="F118" s="14" t="s">
        <v>117</v>
      </c>
      <c r="G118" s="14" t="s">
        <v>50</v>
      </c>
      <c r="H118" s="14" t="s">
        <v>50</v>
      </c>
      <c r="I118" s="15" t="s">
        <v>118</v>
      </c>
      <c r="J118" s="14">
        <v>478304208</v>
      </c>
      <c r="K118" s="14" t="s">
        <v>50</v>
      </c>
      <c r="L118" s="14" t="s">
        <v>119</v>
      </c>
      <c r="M118" s="16" t="s">
        <v>144</v>
      </c>
      <c r="N118" s="14">
        <v>20.39</v>
      </c>
      <c r="O118" s="14" t="s">
        <v>145</v>
      </c>
      <c r="P118" s="19" t="s">
        <v>485</v>
      </c>
      <c r="Q118" s="14" t="s">
        <v>486</v>
      </c>
      <c r="R118" s="14" t="s">
        <v>50</v>
      </c>
    </row>
    <row r="119" spans="1:18" ht="15.75">
      <c r="A119" s="14" t="s">
        <v>484</v>
      </c>
      <c r="B119" s="14" t="s">
        <v>480</v>
      </c>
      <c r="C119" s="14" t="s">
        <v>481</v>
      </c>
      <c r="D119" s="14" t="s">
        <v>50</v>
      </c>
      <c r="E119" s="14" t="s">
        <v>482</v>
      </c>
      <c r="F119" s="14" t="s">
        <v>117</v>
      </c>
      <c r="G119" s="14">
        <v>13.92</v>
      </c>
      <c r="H119" s="14">
        <v>9.4600000000000009</v>
      </c>
      <c r="I119" s="15" t="s">
        <v>118</v>
      </c>
      <c r="J119" s="14">
        <v>478304208</v>
      </c>
      <c r="K119" s="14" t="s">
        <v>137</v>
      </c>
      <c r="L119" s="14" t="s">
        <v>50</v>
      </c>
      <c r="M119" s="16" t="s">
        <v>138</v>
      </c>
      <c r="N119" s="14">
        <v>10.93</v>
      </c>
      <c r="O119" s="14" t="s">
        <v>139</v>
      </c>
      <c r="P119" s="19" t="s">
        <v>487</v>
      </c>
      <c r="Q119" s="14" t="s">
        <v>50</v>
      </c>
      <c r="R119" s="14" t="s">
        <v>141</v>
      </c>
    </row>
    <row r="120" spans="1:18" ht="15.75">
      <c r="A120" s="14" t="s">
        <v>488</v>
      </c>
      <c r="B120" s="14" t="s">
        <v>489</v>
      </c>
      <c r="C120" s="14" t="s">
        <v>490</v>
      </c>
      <c r="D120" s="14" t="s">
        <v>489</v>
      </c>
      <c r="E120" s="14" t="s">
        <v>50</v>
      </c>
      <c r="F120" s="14" t="s">
        <v>223</v>
      </c>
      <c r="G120" s="14" t="s">
        <v>50</v>
      </c>
      <c r="H120" s="14" t="s">
        <v>50</v>
      </c>
      <c r="I120" s="15" t="s">
        <v>118</v>
      </c>
      <c r="J120" s="14" t="s">
        <v>50</v>
      </c>
      <c r="K120" s="14" t="s">
        <v>50</v>
      </c>
      <c r="L120" s="14" t="s">
        <v>119</v>
      </c>
      <c r="M120" s="16" t="s">
        <v>120</v>
      </c>
      <c r="N120" s="14">
        <v>6.6926800000000002</v>
      </c>
      <c r="O120" s="17" t="s">
        <v>121</v>
      </c>
      <c r="P120" s="18" t="s">
        <v>50</v>
      </c>
      <c r="Q120" s="14" t="s">
        <v>491</v>
      </c>
      <c r="R120" s="14" t="s">
        <v>50</v>
      </c>
    </row>
    <row r="121" spans="1:18" ht="15.75">
      <c r="A121" s="14" t="s">
        <v>492</v>
      </c>
      <c r="B121" s="14" t="s">
        <v>489</v>
      </c>
      <c r="C121" s="14" t="s">
        <v>490</v>
      </c>
      <c r="D121" s="14" t="s">
        <v>489</v>
      </c>
      <c r="E121" s="14" t="s">
        <v>50</v>
      </c>
      <c r="F121" s="14" t="s">
        <v>223</v>
      </c>
      <c r="G121" s="14" t="s">
        <v>50</v>
      </c>
      <c r="H121" s="14" t="s">
        <v>50</v>
      </c>
      <c r="I121" s="15" t="s">
        <v>118</v>
      </c>
      <c r="J121" s="14" t="s">
        <v>50</v>
      </c>
      <c r="K121" s="14" t="s">
        <v>50</v>
      </c>
      <c r="L121" s="14" t="s">
        <v>119</v>
      </c>
      <c r="M121" s="16" t="s">
        <v>120</v>
      </c>
      <c r="N121" s="14">
        <v>6.3123399999999998</v>
      </c>
      <c r="O121" s="17" t="s">
        <v>121</v>
      </c>
      <c r="P121" s="18" t="s">
        <v>50</v>
      </c>
      <c r="Q121" s="14" t="s">
        <v>493</v>
      </c>
      <c r="R121" s="14" t="s">
        <v>50</v>
      </c>
    </row>
    <row r="122" spans="1:18" ht="15.75">
      <c r="A122" s="14" t="s">
        <v>494</v>
      </c>
      <c r="B122" s="14" t="s">
        <v>489</v>
      </c>
      <c r="C122" s="14" t="s">
        <v>490</v>
      </c>
      <c r="D122" s="14" t="s">
        <v>489</v>
      </c>
      <c r="E122" s="14" t="s">
        <v>50</v>
      </c>
      <c r="F122" s="14" t="s">
        <v>223</v>
      </c>
      <c r="G122" s="14" t="s">
        <v>50</v>
      </c>
      <c r="H122" s="14" t="s">
        <v>50</v>
      </c>
      <c r="I122" s="15" t="s">
        <v>118</v>
      </c>
      <c r="J122" s="14" t="s">
        <v>50</v>
      </c>
      <c r="K122" s="14" t="s">
        <v>50</v>
      </c>
      <c r="L122" s="14" t="s">
        <v>119</v>
      </c>
      <c r="M122" s="16" t="s">
        <v>120</v>
      </c>
      <c r="N122" s="14">
        <v>6.3519500000000004</v>
      </c>
      <c r="O122" s="17" t="s">
        <v>121</v>
      </c>
      <c r="P122" s="18" t="s">
        <v>50</v>
      </c>
      <c r="Q122" s="14" t="s">
        <v>495</v>
      </c>
      <c r="R122" s="14" t="s">
        <v>50</v>
      </c>
    </row>
    <row r="123" spans="1:18" ht="15.75">
      <c r="A123" s="14">
        <v>34</v>
      </c>
      <c r="B123" s="14" t="s">
        <v>496</v>
      </c>
      <c r="C123" s="14" t="s">
        <v>497</v>
      </c>
      <c r="D123" s="14" t="s">
        <v>50</v>
      </c>
      <c r="E123" s="14" t="s">
        <v>498</v>
      </c>
      <c r="F123" s="14" t="s">
        <v>117</v>
      </c>
      <c r="G123" s="14">
        <v>14.01</v>
      </c>
      <c r="H123" s="14">
        <v>-0.86</v>
      </c>
      <c r="I123" s="15" t="s">
        <v>118</v>
      </c>
      <c r="J123" s="14">
        <v>457052314</v>
      </c>
      <c r="K123" s="14" t="s">
        <v>137</v>
      </c>
      <c r="L123" s="14" t="s">
        <v>50</v>
      </c>
      <c r="M123" s="16" t="s">
        <v>138</v>
      </c>
      <c r="N123" s="14">
        <v>9.9</v>
      </c>
      <c r="O123" s="14" t="s">
        <v>139</v>
      </c>
      <c r="P123" s="19" t="s">
        <v>499</v>
      </c>
      <c r="Q123" s="14" t="s">
        <v>50</v>
      </c>
      <c r="R123" s="14" t="s">
        <v>141</v>
      </c>
    </row>
    <row r="124" spans="1:18" ht="15.75">
      <c r="A124" s="14">
        <v>53</v>
      </c>
      <c r="B124" s="14" t="s">
        <v>496</v>
      </c>
      <c r="C124" s="14" t="s">
        <v>497</v>
      </c>
      <c r="D124" s="14" t="s">
        <v>50</v>
      </c>
      <c r="E124" s="14" t="s">
        <v>498</v>
      </c>
      <c r="F124" s="14" t="s">
        <v>117</v>
      </c>
      <c r="G124" s="14">
        <v>14.01</v>
      </c>
      <c r="H124" s="14">
        <v>-0.86</v>
      </c>
      <c r="I124" s="15" t="s">
        <v>118</v>
      </c>
      <c r="J124" s="14">
        <v>489918550</v>
      </c>
      <c r="K124" s="14" t="s">
        <v>137</v>
      </c>
      <c r="L124" s="14" t="s">
        <v>50</v>
      </c>
      <c r="M124" s="16" t="s">
        <v>138</v>
      </c>
      <c r="N124" s="14">
        <v>10.55</v>
      </c>
      <c r="O124" s="14" t="s">
        <v>139</v>
      </c>
      <c r="P124" s="19" t="s">
        <v>500</v>
      </c>
      <c r="Q124" s="14" t="s">
        <v>50</v>
      </c>
      <c r="R124" s="14" t="s">
        <v>141</v>
      </c>
    </row>
    <row r="125" spans="1:18" ht="15.75">
      <c r="A125" s="14">
        <v>99</v>
      </c>
      <c r="B125" s="14" t="s">
        <v>50</v>
      </c>
      <c r="C125" s="14" t="s">
        <v>497</v>
      </c>
      <c r="D125" s="14" t="s">
        <v>496</v>
      </c>
      <c r="E125" s="14" t="s">
        <v>498</v>
      </c>
      <c r="F125" s="14" t="s">
        <v>117</v>
      </c>
      <c r="G125" s="14" t="s">
        <v>50</v>
      </c>
      <c r="H125" s="14" t="s">
        <v>50</v>
      </c>
      <c r="I125" s="15" t="s">
        <v>118</v>
      </c>
      <c r="J125" s="14">
        <v>426973660</v>
      </c>
      <c r="K125" s="14" t="s">
        <v>50</v>
      </c>
      <c r="L125" s="14" t="s">
        <v>119</v>
      </c>
      <c r="M125" s="16" t="s">
        <v>144</v>
      </c>
      <c r="N125" s="14">
        <v>19.84</v>
      </c>
      <c r="O125" s="14" t="s">
        <v>145</v>
      </c>
      <c r="P125" s="19" t="s">
        <v>501</v>
      </c>
      <c r="Q125" s="14" t="s">
        <v>502</v>
      </c>
      <c r="R125" s="14" t="s">
        <v>50</v>
      </c>
    </row>
    <row r="126" spans="1:18" ht="15.75">
      <c r="A126" s="14" t="s">
        <v>503</v>
      </c>
      <c r="B126" s="14" t="s">
        <v>504</v>
      </c>
      <c r="C126" s="14" t="s">
        <v>505</v>
      </c>
      <c r="D126" s="14" t="s">
        <v>504</v>
      </c>
      <c r="E126" s="14" t="s">
        <v>50</v>
      </c>
      <c r="F126" s="14" t="s">
        <v>128</v>
      </c>
      <c r="G126" s="14" t="s">
        <v>50</v>
      </c>
      <c r="H126" s="14" t="s">
        <v>50</v>
      </c>
      <c r="I126" s="15" t="s">
        <v>118</v>
      </c>
      <c r="J126" s="14" t="s">
        <v>50</v>
      </c>
      <c r="K126" s="14" t="s">
        <v>50</v>
      </c>
      <c r="L126" s="14" t="s">
        <v>119</v>
      </c>
      <c r="M126" s="16" t="s">
        <v>120</v>
      </c>
      <c r="N126" s="14">
        <v>5.4685499999999996</v>
      </c>
      <c r="O126" s="17" t="s">
        <v>121</v>
      </c>
      <c r="P126" s="18" t="s">
        <v>50</v>
      </c>
      <c r="Q126" s="14" t="s">
        <v>506</v>
      </c>
      <c r="R126" s="14" t="s">
        <v>50</v>
      </c>
    </row>
    <row r="127" spans="1:18" ht="15.75">
      <c r="A127" s="14" t="s">
        <v>507</v>
      </c>
      <c r="B127" s="14" t="s">
        <v>504</v>
      </c>
      <c r="C127" s="14" t="s">
        <v>505</v>
      </c>
      <c r="D127" s="14" t="s">
        <v>504</v>
      </c>
      <c r="E127" s="14" t="s">
        <v>50</v>
      </c>
      <c r="F127" s="14" t="s">
        <v>128</v>
      </c>
      <c r="G127" s="14" t="s">
        <v>50</v>
      </c>
      <c r="H127" s="14" t="s">
        <v>50</v>
      </c>
      <c r="I127" s="15" t="s">
        <v>118</v>
      </c>
      <c r="J127" s="14" t="s">
        <v>50</v>
      </c>
      <c r="K127" s="14" t="s">
        <v>50</v>
      </c>
      <c r="L127" s="14" t="s">
        <v>119</v>
      </c>
      <c r="M127" s="16" t="s">
        <v>120</v>
      </c>
      <c r="N127" s="14">
        <v>6.2128100000000002</v>
      </c>
      <c r="O127" s="17" t="s">
        <v>121</v>
      </c>
      <c r="P127" s="18" t="s">
        <v>50</v>
      </c>
      <c r="Q127" s="14" t="s">
        <v>508</v>
      </c>
      <c r="R127" s="14" t="s">
        <v>50</v>
      </c>
    </row>
    <row r="128" spans="1:18" ht="15.75">
      <c r="A128" s="14" t="s">
        <v>509</v>
      </c>
      <c r="B128" s="14" t="s">
        <v>510</v>
      </c>
      <c r="C128" s="14" t="s">
        <v>511</v>
      </c>
      <c r="D128" s="14" t="s">
        <v>510</v>
      </c>
      <c r="E128" s="14" t="s">
        <v>512</v>
      </c>
      <c r="F128" s="14" t="s">
        <v>223</v>
      </c>
      <c r="G128" s="14">
        <v>48.46</v>
      </c>
      <c r="H128" s="14">
        <v>-5.0999999999999996</v>
      </c>
      <c r="I128" s="15" t="s">
        <v>118</v>
      </c>
      <c r="J128" s="14">
        <v>568539668</v>
      </c>
      <c r="K128" s="14" t="s">
        <v>50</v>
      </c>
      <c r="L128" s="14" t="s">
        <v>119</v>
      </c>
      <c r="M128" s="16" t="s">
        <v>144</v>
      </c>
      <c r="N128" s="14">
        <v>26.93</v>
      </c>
      <c r="O128" s="14" t="s">
        <v>145</v>
      </c>
      <c r="P128" s="19" t="s">
        <v>513</v>
      </c>
      <c r="Q128" s="14" t="s">
        <v>514</v>
      </c>
      <c r="R128" s="14" t="s">
        <v>304</v>
      </c>
    </row>
    <row r="129" spans="1:18" ht="15.75">
      <c r="A129" s="14" t="s">
        <v>515</v>
      </c>
      <c r="B129" s="14" t="s">
        <v>510</v>
      </c>
      <c r="C129" s="14" t="s">
        <v>511</v>
      </c>
      <c r="D129" s="14" t="s">
        <v>510</v>
      </c>
      <c r="E129" s="14" t="s">
        <v>512</v>
      </c>
      <c r="F129" s="14" t="s">
        <v>223</v>
      </c>
      <c r="G129" s="14">
        <v>48.46</v>
      </c>
      <c r="H129" s="14">
        <v>-5.0999999999999996</v>
      </c>
      <c r="I129" s="15" t="s">
        <v>118</v>
      </c>
      <c r="J129" s="14">
        <v>566874828</v>
      </c>
      <c r="K129" s="14" t="s">
        <v>137</v>
      </c>
      <c r="L129" s="14" t="s">
        <v>119</v>
      </c>
      <c r="M129" s="16" t="s">
        <v>144</v>
      </c>
      <c r="N129" s="14">
        <v>26.67</v>
      </c>
      <c r="O129" s="14" t="s">
        <v>145</v>
      </c>
      <c r="P129" s="19" t="s">
        <v>516</v>
      </c>
      <c r="Q129" s="14" t="s">
        <v>517</v>
      </c>
      <c r="R129" s="14" t="s">
        <v>304</v>
      </c>
    </row>
    <row r="130" spans="1:18" ht="15.75">
      <c r="A130" s="14" t="s">
        <v>518</v>
      </c>
      <c r="B130" s="14" t="s">
        <v>510</v>
      </c>
      <c r="C130" s="14" t="s">
        <v>511</v>
      </c>
      <c r="D130" s="14" t="s">
        <v>510</v>
      </c>
      <c r="E130" s="14" t="s">
        <v>512</v>
      </c>
      <c r="F130" s="14" t="s">
        <v>223</v>
      </c>
      <c r="G130" s="14">
        <v>48.46</v>
      </c>
      <c r="H130" s="14">
        <v>-5.0999999999999996</v>
      </c>
      <c r="I130" s="15" t="s">
        <v>118</v>
      </c>
      <c r="J130" s="14">
        <v>577512656</v>
      </c>
      <c r="K130" s="14" t="s">
        <v>50</v>
      </c>
      <c r="L130" s="14" t="s">
        <v>119</v>
      </c>
      <c r="M130" s="16" t="s">
        <v>144</v>
      </c>
      <c r="N130" s="14">
        <v>26.82</v>
      </c>
      <c r="O130" s="14" t="s">
        <v>145</v>
      </c>
      <c r="P130" s="19" t="s">
        <v>519</v>
      </c>
      <c r="Q130" s="14" t="s">
        <v>520</v>
      </c>
      <c r="R130" s="14" t="s">
        <v>304</v>
      </c>
    </row>
    <row r="131" spans="1:18" ht="15.75">
      <c r="A131" s="14" t="s">
        <v>521</v>
      </c>
      <c r="B131" s="14" t="s">
        <v>522</v>
      </c>
      <c r="C131" s="14" t="s">
        <v>523</v>
      </c>
      <c r="D131" s="14" t="s">
        <v>522</v>
      </c>
      <c r="E131" s="14" t="s">
        <v>524</v>
      </c>
      <c r="F131" s="14" t="s">
        <v>223</v>
      </c>
      <c r="G131" s="14">
        <v>44.47</v>
      </c>
      <c r="H131" s="14">
        <v>14.99</v>
      </c>
      <c r="I131" s="15" t="s">
        <v>118</v>
      </c>
      <c r="J131" s="14">
        <v>473603924</v>
      </c>
      <c r="K131" s="14" t="s">
        <v>137</v>
      </c>
      <c r="L131" s="14" t="s">
        <v>50</v>
      </c>
      <c r="M131" s="16" t="s">
        <v>138</v>
      </c>
      <c r="N131" s="14">
        <v>18.329999999999998</v>
      </c>
      <c r="O131" s="14" t="s">
        <v>139</v>
      </c>
      <c r="P131" s="19" t="s">
        <v>525</v>
      </c>
      <c r="Q131" s="14" t="s">
        <v>50</v>
      </c>
      <c r="R131" s="14" t="s">
        <v>141</v>
      </c>
    </row>
    <row r="132" spans="1:18" ht="15.75">
      <c r="A132" s="14" t="s">
        <v>526</v>
      </c>
      <c r="B132" s="14" t="s">
        <v>522</v>
      </c>
      <c r="C132" s="14" t="s">
        <v>523</v>
      </c>
      <c r="D132" s="14" t="s">
        <v>522</v>
      </c>
      <c r="E132" s="14" t="s">
        <v>524</v>
      </c>
      <c r="F132" s="14" t="s">
        <v>223</v>
      </c>
      <c r="G132" s="14">
        <v>44.47</v>
      </c>
      <c r="H132" s="14">
        <v>14.99</v>
      </c>
      <c r="I132" s="15" t="s">
        <v>118</v>
      </c>
      <c r="J132" s="14">
        <v>480784212</v>
      </c>
      <c r="K132" s="14" t="s">
        <v>137</v>
      </c>
      <c r="L132" s="14" t="s">
        <v>50</v>
      </c>
      <c r="M132" s="16" t="s">
        <v>138</v>
      </c>
      <c r="N132" s="14">
        <v>18.649999999999999</v>
      </c>
      <c r="O132" s="14" t="s">
        <v>139</v>
      </c>
      <c r="P132" s="19" t="s">
        <v>527</v>
      </c>
      <c r="Q132" s="14" t="s">
        <v>50</v>
      </c>
      <c r="R132" s="14" t="s">
        <v>141</v>
      </c>
    </row>
    <row r="133" spans="1:18" ht="15.75">
      <c r="A133" s="14" t="s">
        <v>528</v>
      </c>
      <c r="B133" s="14" t="s">
        <v>522</v>
      </c>
      <c r="C133" s="14" t="s">
        <v>523</v>
      </c>
      <c r="D133" s="14" t="s">
        <v>522</v>
      </c>
      <c r="E133" s="14" t="s">
        <v>524</v>
      </c>
      <c r="F133" s="14" t="s">
        <v>223</v>
      </c>
      <c r="G133" s="14">
        <v>44.47</v>
      </c>
      <c r="H133" s="14">
        <v>14.99</v>
      </c>
      <c r="I133" s="15" t="s">
        <v>118</v>
      </c>
      <c r="J133" s="14">
        <v>481114330</v>
      </c>
      <c r="K133" s="14" t="s">
        <v>137</v>
      </c>
      <c r="L133" s="14" t="s">
        <v>50</v>
      </c>
      <c r="M133" s="16" t="s">
        <v>138</v>
      </c>
      <c r="N133" s="14">
        <v>20.97</v>
      </c>
      <c r="O133" s="14" t="s">
        <v>139</v>
      </c>
      <c r="P133" s="19" t="s">
        <v>529</v>
      </c>
      <c r="Q133" s="14" t="s">
        <v>50</v>
      </c>
      <c r="R133" s="14" t="s">
        <v>141</v>
      </c>
    </row>
    <row r="134" spans="1:18" ht="15.75">
      <c r="A134" s="14" t="s">
        <v>530</v>
      </c>
      <c r="B134" s="14" t="s">
        <v>531</v>
      </c>
      <c r="C134" s="14" t="s">
        <v>532</v>
      </c>
      <c r="D134" s="14" t="s">
        <v>50</v>
      </c>
      <c r="E134" s="14" t="s">
        <v>533</v>
      </c>
      <c r="F134" s="14" t="s">
        <v>223</v>
      </c>
      <c r="G134" s="14">
        <v>44.74</v>
      </c>
      <c r="H134" s="14">
        <v>20.440000000000001</v>
      </c>
      <c r="I134" s="15" t="s">
        <v>118</v>
      </c>
      <c r="J134" s="14">
        <v>414587800</v>
      </c>
      <c r="K134" s="14" t="s">
        <v>137</v>
      </c>
      <c r="L134" s="14" t="s">
        <v>50</v>
      </c>
      <c r="M134" s="16" t="s">
        <v>138</v>
      </c>
      <c r="N134" s="14">
        <v>8.75</v>
      </c>
      <c r="O134" s="14" t="s">
        <v>139</v>
      </c>
      <c r="P134" s="19" t="s">
        <v>534</v>
      </c>
      <c r="Q134" s="14" t="s">
        <v>50</v>
      </c>
      <c r="R134" s="14" t="s">
        <v>141</v>
      </c>
    </row>
    <row r="135" spans="1:18" ht="15.75">
      <c r="A135" s="14" t="s">
        <v>535</v>
      </c>
      <c r="B135" s="14" t="s">
        <v>531</v>
      </c>
      <c r="C135" s="14" t="s">
        <v>532</v>
      </c>
      <c r="D135" s="14" t="s">
        <v>50</v>
      </c>
      <c r="E135" s="14" t="s">
        <v>533</v>
      </c>
      <c r="F135" s="14" t="s">
        <v>223</v>
      </c>
      <c r="G135" s="14">
        <v>44.74</v>
      </c>
      <c r="H135" s="14">
        <v>20.440000000000001</v>
      </c>
      <c r="I135" s="15" t="s">
        <v>118</v>
      </c>
      <c r="J135" s="14">
        <v>473937722</v>
      </c>
      <c r="K135" s="14" t="s">
        <v>137</v>
      </c>
      <c r="L135" s="14" t="s">
        <v>50</v>
      </c>
      <c r="M135" s="16" t="s">
        <v>138</v>
      </c>
      <c r="N135" s="14">
        <v>9.66</v>
      </c>
      <c r="O135" s="14" t="s">
        <v>139</v>
      </c>
      <c r="P135" s="19" t="s">
        <v>536</v>
      </c>
      <c r="Q135" s="14" t="s">
        <v>50</v>
      </c>
      <c r="R135" s="14" t="s">
        <v>141</v>
      </c>
    </row>
    <row r="136" spans="1:18" ht="15.75">
      <c r="A136" s="14">
        <v>1</v>
      </c>
      <c r="B136" s="14" t="s">
        <v>537</v>
      </c>
      <c r="C136" s="14" t="s">
        <v>538</v>
      </c>
      <c r="D136" s="14" t="s">
        <v>50</v>
      </c>
      <c r="E136" s="14" t="s">
        <v>215</v>
      </c>
      <c r="F136" s="14" t="s">
        <v>117</v>
      </c>
      <c r="G136" s="14">
        <v>31.1</v>
      </c>
      <c r="H136" s="14">
        <v>30.63</v>
      </c>
      <c r="I136" s="15" t="s">
        <v>118</v>
      </c>
      <c r="J136" s="14">
        <v>461243684</v>
      </c>
      <c r="K136" s="14" t="s">
        <v>137</v>
      </c>
      <c r="L136" s="14" t="s">
        <v>50</v>
      </c>
      <c r="M136" s="16" t="s">
        <v>138</v>
      </c>
      <c r="N136" s="14">
        <v>9.17</v>
      </c>
      <c r="O136" s="14" t="s">
        <v>139</v>
      </c>
      <c r="P136" s="19" t="s">
        <v>539</v>
      </c>
      <c r="Q136" s="14" t="s">
        <v>50</v>
      </c>
      <c r="R136" s="14" t="s">
        <v>183</v>
      </c>
    </row>
    <row r="137" spans="1:18" ht="15.75">
      <c r="A137" s="14">
        <v>2</v>
      </c>
      <c r="B137" s="14" t="s">
        <v>537</v>
      </c>
      <c r="C137" s="14" t="s">
        <v>538</v>
      </c>
      <c r="D137" s="14" t="s">
        <v>50</v>
      </c>
      <c r="E137" s="14" t="s">
        <v>215</v>
      </c>
      <c r="F137" s="14" t="s">
        <v>117</v>
      </c>
      <c r="G137" s="14">
        <v>31.1</v>
      </c>
      <c r="H137" s="14">
        <v>30.63</v>
      </c>
      <c r="I137" s="15" t="s">
        <v>118</v>
      </c>
      <c r="J137" s="14">
        <v>469207332</v>
      </c>
      <c r="K137" s="14" t="s">
        <v>137</v>
      </c>
      <c r="L137" s="14" t="s">
        <v>50</v>
      </c>
      <c r="M137" s="16" t="s">
        <v>138</v>
      </c>
      <c r="N137" s="14">
        <v>9.51</v>
      </c>
      <c r="O137" s="14" t="s">
        <v>139</v>
      </c>
      <c r="P137" s="19" t="s">
        <v>540</v>
      </c>
      <c r="Q137" s="14" t="s">
        <v>50</v>
      </c>
      <c r="R137" s="14" t="s">
        <v>183</v>
      </c>
    </row>
    <row r="138" spans="1:18" ht="15.75">
      <c r="A138" s="14" t="s">
        <v>541</v>
      </c>
      <c r="B138" s="14" t="s">
        <v>537</v>
      </c>
      <c r="C138" s="14" t="s">
        <v>538</v>
      </c>
      <c r="D138" s="14" t="s">
        <v>50</v>
      </c>
      <c r="E138" s="14" t="s">
        <v>215</v>
      </c>
      <c r="F138" s="14" t="s">
        <v>117</v>
      </c>
      <c r="G138" s="14">
        <v>31.1</v>
      </c>
      <c r="H138" s="14">
        <v>30.63</v>
      </c>
      <c r="I138" s="15" t="s">
        <v>118</v>
      </c>
      <c r="J138" s="14">
        <v>427664150</v>
      </c>
      <c r="K138" s="14" t="s">
        <v>184</v>
      </c>
      <c r="L138" s="14" t="s">
        <v>50</v>
      </c>
      <c r="M138" s="16" t="s">
        <v>138</v>
      </c>
      <c r="N138" s="14" t="s">
        <v>462</v>
      </c>
      <c r="O138" s="14" t="s">
        <v>139</v>
      </c>
      <c r="P138" s="19" t="s">
        <v>542</v>
      </c>
      <c r="Q138" s="14" t="s">
        <v>50</v>
      </c>
      <c r="R138" s="14" t="s">
        <v>186</v>
      </c>
    </row>
    <row r="139" spans="1:18" ht="15.75">
      <c r="A139" s="14">
        <v>103</v>
      </c>
      <c r="B139" s="14" t="s">
        <v>543</v>
      </c>
      <c r="C139" s="14" t="s">
        <v>544</v>
      </c>
      <c r="D139" s="14" t="s">
        <v>50</v>
      </c>
      <c r="E139" s="14" t="s">
        <v>498</v>
      </c>
      <c r="F139" s="14" t="s">
        <v>117</v>
      </c>
      <c r="G139" s="14">
        <v>11.46</v>
      </c>
      <c r="H139" s="14">
        <v>0.47</v>
      </c>
      <c r="I139" s="15" t="s">
        <v>118</v>
      </c>
      <c r="J139" s="14">
        <v>491269502</v>
      </c>
      <c r="K139" s="14" t="s">
        <v>137</v>
      </c>
      <c r="L139" s="14" t="s">
        <v>50</v>
      </c>
      <c r="M139" s="16" t="s">
        <v>138</v>
      </c>
      <c r="N139" s="14">
        <v>9.93</v>
      </c>
      <c r="O139" s="14" t="s">
        <v>139</v>
      </c>
      <c r="P139" s="19" t="s">
        <v>545</v>
      </c>
      <c r="Q139" s="14" t="s">
        <v>50</v>
      </c>
      <c r="R139" s="14" t="s">
        <v>141</v>
      </c>
    </row>
    <row r="140" spans="1:18" ht="15.75">
      <c r="A140" s="14">
        <v>163</v>
      </c>
      <c r="B140" s="14" t="s">
        <v>50</v>
      </c>
      <c r="C140" s="14" t="s">
        <v>544</v>
      </c>
      <c r="D140" s="14" t="s">
        <v>543</v>
      </c>
      <c r="E140" s="14" t="s">
        <v>498</v>
      </c>
      <c r="F140" s="14" t="s">
        <v>117</v>
      </c>
      <c r="G140" s="14" t="s">
        <v>50</v>
      </c>
      <c r="H140" s="14" t="s">
        <v>50</v>
      </c>
      <c r="I140" s="15" t="s">
        <v>118</v>
      </c>
      <c r="J140" s="14">
        <v>425612682</v>
      </c>
      <c r="K140" s="14" t="s">
        <v>50</v>
      </c>
      <c r="L140" s="14" t="s">
        <v>119</v>
      </c>
      <c r="M140" s="16" t="s">
        <v>144</v>
      </c>
      <c r="N140" s="14">
        <v>19.32</v>
      </c>
      <c r="O140" s="14" t="s">
        <v>145</v>
      </c>
      <c r="P140" s="19" t="s">
        <v>546</v>
      </c>
      <c r="Q140" s="14" t="s">
        <v>547</v>
      </c>
      <c r="R140" s="14" t="s">
        <v>50</v>
      </c>
    </row>
    <row r="141" spans="1:18" ht="15.75">
      <c r="A141" s="14">
        <v>200</v>
      </c>
      <c r="B141" s="14" t="s">
        <v>543</v>
      </c>
      <c r="C141" s="14" t="s">
        <v>544</v>
      </c>
      <c r="D141" s="14" t="s">
        <v>50</v>
      </c>
      <c r="E141" s="14" t="s">
        <v>498</v>
      </c>
      <c r="F141" s="14" t="s">
        <v>117</v>
      </c>
      <c r="G141" s="14">
        <v>11.46</v>
      </c>
      <c r="H141" s="14">
        <v>0.47</v>
      </c>
      <c r="I141" s="15" t="s">
        <v>118</v>
      </c>
      <c r="J141" s="14">
        <v>454477318</v>
      </c>
      <c r="K141" s="14" t="s">
        <v>137</v>
      </c>
      <c r="L141" s="14" t="s">
        <v>50</v>
      </c>
      <c r="M141" s="16" t="s">
        <v>138</v>
      </c>
      <c r="N141" s="14">
        <v>9.11</v>
      </c>
      <c r="O141" s="14" t="s">
        <v>139</v>
      </c>
      <c r="P141" s="19" t="s">
        <v>548</v>
      </c>
      <c r="Q141" s="14" t="s">
        <v>50</v>
      </c>
      <c r="R141" s="14" t="s">
        <v>141</v>
      </c>
    </row>
    <row r="142" spans="1:18" ht="15.75">
      <c r="A142" s="14" t="s">
        <v>549</v>
      </c>
      <c r="B142" s="14" t="s">
        <v>550</v>
      </c>
      <c r="C142" s="14" t="s">
        <v>551</v>
      </c>
      <c r="D142" s="14" t="s">
        <v>550</v>
      </c>
      <c r="E142" s="14" t="s">
        <v>50</v>
      </c>
      <c r="F142" s="14" t="s">
        <v>128</v>
      </c>
      <c r="G142" s="14" t="s">
        <v>50</v>
      </c>
      <c r="H142" s="14" t="s">
        <v>50</v>
      </c>
      <c r="I142" s="15" t="s">
        <v>118</v>
      </c>
      <c r="J142" s="14" t="s">
        <v>50</v>
      </c>
      <c r="K142" s="14" t="s">
        <v>50</v>
      </c>
      <c r="L142" s="14" t="s">
        <v>119</v>
      </c>
      <c r="M142" s="16" t="s">
        <v>120</v>
      </c>
      <c r="N142" s="14">
        <v>6.5052099999999999</v>
      </c>
      <c r="O142" s="17" t="s">
        <v>121</v>
      </c>
      <c r="P142" s="18" t="s">
        <v>50</v>
      </c>
      <c r="Q142" s="14" t="s">
        <v>552</v>
      </c>
      <c r="R142" s="14" t="s">
        <v>50</v>
      </c>
    </row>
    <row r="143" spans="1:18" ht="15.75">
      <c r="A143" s="14" t="s">
        <v>553</v>
      </c>
      <c r="B143" s="14" t="s">
        <v>550</v>
      </c>
      <c r="C143" s="14" t="s">
        <v>551</v>
      </c>
      <c r="D143" s="14" t="s">
        <v>550</v>
      </c>
      <c r="E143" s="14" t="s">
        <v>50</v>
      </c>
      <c r="F143" s="14" t="s">
        <v>128</v>
      </c>
      <c r="G143" s="14" t="s">
        <v>50</v>
      </c>
      <c r="H143" s="14" t="s">
        <v>50</v>
      </c>
      <c r="I143" s="15" t="s">
        <v>118</v>
      </c>
      <c r="J143" s="14" t="s">
        <v>50</v>
      </c>
      <c r="K143" s="14" t="s">
        <v>50</v>
      </c>
      <c r="L143" s="14" t="s">
        <v>119</v>
      </c>
      <c r="M143" s="16" t="s">
        <v>120</v>
      </c>
      <c r="N143" s="14">
        <v>5.6480800000000002</v>
      </c>
      <c r="O143" s="17" t="s">
        <v>121</v>
      </c>
      <c r="P143" s="18" t="s">
        <v>50</v>
      </c>
      <c r="Q143" s="14" t="s">
        <v>554</v>
      </c>
      <c r="R143" s="14" t="s">
        <v>50</v>
      </c>
    </row>
    <row r="144" spans="1:18" ht="15.75">
      <c r="A144" s="14" t="s">
        <v>555</v>
      </c>
      <c r="B144" s="14" t="s">
        <v>556</v>
      </c>
      <c r="C144" s="14" t="s">
        <v>557</v>
      </c>
      <c r="D144" s="14" t="s">
        <v>556</v>
      </c>
      <c r="E144" s="14" t="s">
        <v>558</v>
      </c>
      <c r="F144" s="14" t="s">
        <v>223</v>
      </c>
      <c r="G144" s="14">
        <v>56.897492</v>
      </c>
      <c r="H144" s="14">
        <v>-3.9386999999999999</v>
      </c>
      <c r="I144" s="15" t="s">
        <v>118</v>
      </c>
      <c r="J144" s="14">
        <v>520733190</v>
      </c>
      <c r="K144" s="14" t="s">
        <v>50</v>
      </c>
      <c r="L144" s="14" t="s">
        <v>119</v>
      </c>
      <c r="M144" s="16" t="s">
        <v>144</v>
      </c>
      <c r="N144" s="14">
        <v>24.61</v>
      </c>
      <c r="O144" s="14" t="s">
        <v>145</v>
      </c>
      <c r="P144" s="19" t="s">
        <v>559</v>
      </c>
      <c r="Q144" s="14" t="s">
        <v>50</v>
      </c>
      <c r="R144" s="14" t="s">
        <v>304</v>
      </c>
    </row>
    <row r="145" spans="1:18" ht="15.75">
      <c r="A145" s="14" t="s">
        <v>560</v>
      </c>
      <c r="B145" s="14" t="s">
        <v>556</v>
      </c>
      <c r="C145" s="14" t="s">
        <v>557</v>
      </c>
      <c r="D145" s="14" t="s">
        <v>556</v>
      </c>
      <c r="E145" s="14" t="s">
        <v>558</v>
      </c>
      <c r="F145" s="14" t="s">
        <v>223</v>
      </c>
      <c r="G145" s="14">
        <v>56.897492</v>
      </c>
      <c r="H145" s="14">
        <v>-3.9386999999999999</v>
      </c>
      <c r="I145" s="15" t="s">
        <v>118</v>
      </c>
      <c r="J145" s="14">
        <v>531677114</v>
      </c>
      <c r="K145" s="14" t="s">
        <v>50</v>
      </c>
      <c r="L145" s="14" t="s">
        <v>119</v>
      </c>
      <c r="M145" s="16" t="s">
        <v>144</v>
      </c>
      <c r="N145" s="14">
        <v>25.15</v>
      </c>
      <c r="O145" s="14" t="s">
        <v>145</v>
      </c>
      <c r="P145" s="19" t="s">
        <v>561</v>
      </c>
      <c r="Q145" s="14" t="s">
        <v>50</v>
      </c>
      <c r="R145" s="14" t="s">
        <v>304</v>
      </c>
    </row>
    <row r="146" spans="1:18" ht="15.75">
      <c r="A146" s="14" t="s">
        <v>562</v>
      </c>
      <c r="B146" s="14" t="s">
        <v>556</v>
      </c>
      <c r="C146" s="14" t="s">
        <v>557</v>
      </c>
      <c r="D146" s="14" t="s">
        <v>556</v>
      </c>
      <c r="E146" s="14" t="s">
        <v>558</v>
      </c>
      <c r="F146" s="14" t="s">
        <v>223</v>
      </c>
      <c r="G146" s="14">
        <v>56.897492</v>
      </c>
      <c r="H146" s="14">
        <v>-3.9386999999999999</v>
      </c>
      <c r="I146" s="15" t="s">
        <v>118</v>
      </c>
      <c r="J146" s="14">
        <v>531226322</v>
      </c>
      <c r="K146" s="14" t="s">
        <v>50</v>
      </c>
      <c r="L146" s="14" t="s">
        <v>119</v>
      </c>
      <c r="M146" s="16" t="s">
        <v>144</v>
      </c>
      <c r="N146" s="14">
        <v>25.16</v>
      </c>
      <c r="O146" s="14" t="s">
        <v>145</v>
      </c>
      <c r="P146" s="19" t="s">
        <v>563</v>
      </c>
      <c r="Q146" s="14" t="s">
        <v>50</v>
      </c>
      <c r="R146" s="14" t="s">
        <v>304</v>
      </c>
    </row>
    <row r="147" spans="1:18" ht="15.75">
      <c r="A147" s="14" t="s">
        <v>564</v>
      </c>
      <c r="B147" s="14" t="s">
        <v>556</v>
      </c>
      <c r="C147" s="14" t="s">
        <v>557</v>
      </c>
      <c r="D147" s="14" t="s">
        <v>556</v>
      </c>
      <c r="E147" s="14" t="s">
        <v>558</v>
      </c>
      <c r="F147" s="14" t="s">
        <v>223</v>
      </c>
      <c r="G147" s="14">
        <v>56.897492</v>
      </c>
      <c r="H147" s="14">
        <v>-3.9386999999999999</v>
      </c>
      <c r="I147" s="15" t="s">
        <v>118</v>
      </c>
      <c r="J147" s="14">
        <v>521910720</v>
      </c>
      <c r="K147" s="14" t="s">
        <v>50</v>
      </c>
      <c r="L147" s="14" t="s">
        <v>119</v>
      </c>
      <c r="M147" s="16" t="s">
        <v>144</v>
      </c>
      <c r="N147" s="14">
        <v>24.29</v>
      </c>
      <c r="O147" s="14" t="s">
        <v>145</v>
      </c>
      <c r="P147" s="19" t="s">
        <v>565</v>
      </c>
      <c r="Q147" s="14" t="s">
        <v>50</v>
      </c>
      <c r="R147" s="14" t="s">
        <v>304</v>
      </c>
    </row>
    <row r="148" spans="1:18" ht="15.75">
      <c r="A148" s="14" t="s">
        <v>566</v>
      </c>
      <c r="B148" s="14" t="s">
        <v>556</v>
      </c>
      <c r="C148" s="14" t="s">
        <v>557</v>
      </c>
      <c r="D148" s="14" t="s">
        <v>556</v>
      </c>
      <c r="E148" s="14" t="s">
        <v>558</v>
      </c>
      <c r="F148" s="14" t="s">
        <v>223</v>
      </c>
      <c r="G148" s="14">
        <v>56.897492</v>
      </c>
      <c r="H148" s="14">
        <v>-3.9386999999999999</v>
      </c>
      <c r="I148" s="15" t="s">
        <v>118</v>
      </c>
      <c r="J148" s="14">
        <v>540012370</v>
      </c>
      <c r="K148" s="14" t="s">
        <v>137</v>
      </c>
      <c r="L148" s="14" t="s">
        <v>119</v>
      </c>
      <c r="M148" s="16" t="s">
        <v>144</v>
      </c>
      <c r="N148" s="14">
        <v>24.85</v>
      </c>
      <c r="O148" s="14" t="s">
        <v>145</v>
      </c>
      <c r="P148" s="19" t="s">
        <v>567</v>
      </c>
      <c r="Q148" s="14" t="s">
        <v>50</v>
      </c>
      <c r="R148" s="14" t="s">
        <v>141</v>
      </c>
    </row>
    <row r="149" spans="1:18" ht="15.75">
      <c r="A149" s="14" t="s">
        <v>568</v>
      </c>
      <c r="B149" s="14" t="s">
        <v>556</v>
      </c>
      <c r="C149" s="14" t="s">
        <v>557</v>
      </c>
      <c r="D149" s="14" t="s">
        <v>556</v>
      </c>
      <c r="E149" s="14" t="s">
        <v>558</v>
      </c>
      <c r="F149" s="14" t="s">
        <v>223</v>
      </c>
      <c r="G149" s="14">
        <v>56.897492</v>
      </c>
      <c r="H149" s="14">
        <v>-3.9386999999999999</v>
      </c>
      <c r="I149" s="15" t="s">
        <v>118</v>
      </c>
      <c r="J149" s="14">
        <v>79900807500</v>
      </c>
      <c r="K149" s="14" t="s">
        <v>137</v>
      </c>
      <c r="L149" s="14" t="s">
        <v>119</v>
      </c>
      <c r="M149" s="16" t="s">
        <v>144</v>
      </c>
      <c r="N149" s="14">
        <v>24.93</v>
      </c>
      <c r="O149" s="14" t="s">
        <v>145</v>
      </c>
      <c r="P149" s="19" t="s">
        <v>569</v>
      </c>
      <c r="Q149" s="14" t="s">
        <v>50</v>
      </c>
      <c r="R149" s="14" t="s">
        <v>304</v>
      </c>
    </row>
    <row r="150" spans="1:18" ht="15.75">
      <c r="A150" s="14" t="s">
        <v>570</v>
      </c>
      <c r="B150" s="14" t="s">
        <v>556</v>
      </c>
      <c r="C150" s="14" t="s">
        <v>557</v>
      </c>
      <c r="D150" s="14" t="s">
        <v>556</v>
      </c>
      <c r="E150" s="14" t="s">
        <v>558</v>
      </c>
      <c r="F150" s="14" t="s">
        <v>223</v>
      </c>
      <c r="G150" s="14">
        <v>56.897492</v>
      </c>
      <c r="H150" s="14">
        <v>-3.9386999999999999</v>
      </c>
      <c r="I150" s="15" t="s">
        <v>118</v>
      </c>
      <c r="J150" s="14">
        <v>527604010</v>
      </c>
      <c r="K150" s="14" t="s">
        <v>137</v>
      </c>
      <c r="L150" s="14" t="s">
        <v>119</v>
      </c>
      <c r="M150" s="16" t="s">
        <v>144</v>
      </c>
      <c r="N150" s="14">
        <v>24.7</v>
      </c>
      <c r="O150" s="14" t="s">
        <v>145</v>
      </c>
      <c r="P150" s="19" t="s">
        <v>571</v>
      </c>
      <c r="Q150" s="14" t="s">
        <v>50</v>
      </c>
      <c r="R150" s="14" t="s">
        <v>304</v>
      </c>
    </row>
    <row r="151" spans="1:18" ht="15.75">
      <c r="A151" s="14" t="s">
        <v>572</v>
      </c>
      <c r="B151" s="14" t="s">
        <v>573</v>
      </c>
      <c r="C151" s="14" t="s">
        <v>574</v>
      </c>
      <c r="D151" s="14" t="s">
        <v>573</v>
      </c>
      <c r="E151" s="14" t="s">
        <v>512</v>
      </c>
      <c r="F151" s="14" t="s">
        <v>223</v>
      </c>
      <c r="G151" s="14">
        <v>45.46</v>
      </c>
      <c r="H151" s="14">
        <v>2.25</v>
      </c>
      <c r="I151" s="15" t="s">
        <v>118</v>
      </c>
      <c r="J151" s="14">
        <v>531568510</v>
      </c>
      <c r="K151" s="14" t="s">
        <v>50</v>
      </c>
      <c r="L151" s="14" t="s">
        <v>119</v>
      </c>
      <c r="M151" s="16" t="s">
        <v>144</v>
      </c>
      <c r="N151" s="14">
        <v>25.43</v>
      </c>
      <c r="O151" s="14" t="s">
        <v>145</v>
      </c>
      <c r="P151" s="19" t="s">
        <v>575</v>
      </c>
      <c r="Q151" s="14" t="s">
        <v>50</v>
      </c>
      <c r="R151" s="14" t="s">
        <v>304</v>
      </c>
    </row>
    <row r="152" spans="1:18" ht="15.75">
      <c r="A152" s="14" t="s">
        <v>576</v>
      </c>
      <c r="B152" s="14" t="s">
        <v>573</v>
      </c>
      <c r="C152" s="14" t="s">
        <v>574</v>
      </c>
      <c r="D152" s="14" t="s">
        <v>573</v>
      </c>
      <c r="E152" s="14" t="s">
        <v>512</v>
      </c>
      <c r="F152" s="14" t="s">
        <v>223</v>
      </c>
      <c r="G152" s="14">
        <v>45.46</v>
      </c>
      <c r="H152" s="14">
        <v>2.25</v>
      </c>
      <c r="I152" s="15" t="s">
        <v>118</v>
      </c>
      <c r="J152" s="14">
        <v>561963204</v>
      </c>
      <c r="K152" s="14" t="s">
        <v>137</v>
      </c>
      <c r="L152" s="14" t="s">
        <v>119</v>
      </c>
      <c r="M152" s="16" t="s">
        <v>144</v>
      </c>
      <c r="N152" s="14">
        <v>26.65</v>
      </c>
      <c r="O152" s="14" t="s">
        <v>145</v>
      </c>
      <c r="P152" s="19" t="s">
        <v>577</v>
      </c>
      <c r="Q152" s="14" t="s">
        <v>50</v>
      </c>
      <c r="R152" s="14" t="s">
        <v>304</v>
      </c>
    </row>
    <row r="153" spans="1:18" ht="15.75">
      <c r="A153" s="14" t="s">
        <v>578</v>
      </c>
      <c r="B153" s="14" t="s">
        <v>573</v>
      </c>
      <c r="C153" s="14" t="s">
        <v>574</v>
      </c>
      <c r="D153" s="14" t="s">
        <v>573</v>
      </c>
      <c r="E153" s="14" t="s">
        <v>512</v>
      </c>
      <c r="F153" s="14" t="s">
        <v>223</v>
      </c>
      <c r="G153" s="14">
        <v>45.46</v>
      </c>
      <c r="H153" s="14">
        <v>2.25</v>
      </c>
      <c r="I153" s="15" t="s">
        <v>118</v>
      </c>
      <c r="J153" s="14">
        <v>600131468</v>
      </c>
      <c r="K153" s="14" t="s">
        <v>137</v>
      </c>
      <c r="L153" s="14" t="s">
        <v>119</v>
      </c>
      <c r="M153" s="16" t="s">
        <v>144</v>
      </c>
      <c r="N153" s="14">
        <v>27.79</v>
      </c>
      <c r="O153" s="14" t="s">
        <v>145</v>
      </c>
      <c r="P153" s="19" t="s">
        <v>579</v>
      </c>
      <c r="Q153" s="14" t="s">
        <v>50</v>
      </c>
      <c r="R153" s="14" t="s">
        <v>304</v>
      </c>
    </row>
    <row r="154" spans="1:18" ht="15.75">
      <c r="A154" s="14" t="s">
        <v>580</v>
      </c>
      <c r="B154" s="14" t="s">
        <v>573</v>
      </c>
      <c r="C154" s="14" t="s">
        <v>574</v>
      </c>
      <c r="D154" s="14" t="s">
        <v>573</v>
      </c>
      <c r="E154" s="14" t="s">
        <v>512</v>
      </c>
      <c r="F154" s="14" t="s">
        <v>223</v>
      </c>
      <c r="G154" s="14">
        <v>45.46</v>
      </c>
      <c r="H154" s="14">
        <v>2.25</v>
      </c>
      <c r="I154" s="15" t="s">
        <v>118</v>
      </c>
      <c r="J154" s="14">
        <v>584217420</v>
      </c>
      <c r="K154" s="14" t="s">
        <v>50</v>
      </c>
      <c r="L154" s="14" t="s">
        <v>119</v>
      </c>
      <c r="M154" s="16" t="s">
        <v>144</v>
      </c>
      <c r="N154" s="14">
        <v>28.31</v>
      </c>
      <c r="O154" s="14" t="s">
        <v>145</v>
      </c>
      <c r="P154" s="19" t="s">
        <v>581</v>
      </c>
      <c r="Q154" s="14" t="s">
        <v>50</v>
      </c>
      <c r="R154" s="14" t="s">
        <v>304</v>
      </c>
    </row>
    <row r="155" spans="1:18" ht="15.75">
      <c r="A155" s="14" t="s">
        <v>582</v>
      </c>
      <c r="B155" s="14" t="s">
        <v>573</v>
      </c>
      <c r="C155" s="14" t="s">
        <v>574</v>
      </c>
      <c r="D155" s="14" t="s">
        <v>573</v>
      </c>
      <c r="E155" s="14" t="s">
        <v>512</v>
      </c>
      <c r="F155" s="14" t="s">
        <v>223</v>
      </c>
      <c r="G155" s="14">
        <v>45.46</v>
      </c>
      <c r="H155" s="14">
        <v>2.25</v>
      </c>
      <c r="I155" s="15" t="s">
        <v>118</v>
      </c>
      <c r="J155" s="14">
        <v>541751276</v>
      </c>
      <c r="K155" s="14" t="s">
        <v>50</v>
      </c>
      <c r="L155" s="14" t="s">
        <v>119</v>
      </c>
      <c r="M155" s="16" t="s">
        <v>144</v>
      </c>
      <c r="N155" s="14">
        <v>25.95</v>
      </c>
      <c r="O155" s="14" t="s">
        <v>145</v>
      </c>
      <c r="P155" s="19" t="s">
        <v>583</v>
      </c>
      <c r="Q155" s="14" t="s">
        <v>50</v>
      </c>
      <c r="R155" s="14" t="s">
        <v>304</v>
      </c>
    </row>
    <row r="156" spans="1:18" ht="15.75">
      <c r="A156" s="14" t="s">
        <v>584</v>
      </c>
      <c r="B156" s="14" t="s">
        <v>573</v>
      </c>
      <c r="C156" s="14" t="s">
        <v>574</v>
      </c>
      <c r="D156" s="14" t="s">
        <v>573</v>
      </c>
      <c r="E156" s="14" t="s">
        <v>512</v>
      </c>
      <c r="F156" s="14" t="s">
        <v>223</v>
      </c>
      <c r="G156" s="14">
        <v>45.46</v>
      </c>
      <c r="H156" s="14">
        <v>2.25</v>
      </c>
      <c r="I156" s="15" t="s">
        <v>118</v>
      </c>
      <c r="J156" s="14">
        <v>531186766</v>
      </c>
      <c r="K156" s="14" t="s">
        <v>50</v>
      </c>
      <c r="L156" s="14" t="s">
        <v>119</v>
      </c>
      <c r="M156" s="16" t="s">
        <v>144</v>
      </c>
      <c r="N156" s="14">
        <v>25.69</v>
      </c>
      <c r="O156" s="14" t="s">
        <v>145</v>
      </c>
      <c r="P156" s="19" t="s">
        <v>585</v>
      </c>
      <c r="Q156" s="14" t="s">
        <v>50</v>
      </c>
      <c r="R156" s="14" t="s">
        <v>304</v>
      </c>
    </row>
    <row r="157" spans="1:18" ht="15.75">
      <c r="A157" s="14" t="s">
        <v>586</v>
      </c>
      <c r="B157" s="14" t="s">
        <v>573</v>
      </c>
      <c r="C157" s="14" t="s">
        <v>574</v>
      </c>
      <c r="D157" s="14" t="s">
        <v>573</v>
      </c>
      <c r="E157" s="14" t="s">
        <v>512</v>
      </c>
      <c r="F157" s="14" t="s">
        <v>223</v>
      </c>
      <c r="G157" s="14">
        <v>45.46</v>
      </c>
      <c r="H157" s="14">
        <v>2.25</v>
      </c>
      <c r="I157" s="15" t="s">
        <v>118</v>
      </c>
      <c r="J157" s="14">
        <v>545564132</v>
      </c>
      <c r="K157" s="14" t="s">
        <v>50</v>
      </c>
      <c r="L157" s="14" t="s">
        <v>119</v>
      </c>
      <c r="M157" s="16" t="s">
        <v>144</v>
      </c>
      <c r="N157" s="14">
        <v>26.23</v>
      </c>
      <c r="O157" s="14" t="s">
        <v>145</v>
      </c>
      <c r="P157" s="19" t="s">
        <v>587</v>
      </c>
      <c r="Q157" s="14" t="s">
        <v>50</v>
      </c>
      <c r="R157" s="14" t="s">
        <v>304</v>
      </c>
    </row>
    <row r="158" spans="1:18" ht="15.75">
      <c r="A158" s="14" t="s">
        <v>588</v>
      </c>
      <c r="B158" s="14" t="s">
        <v>573</v>
      </c>
      <c r="C158" s="14" t="s">
        <v>574</v>
      </c>
      <c r="D158" s="14" t="s">
        <v>573</v>
      </c>
      <c r="E158" s="14" t="s">
        <v>512</v>
      </c>
      <c r="F158" s="14" t="s">
        <v>223</v>
      </c>
      <c r="G158" s="14">
        <v>45.46</v>
      </c>
      <c r="H158" s="14">
        <v>2.25</v>
      </c>
      <c r="I158" s="15" t="s">
        <v>118</v>
      </c>
      <c r="J158" s="14">
        <v>541873708</v>
      </c>
      <c r="K158" s="14" t="s">
        <v>50</v>
      </c>
      <c r="L158" s="14" t="s">
        <v>119</v>
      </c>
      <c r="M158" s="16" t="s">
        <v>144</v>
      </c>
      <c r="N158" s="14">
        <v>26.3</v>
      </c>
      <c r="O158" s="14" t="s">
        <v>145</v>
      </c>
      <c r="P158" s="19" t="s">
        <v>589</v>
      </c>
      <c r="Q158" s="14" t="s">
        <v>50</v>
      </c>
      <c r="R158" s="14" t="s">
        <v>304</v>
      </c>
    </row>
    <row r="159" spans="1:18" ht="15.75">
      <c r="A159" s="14" t="s">
        <v>590</v>
      </c>
      <c r="B159" s="14" t="s">
        <v>573</v>
      </c>
      <c r="C159" s="14" t="s">
        <v>574</v>
      </c>
      <c r="D159" s="14" t="s">
        <v>573</v>
      </c>
      <c r="E159" s="14" t="s">
        <v>512</v>
      </c>
      <c r="F159" s="14" t="s">
        <v>223</v>
      </c>
      <c r="G159" s="14">
        <v>45.46</v>
      </c>
      <c r="H159" s="14">
        <v>2.25</v>
      </c>
      <c r="I159" s="15" t="s">
        <v>118</v>
      </c>
      <c r="J159" s="14">
        <v>545040432</v>
      </c>
      <c r="K159" s="14" t="s">
        <v>50</v>
      </c>
      <c r="L159" s="14" t="s">
        <v>119</v>
      </c>
      <c r="M159" s="16" t="s">
        <v>144</v>
      </c>
      <c r="N159" s="14">
        <v>26.17</v>
      </c>
      <c r="O159" s="14" t="s">
        <v>145</v>
      </c>
      <c r="P159" s="19" t="s">
        <v>591</v>
      </c>
      <c r="Q159" s="14" t="s">
        <v>50</v>
      </c>
      <c r="R159" s="14" t="s">
        <v>304</v>
      </c>
    </row>
    <row r="160" spans="1:18" ht="15.75">
      <c r="A160" s="14" t="s">
        <v>592</v>
      </c>
      <c r="B160" s="14" t="s">
        <v>573</v>
      </c>
      <c r="C160" s="14" t="s">
        <v>574</v>
      </c>
      <c r="D160" s="14" t="s">
        <v>573</v>
      </c>
      <c r="E160" s="14" t="s">
        <v>512</v>
      </c>
      <c r="F160" s="14" t="s">
        <v>223</v>
      </c>
      <c r="G160" s="14">
        <v>45.46</v>
      </c>
      <c r="H160" s="14">
        <v>2.25</v>
      </c>
      <c r="I160" s="15" t="s">
        <v>118</v>
      </c>
      <c r="J160" s="14">
        <v>536654392</v>
      </c>
      <c r="K160" s="14" t="s">
        <v>137</v>
      </c>
      <c r="L160" s="14" t="s">
        <v>119</v>
      </c>
      <c r="M160" s="16" t="s">
        <v>144</v>
      </c>
      <c r="N160" s="14">
        <v>26.21</v>
      </c>
      <c r="O160" s="14" t="s">
        <v>145</v>
      </c>
      <c r="P160" s="19" t="s">
        <v>593</v>
      </c>
      <c r="Q160" s="14" t="s">
        <v>50</v>
      </c>
      <c r="R160" s="14" t="s">
        <v>304</v>
      </c>
    </row>
    <row r="161" spans="1:18" ht="15.75">
      <c r="A161" s="14" t="s">
        <v>594</v>
      </c>
      <c r="B161" s="14" t="s">
        <v>50</v>
      </c>
      <c r="C161" s="14" t="s">
        <v>595</v>
      </c>
      <c r="D161" s="14" t="s">
        <v>596</v>
      </c>
      <c r="E161" s="14" t="s">
        <v>597</v>
      </c>
      <c r="F161" s="14" t="s">
        <v>223</v>
      </c>
      <c r="G161" s="14" t="s">
        <v>50</v>
      </c>
      <c r="H161" s="14" t="s">
        <v>50</v>
      </c>
      <c r="I161" s="15" t="s">
        <v>118</v>
      </c>
      <c r="J161" s="14">
        <v>520722616</v>
      </c>
      <c r="K161" s="14" t="s">
        <v>50</v>
      </c>
      <c r="L161" s="14" t="s">
        <v>119</v>
      </c>
      <c r="M161" s="16" t="s">
        <v>144</v>
      </c>
      <c r="N161" s="14">
        <v>25.62</v>
      </c>
      <c r="O161" s="14" t="s">
        <v>145</v>
      </c>
      <c r="P161" s="19" t="s">
        <v>598</v>
      </c>
      <c r="Q161" s="14" t="s">
        <v>599</v>
      </c>
      <c r="R161" s="14" t="s">
        <v>50</v>
      </c>
    </row>
    <row r="162" spans="1:18" ht="15.75">
      <c r="A162" s="14" t="s">
        <v>600</v>
      </c>
      <c r="B162" s="14" t="s">
        <v>50</v>
      </c>
      <c r="C162" s="14" t="s">
        <v>595</v>
      </c>
      <c r="D162" s="14" t="s">
        <v>596</v>
      </c>
      <c r="E162" s="14" t="s">
        <v>597</v>
      </c>
      <c r="F162" s="14" t="s">
        <v>223</v>
      </c>
      <c r="G162" s="14" t="s">
        <v>50</v>
      </c>
      <c r="H162" s="14" t="s">
        <v>50</v>
      </c>
      <c r="I162" s="15" t="s">
        <v>118</v>
      </c>
      <c r="J162" s="14">
        <v>557767122</v>
      </c>
      <c r="K162" s="14" t="s">
        <v>50</v>
      </c>
      <c r="L162" s="14" t="s">
        <v>119</v>
      </c>
      <c r="M162" s="16" t="s">
        <v>144</v>
      </c>
      <c r="N162" s="14">
        <v>27.74</v>
      </c>
      <c r="O162" s="14" t="s">
        <v>145</v>
      </c>
      <c r="P162" s="19" t="s">
        <v>601</v>
      </c>
      <c r="Q162" s="14" t="s">
        <v>602</v>
      </c>
      <c r="R162" s="14" t="s">
        <v>50</v>
      </c>
    </row>
    <row r="163" spans="1:18" ht="15.75">
      <c r="A163" s="14" t="s">
        <v>603</v>
      </c>
      <c r="B163" s="14" t="s">
        <v>50</v>
      </c>
      <c r="C163" s="14" t="s">
        <v>595</v>
      </c>
      <c r="D163" s="14" t="s">
        <v>596</v>
      </c>
      <c r="E163" s="14" t="s">
        <v>597</v>
      </c>
      <c r="F163" s="14" t="s">
        <v>223</v>
      </c>
      <c r="G163" s="14" t="s">
        <v>50</v>
      </c>
      <c r="H163" s="14" t="s">
        <v>50</v>
      </c>
      <c r="I163" s="15" t="s">
        <v>118</v>
      </c>
      <c r="J163" s="14">
        <v>618986928</v>
      </c>
      <c r="K163" s="14" t="s">
        <v>50</v>
      </c>
      <c r="L163" s="14" t="s">
        <v>119</v>
      </c>
      <c r="M163" s="16" t="s">
        <v>144</v>
      </c>
      <c r="N163" s="14">
        <v>28.63</v>
      </c>
      <c r="O163" s="14" t="s">
        <v>145</v>
      </c>
      <c r="P163" s="19" t="s">
        <v>604</v>
      </c>
      <c r="Q163" s="14" t="s">
        <v>605</v>
      </c>
      <c r="R163" s="14" t="s">
        <v>50</v>
      </c>
    </row>
    <row r="164" spans="1:18" ht="15.75">
      <c r="A164" s="14" t="s">
        <v>606</v>
      </c>
      <c r="B164" s="14" t="s">
        <v>50</v>
      </c>
      <c r="C164" s="14" t="s">
        <v>595</v>
      </c>
      <c r="D164" s="14" t="s">
        <v>596</v>
      </c>
      <c r="E164" s="14" t="s">
        <v>597</v>
      </c>
      <c r="F164" s="14" t="s">
        <v>223</v>
      </c>
      <c r="G164" s="14" t="s">
        <v>50</v>
      </c>
      <c r="H164" s="14" t="s">
        <v>50</v>
      </c>
      <c r="I164" s="15" t="s">
        <v>118</v>
      </c>
      <c r="J164" s="14">
        <v>537817002</v>
      </c>
      <c r="K164" s="14" t="s">
        <v>50</v>
      </c>
      <c r="L164" s="14" t="s">
        <v>119</v>
      </c>
      <c r="M164" s="16" t="s">
        <v>144</v>
      </c>
      <c r="N164" s="14">
        <v>24.95</v>
      </c>
      <c r="O164" s="14" t="s">
        <v>145</v>
      </c>
      <c r="P164" s="19" t="s">
        <v>607</v>
      </c>
      <c r="Q164" s="14" t="s">
        <v>608</v>
      </c>
      <c r="R164" s="14" t="s">
        <v>50</v>
      </c>
    </row>
    <row r="165" spans="1:18" ht="15.75">
      <c r="A165" s="14" t="s">
        <v>609</v>
      </c>
      <c r="B165" s="14" t="s">
        <v>50</v>
      </c>
      <c r="C165" s="14" t="s">
        <v>595</v>
      </c>
      <c r="D165" s="14" t="s">
        <v>596</v>
      </c>
      <c r="E165" s="14" t="s">
        <v>597</v>
      </c>
      <c r="F165" s="14" t="s">
        <v>223</v>
      </c>
      <c r="G165" s="14" t="s">
        <v>50</v>
      </c>
      <c r="H165" s="14" t="s">
        <v>50</v>
      </c>
      <c r="I165" s="15" t="s">
        <v>118</v>
      </c>
      <c r="J165" s="14">
        <v>558167632</v>
      </c>
      <c r="K165" s="14" t="s">
        <v>50</v>
      </c>
      <c r="L165" s="14" t="s">
        <v>119</v>
      </c>
      <c r="M165" s="16" t="s">
        <v>144</v>
      </c>
      <c r="N165" s="14">
        <v>26.02</v>
      </c>
      <c r="O165" s="14" t="s">
        <v>145</v>
      </c>
      <c r="P165" s="19" t="s">
        <v>610</v>
      </c>
      <c r="Q165" s="14" t="s">
        <v>611</v>
      </c>
      <c r="R165" s="14" t="s">
        <v>50</v>
      </c>
    </row>
    <row r="166" spans="1:18" ht="15.75">
      <c r="A166" s="14" t="s">
        <v>612</v>
      </c>
      <c r="B166" s="14" t="s">
        <v>50</v>
      </c>
      <c r="C166" s="14" t="s">
        <v>595</v>
      </c>
      <c r="D166" s="14" t="s">
        <v>596</v>
      </c>
      <c r="E166" s="14" t="s">
        <v>597</v>
      </c>
      <c r="F166" s="14" t="s">
        <v>223</v>
      </c>
      <c r="G166" s="14" t="s">
        <v>50</v>
      </c>
      <c r="H166" s="14" t="s">
        <v>50</v>
      </c>
      <c r="I166" s="15" t="s">
        <v>118</v>
      </c>
      <c r="J166" s="14">
        <v>626407284</v>
      </c>
      <c r="K166" s="14" t="s">
        <v>50</v>
      </c>
      <c r="L166" s="14" t="s">
        <v>119</v>
      </c>
      <c r="M166" s="16" t="s">
        <v>144</v>
      </c>
      <c r="N166" s="14">
        <v>28.47</v>
      </c>
      <c r="O166" s="14" t="s">
        <v>145</v>
      </c>
      <c r="P166" s="19" t="s">
        <v>613</v>
      </c>
      <c r="Q166" s="14" t="s">
        <v>614</v>
      </c>
      <c r="R166" s="14" t="s">
        <v>50</v>
      </c>
    </row>
    <row r="167" spans="1:18" ht="15.75">
      <c r="A167" s="14" t="s">
        <v>615</v>
      </c>
      <c r="B167" s="14" t="s">
        <v>50</v>
      </c>
      <c r="C167" s="14" t="s">
        <v>595</v>
      </c>
      <c r="D167" s="14" t="s">
        <v>596</v>
      </c>
      <c r="E167" s="14" t="s">
        <v>597</v>
      </c>
      <c r="F167" s="14" t="s">
        <v>223</v>
      </c>
      <c r="G167" s="14" t="s">
        <v>50</v>
      </c>
      <c r="H167" s="14" t="s">
        <v>50</v>
      </c>
      <c r="I167" s="15" t="s">
        <v>118</v>
      </c>
      <c r="J167" s="14">
        <v>525625684</v>
      </c>
      <c r="K167" s="14" t="s">
        <v>50</v>
      </c>
      <c r="L167" s="14" t="s">
        <v>119</v>
      </c>
      <c r="M167" s="16" t="s">
        <v>144</v>
      </c>
      <c r="N167" s="14">
        <v>25.67</v>
      </c>
      <c r="O167" s="14" t="s">
        <v>145</v>
      </c>
      <c r="P167" s="19" t="s">
        <v>616</v>
      </c>
      <c r="Q167" s="14" t="s">
        <v>617</v>
      </c>
      <c r="R167" s="14" t="s">
        <v>50</v>
      </c>
    </row>
    <row r="168" spans="1:18" ht="15.75">
      <c r="A168" s="14" t="s">
        <v>618</v>
      </c>
      <c r="B168" s="14" t="s">
        <v>50</v>
      </c>
      <c r="C168" s="14" t="s">
        <v>595</v>
      </c>
      <c r="D168" s="14" t="s">
        <v>596</v>
      </c>
      <c r="E168" s="14" t="s">
        <v>597</v>
      </c>
      <c r="F168" s="14" t="s">
        <v>223</v>
      </c>
      <c r="G168" s="14" t="s">
        <v>50</v>
      </c>
      <c r="H168" s="14" t="s">
        <v>50</v>
      </c>
      <c r="I168" s="15" t="s">
        <v>118</v>
      </c>
      <c r="J168" s="14">
        <v>531715070</v>
      </c>
      <c r="K168" s="14" t="s">
        <v>50</v>
      </c>
      <c r="L168" s="14" t="s">
        <v>119</v>
      </c>
      <c r="M168" s="16" t="s">
        <v>144</v>
      </c>
      <c r="N168" s="14">
        <v>25.37</v>
      </c>
      <c r="O168" s="14" t="s">
        <v>145</v>
      </c>
      <c r="P168" s="19" t="s">
        <v>619</v>
      </c>
      <c r="Q168" s="14" t="s">
        <v>620</v>
      </c>
      <c r="R168" s="14" t="s">
        <v>50</v>
      </c>
    </row>
    <row r="169" spans="1:18" ht="15.75">
      <c r="A169" s="14" t="s">
        <v>621</v>
      </c>
      <c r="B169" s="14" t="s">
        <v>50</v>
      </c>
      <c r="C169" s="14" t="s">
        <v>595</v>
      </c>
      <c r="D169" s="14" t="s">
        <v>596</v>
      </c>
      <c r="E169" s="14" t="s">
        <v>597</v>
      </c>
      <c r="F169" s="14" t="s">
        <v>223</v>
      </c>
      <c r="G169" s="14" t="s">
        <v>50</v>
      </c>
      <c r="H169" s="14" t="s">
        <v>50</v>
      </c>
      <c r="I169" s="15" t="s">
        <v>118</v>
      </c>
      <c r="J169" s="14">
        <v>538055256</v>
      </c>
      <c r="K169" s="14" t="s">
        <v>50</v>
      </c>
      <c r="L169" s="14" t="s">
        <v>119</v>
      </c>
      <c r="M169" s="16" t="s">
        <v>144</v>
      </c>
      <c r="N169" s="14">
        <v>26.15</v>
      </c>
      <c r="O169" s="14" t="s">
        <v>145</v>
      </c>
      <c r="P169" s="19" t="s">
        <v>622</v>
      </c>
      <c r="Q169" s="14" t="s">
        <v>623</v>
      </c>
      <c r="R169" s="14" t="s">
        <v>50</v>
      </c>
    </row>
    <row r="170" spans="1:18" ht="15.75">
      <c r="A170" s="14" t="s">
        <v>624</v>
      </c>
      <c r="B170" s="14" t="s">
        <v>50</v>
      </c>
      <c r="C170" s="14" t="s">
        <v>595</v>
      </c>
      <c r="D170" s="14" t="s">
        <v>596</v>
      </c>
      <c r="E170" s="14" t="s">
        <v>597</v>
      </c>
      <c r="F170" s="14" t="s">
        <v>223</v>
      </c>
      <c r="G170" s="14" t="s">
        <v>50</v>
      </c>
      <c r="H170" s="14" t="s">
        <v>50</v>
      </c>
      <c r="I170" s="15" t="s">
        <v>118</v>
      </c>
      <c r="J170" s="14">
        <v>523596930</v>
      </c>
      <c r="K170" s="14" t="s">
        <v>50</v>
      </c>
      <c r="L170" s="14" t="s">
        <v>119</v>
      </c>
      <c r="M170" s="16" t="s">
        <v>144</v>
      </c>
      <c r="N170" s="14">
        <v>25.75</v>
      </c>
      <c r="O170" s="14" t="s">
        <v>145</v>
      </c>
      <c r="P170" s="19" t="s">
        <v>625</v>
      </c>
      <c r="Q170" s="14" t="s">
        <v>626</v>
      </c>
      <c r="R170" s="14" t="s">
        <v>50</v>
      </c>
    </row>
    <row r="171" spans="1:18" ht="15.75">
      <c r="A171" s="14" t="s">
        <v>627</v>
      </c>
      <c r="B171" s="14" t="s">
        <v>628</v>
      </c>
      <c r="C171" s="14" t="s">
        <v>629</v>
      </c>
      <c r="D171" s="14" t="s">
        <v>628</v>
      </c>
      <c r="E171" s="14" t="s">
        <v>301</v>
      </c>
      <c r="F171" s="14" t="s">
        <v>223</v>
      </c>
      <c r="G171" s="14">
        <v>53.06</v>
      </c>
      <c r="H171" s="14">
        <v>4.75</v>
      </c>
      <c r="I171" s="15" t="s">
        <v>118</v>
      </c>
      <c r="J171" s="14">
        <v>446796852</v>
      </c>
      <c r="K171" s="14" t="s">
        <v>137</v>
      </c>
      <c r="L171" s="14" t="s">
        <v>50</v>
      </c>
      <c r="M171" s="16" t="s">
        <v>138</v>
      </c>
      <c r="N171" s="14">
        <v>8.9600000000000009</v>
      </c>
      <c r="O171" s="14" t="s">
        <v>139</v>
      </c>
      <c r="P171" s="19" t="s">
        <v>630</v>
      </c>
      <c r="Q171" s="14" t="s">
        <v>50</v>
      </c>
      <c r="R171" s="14" t="s">
        <v>141</v>
      </c>
    </row>
    <row r="172" spans="1:18" ht="15.75">
      <c r="A172" s="14" t="s">
        <v>631</v>
      </c>
      <c r="B172" s="14" t="s">
        <v>628</v>
      </c>
      <c r="C172" s="14" t="s">
        <v>629</v>
      </c>
      <c r="D172" s="14" t="s">
        <v>628</v>
      </c>
      <c r="E172" s="14" t="s">
        <v>301</v>
      </c>
      <c r="F172" s="14" t="s">
        <v>223</v>
      </c>
      <c r="G172" s="14">
        <v>53.06</v>
      </c>
      <c r="H172" s="14">
        <v>4.75</v>
      </c>
      <c r="I172" s="15" t="s">
        <v>118</v>
      </c>
      <c r="J172" s="14">
        <v>502244158</v>
      </c>
      <c r="K172" s="14" t="s">
        <v>137</v>
      </c>
      <c r="L172" s="14" t="s">
        <v>50</v>
      </c>
      <c r="M172" s="16" t="s">
        <v>138</v>
      </c>
      <c r="N172" s="14">
        <v>9.84</v>
      </c>
      <c r="O172" s="14" t="s">
        <v>139</v>
      </c>
      <c r="P172" s="19" t="s">
        <v>632</v>
      </c>
      <c r="Q172" s="14" t="s">
        <v>50</v>
      </c>
      <c r="R172" s="14" t="s">
        <v>141</v>
      </c>
    </row>
    <row r="173" spans="1:18" ht="15.75">
      <c r="A173" s="14" t="s">
        <v>633</v>
      </c>
      <c r="B173" s="14" t="s">
        <v>628</v>
      </c>
      <c r="C173" s="14" t="s">
        <v>629</v>
      </c>
      <c r="D173" s="14" t="s">
        <v>628</v>
      </c>
      <c r="E173" s="14" t="s">
        <v>301</v>
      </c>
      <c r="F173" s="14" t="s">
        <v>223</v>
      </c>
      <c r="G173" s="14">
        <v>53.06</v>
      </c>
      <c r="H173" s="14">
        <v>4.75</v>
      </c>
      <c r="I173" s="15" t="s">
        <v>118</v>
      </c>
      <c r="J173" s="14">
        <v>509750822</v>
      </c>
      <c r="K173" s="14" t="s">
        <v>137</v>
      </c>
      <c r="L173" s="14" t="s">
        <v>50</v>
      </c>
      <c r="M173" s="16" t="s">
        <v>138</v>
      </c>
      <c r="N173" s="14">
        <v>10.72</v>
      </c>
      <c r="O173" s="14" t="s">
        <v>139</v>
      </c>
      <c r="P173" s="19" t="s">
        <v>634</v>
      </c>
      <c r="Q173" s="14" t="s">
        <v>50</v>
      </c>
      <c r="R173" s="14" t="s">
        <v>141</v>
      </c>
    </row>
    <row r="174" spans="1:18" ht="15.75">
      <c r="A174" s="14">
        <v>5207</v>
      </c>
      <c r="B174" s="14" t="s">
        <v>635</v>
      </c>
      <c r="C174" s="14" t="s">
        <v>636</v>
      </c>
      <c r="D174" s="14" t="s">
        <v>50</v>
      </c>
      <c r="E174" s="14" t="s">
        <v>461</v>
      </c>
      <c r="F174" s="14" t="s">
        <v>136</v>
      </c>
      <c r="G174" s="14">
        <v>30.09</v>
      </c>
      <c r="H174" s="14">
        <v>71.34</v>
      </c>
      <c r="I174" s="15" t="s">
        <v>118</v>
      </c>
      <c r="J174" s="14">
        <v>532275794</v>
      </c>
      <c r="K174" s="14" t="s">
        <v>137</v>
      </c>
      <c r="L174" s="14" t="s">
        <v>50</v>
      </c>
      <c r="M174" s="16" t="s">
        <v>138</v>
      </c>
      <c r="N174" s="14">
        <v>10.25</v>
      </c>
      <c r="O174" s="14" t="s">
        <v>139</v>
      </c>
      <c r="P174" s="19" t="s">
        <v>637</v>
      </c>
      <c r="Q174" s="14" t="s">
        <v>50</v>
      </c>
      <c r="R174" s="14" t="s">
        <v>183</v>
      </c>
    </row>
    <row r="175" spans="1:18" ht="15.75">
      <c r="A175" s="14">
        <v>5212</v>
      </c>
      <c r="B175" s="14" t="s">
        <v>635</v>
      </c>
      <c r="C175" s="14" t="s">
        <v>636</v>
      </c>
      <c r="D175" s="14" t="s">
        <v>50</v>
      </c>
      <c r="E175" s="14" t="s">
        <v>461</v>
      </c>
      <c r="F175" s="14" t="s">
        <v>136</v>
      </c>
      <c r="G175" s="14">
        <v>30.09</v>
      </c>
      <c r="H175" s="14">
        <v>71.34</v>
      </c>
      <c r="I175" s="15" t="s">
        <v>118</v>
      </c>
      <c r="J175" s="14">
        <v>501065106</v>
      </c>
      <c r="K175" s="14" t="s">
        <v>137</v>
      </c>
      <c r="L175" s="14" t="s">
        <v>50</v>
      </c>
      <c r="M175" s="16" t="s">
        <v>138</v>
      </c>
      <c r="N175" s="14">
        <v>9.4499999999999993</v>
      </c>
      <c r="O175" s="14" t="s">
        <v>139</v>
      </c>
      <c r="P175" s="19" t="s">
        <v>638</v>
      </c>
      <c r="Q175" s="14" t="s">
        <v>50</v>
      </c>
      <c r="R175" s="14" t="s">
        <v>183</v>
      </c>
    </row>
    <row r="176" spans="1:18" ht="15.75">
      <c r="A176" s="14">
        <v>5218</v>
      </c>
      <c r="B176" s="14" t="s">
        <v>635</v>
      </c>
      <c r="C176" s="14" t="s">
        <v>636</v>
      </c>
      <c r="D176" s="14" t="s">
        <v>50</v>
      </c>
      <c r="E176" s="14" t="s">
        <v>461</v>
      </c>
      <c r="F176" s="14" t="s">
        <v>136</v>
      </c>
      <c r="G176" s="14">
        <v>30.09</v>
      </c>
      <c r="H176" s="14">
        <v>71.34</v>
      </c>
      <c r="I176" s="15" t="s">
        <v>118</v>
      </c>
      <c r="J176" s="14">
        <v>511098650</v>
      </c>
      <c r="K176" s="14" t="s">
        <v>184</v>
      </c>
      <c r="L176" s="14" t="s">
        <v>50</v>
      </c>
      <c r="M176" s="16" t="s">
        <v>138</v>
      </c>
      <c r="N176" s="14" t="s">
        <v>462</v>
      </c>
      <c r="O176" s="14" t="s">
        <v>139</v>
      </c>
      <c r="P176" s="19" t="s">
        <v>639</v>
      </c>
      <c r="Q176" s="14" t="s">
        <v>50</v>
      </c>
      <c r="R176" s="14" t="s">
        <v>186</v>
      </c>
    </row>
    <row r="177" spans="1:18" ht="15.75">
      <c r="A177" s="14" t="s">
        <v>640</v>
      </c>
      <c r="B177" s="14" t="s">
        <v>641</v>
      </c>
      <c r="C177" s="14" t="s">
        <v>642</v>
      </c>
      <c r="D177" s="14" t="s">
        <v>641</v>
      </c>
      <c r="E177" s="14" t="s">
        <v>50</v>
      </c>
      <c r="F177" s="14" t="s">
        <v>128</v>
      </c>
      <c r="G177" s="14" t="s">
        <v>50</v>
      </c>
      <c r="H177" s="14" t="s">
        <v>50</v>
      </c>
      <c r="I177" s="15" t="s">
        <v>118</v>
      </c>
      <c r="J177" s="14" t="s">
        <v>50</v>
      </c>
      <c r="K177" s="14" t="s">
        <v>50</v>
      </c>
      <c r="L177" s="14" t="s">
        <v>119</v>
      </c>
      <c r="M177" s="16" t="s">
        <v>120</v>
      </c>
      <c r="N177" s="14">
        <v>4.8112700000000004</v>
      </c>
      <c r="O177" s="17" t="s">
        <v>121</v>
      </c>
      <c r="P177" s="18" t="s">
        <v>50</v>
      </c>
      <c r="Q177" s="14" t="s">
        <v>643</v>
      </c>
      <c r="R177" s="14" t="s">
        <v>50</v>
      </c>
    </row>
    <row r="178" spans="1:18" ht="15.75">
      <c r="A178" s="14" t="s">
        <v>644</v>
      </c>
      <c r="B178" s="14" t="s">
        <v>641</v>
      </c>
      <c r="C178" s="14" t="s">
        <v>642</v>
      </c>
      <c r="D178" s="14" t="s">
        <v>641</v>
      </c>
      <c r="E178" s="14" t="s">
        <v>50</v>
      </c>
      <c r="F178" s="14" t="s">
        <v>128</v>
      </c>
      <c r="G178" s="14" t="s">
        <v>50</v>
      </c>
      <c r="H178" s="14" t="s">
        <v>50</v>
      </c>
      <c r="I178" s="15" t="s">
        <v>118</v>
      </c>
      <c r="J178" s="14" t="s">
        <v>50</v>
      </c>
      <c r="K178" s="14" t="s">
        <v>50</v>
      </c>
      <c r="L178" s="14" t="s">
        <v>119</v>
      </c>
      <c r="M178" s="16" t="s">
        <v>120</v>
      </c>
      <c r="N178" s="14">
        <v>7.6334799999999996</v>
      </c>
      <c r="O178" s="17" t="s">
        <v>121</v>
      </c>
      <c r="P178" s="18" t="s">
        <v>50</v>
      </c>
      <c r="Q178" s="14" t="s">
        <v>645</v>
      </c>
      <c r="R178" s="14" t="s">
        <v>50</v>
      </c>
    </row>
    <row r="179" spans="1:18" ht="15.75">
      <c r="A179" s="14" t="s">
        <v>646</v>
      </c>
      <c r="B179" s="14" t="s">
        <v>647</v>
      </c>
      <c r="C179" s="14" t="s">
        <v>648</v>
      </c>
      <c r="D179" s="14" t="s">
        <v>647</v>
      </c>
      <c r="E179" s="14" t="s">
        <v>649</v>
      </c>
      <c r="F179" s="14" t="s">
        <v>223</v>
      </c>
      <c r="G179" s="14">
        <v>49.82</v>
      </c>
      <c r="H179" s="14">
        <v>15.47</v>
      </c>
      <c r="I179" s="15" t="s">
        <v>118</v>
      </c>
      <c r="J179" s="14">
        <v>534552526</v>
      </c>
      <c r="K179" s="14" t="s">
        <v>137</v>
      </c>
      <c r="L179" s="14" t="s">
        <v>50</v>
      </c>
      <c r="M179" s="16" t="s">
        <v>138</v>
      </c>
      <c r="N179" s="14">
        <v>11.97</v>
      </c>
      <c r="O179" s="14" t="s">
        <v>139</v>
      </c>
      <c r="P179" s="19" t="s">
        <v>650</v>
      </c>
      <c r="Q179" s="14" t="s">
        <v>50</v>
      </c>
      <c r="R179" s="14" t="s">
        <v>141</v>
      </c>
    </row>
    <row r="180" spans="1:18" ht="15.75">
      <c r="A180" s="14" t="s">
        <v>651</v>
      </c>
      <c r="B180" s="14" t="s">
        <v>647</v>
      </c>
      <c r="C180" s="14" t="s">
        <v>648</v>
      </c>
      <c r="D180" s="14" t="s">
        <v>647</v>
      </c>
      <c r="E180" s="14" t="s">
        <v>649</v>
      </c>
      <c r="F180" s="14" t="s">
        <v>223</v>
      </c>
      <c r="G180" s="14">
        <v>49.82</v>
      </c>
      <c r="H180" s="14">
        <v>15.47</v>
      </c>
      <c r="I180" s="15" t="s">
        <v>118</v>
      </c>
      <c r="J180" s="14">
        <v>407407398</v>
      </c>
      <c r="K180" s="14" t="s">
        <v>137</v>
      </c>
      <c r="L180" s="14" t="s">
        <v>50</v>
      </c>
      <c r="M180" s="16" t="s">
        <v>138</v>
      </c>
      <c r="N180" s="14">
        <v>8.5399999999999991</v>
      </c>
      <c r="O180" s="14" t="s">
        <v>139</v>
      </c>
      <c r="P180" s="19" t="s">
        <v>652</v>
      </c>
      <c r="Q180" s="14" t="s">
        <v>50</v>
      </c>
      <c r="R180" s="14" t="s">
        <v>141</v>
      </c>
    </row>
    <row r="181" spans="1:18" ht="15.75">
      <c r="A181" s="14" t="s">
        <v>653</v>
      </c>
      <c r="B181" s="14" t="s">
        <v>654</v>
      </c>
      <c r="C181" s="14" t="s">
        <v>655</v>
      </c>
      <c r="D181" s="14" t="s">
        <v>656</v>
      </c>
      <c r="E181" s="14" t="s">
        <v>657</v>
      </c>
      <c r="F181" s="14" t="s">
        <v>136</v>
      </c>
      <c r="G181" s="14">
        <v>33.740862</v>
      </c>
      <c r="H181" s="14">
        <v>64.920007999999996</v>
      </c>
      <c r="I181" s="15" t="s">
        <v>118</v>
      </c>
      <c r="J181" s="14">
        <v>590062888</v>
      </c>
      <c r="K181" s="14" t="s">
        <v>137</v>
      </c>
      <c r="L181" s="14" t="s">
        <v>119</v>
      </c>
      <c r="M181" s="16" t="s">
        <v>144</v>
      </c>
      <c r="N181" s="14">
        <v>27.44</v>
      </c>
      <c r="O181" s="14" t="s">
        <v>145</v>
      </c>
      <c r="P181" s="19" t="s">
        <v>658</v>
      </c>
      <c r="Q181" s="14" t="s">
        <v>50</v>
      </c>
      <c r="R181" s="14" t="s">
        <v>323</v>
      </c>
    </row>
    <row r="182" spans="1:18" ht="15.75">
      <c r="A182" s="14" t="s">
        <v>659</v>
      </c>
      <c r="B182" s="14" t="s">
        <v>50</v>
      </c>
      <c r="C182" s="14" t="s">
        <v>655</v>
      </c>
      <c r="D182" s="14" t="s">
        <v>656</v>
      </c>
      <c r="E182" s="14" t="s">
        <v>657</v>
      </c>
      <c r="F182" s="14" t="s">
        <v>136</v>
      </c>
      <c r="G182" s="14">
        <v>33.740862</v>
      </c>
      <c r="H182" s="14">
        <v>64.920007999999996</v>
      </c>
      <c r="I182" s="15" t="s">
        <v>118</v>
      </c>
      <c r="J182" s="14">
        <v>629943832</v>
      </c>
      <c r="K182" s="14" t="s">
        <v>50</v>
      </c>
      <c r="L182" s="14" t="s">
        <v>119</v>
      </c>
      <c r="M182" s="16" t="s">
        <v>144</v>
      </c>
      <c r="N182" s="14">
        <v>30.65</v>
      </c>
      <c r="O182" s="14" t="s">
        <v>145</v>
      </c>
      <c r="P182" s="19" t="s">
        <v>660</v>
      </c>
      <c r="Q182" s="14" t="s">
        <v>50</v>
      </c>
      <c r="R182" s="14" t="s">
        <v>323</v>
      </c>
    </row>
    <row r="183" spans="1:18" ht="15.75">
      <c r="A183" s="14" t="s">
        <v>661</v>
      </c>
      <c r="B183" s="14" t="s">
        <v>654</v>
      </c>
      <c r="C183" s="14" t="s">
        <v>655</v>
      </c>
      <c r="D183" s="14" t="s">
        <v>656</v>
      </c>
      <c r="E183" s="14" t="s">
        <v>657</v>
      </c>
      <c r="F183" s="14" t="s">
        <v>136</v>
      </c>
      <c r="G183" s="14">
        <v>33.740862</v>
      </c>
      <c r="H183" s="14">
        <v>64.920007999999996</v>
      </c>
      <c r="I183" s="15" t="s">
        <v>118</v>
      </c>
      <c r="J183" s="14">
        <v>577609860</v>
      </c>
      <c r="K183" s="14" t="s">
        <v>137</v>
      </c>
      <c r="L183" s="14" t="s">
        <v>119</v>
      </c>
      <c r="M183" s="16" t="s">
        <v>144</v>
      </c>
      <c r="N183" s="14">
        <v>27.85</v>
      </c>
      <c r="O183" s="14" t="s">
        <v>145</v>
      </c>
      <c r="P183" s="19" t="s">
        <v>662</v>
      </c>
      <c r="Q183" s="14" t="s">
        <v>50</v>
      </c>
      <c r="R183" s="14" t="s">
        <v>304</v>
      </c>
    </row>
    <row r="184" spans="1:18" ht="15.75">
      <c r="A184" s="14" t="s">
        <v>663</v>
      </c>
      <c r="B184" s="14" t="s">
        <v>654</v>
      </c>
      <c r="C184" s="14" t="s">
        <v>655</v>
      </c>
      <c r="D184" s="14" t="s">
        <v>656</v>
      </c>
      <c r="E184" s="14" t="s">
        <v>657</v>
      </c>
      <c r="F184" s="14" t="s">
        <v>136</v>
      </c>
      <c r="G184" s="14">
        <v>33.740862</v>
      </c>
      <c r="H184" s="14">
        <v>64.920007999999996</v>
      </c>
      <c r="I184" s="15" t="s">
        <v>118</v>
      </c>
      <c r="J184" s="14">
        <v>531326090</v>
      </c>
      <c r="K184" s="14" t="s">
        <v>137</v>
      </c>
      <c r="L184" s="14" t="s">
        <v>119</v>
      </c>
      <c r="M184" s="16" t="s">
        <v>144</v>
      </c>
      <c r="N184" s="14">
        <v>25.79</v>
      </c>
      <c r="O184" s="14" t="s">
        <v>145</v>
      </c>
      <c r="P184" s="19" t="s">
        <v>664</v>
      </c>
      <c r="Q184" s="14" t="s">
        <v>665</v>
      </c>
      <c r="R184" s="14" t="s">
        <v>323</v>
      </c>
    </row>
    <row r="185" spans="1:18" ht="15.75">
      <c r="A185" s="14" t="s">
        <v>666</v>
      </c>
      <c r="B185" s="14" t="s">
        <v>50</v>
      </c>
      <c r="C185" s="14" t="s">
        <v>655</v>
      </c>
      <c r="D185" s="14" t="s">
        <v>656</v>
      </c>
      <c r="E185" s="14" t="s">
        <v>657</v>
      </c>
      <c r="F185" s="14" t="s">
        <v>136</v>
      </c>
      <c r="G185" s="14">
        <v>33.740862</v>
      </c>
      <c r="H185" s="14">
        <v>64.920007999999996</v>
      </c>
      <c r="I185" s="15" t="s">
        <v>118</v>
      </c>
      <c r="J185" s="14">
        <v>641199342</v>
      </c>
      <c r="K185" s="14" t="s">
        <v>50</v>
      </c>
      <c r="L185" s="14" t="s">
        <v>119</v>
      </c>
      <c r="M185" s="16" t="s">
        <v>144</v>
      </c>
      <c r="N185" s="14">
        <v>29.46</v>
      </c>
      <c r="O185" s="14" t="s">
        <v>145</v>
      </c>
      <c r="P185" s="19" t="s">
        <v>667</v>
      </c>
      <c r="Q185" s="14" t="s">
        <v>668</v>
      </c>
      <c r="R185" s="14" t="s">
        <v>323</v>
      </c>
    </row>
    <row r="186" spans="1:18" ht="15.75">
      <c r="A186" s="14" t="s">
        <v>669</v>
      </c>
      <c r="B186" s="14" t="s">
        <v>50</v>
      </c>
      <c r="C186" s="14" t="s">
        <v>655</v>
      </c>
      <c r="D186" s="14" t="s">
        <v>656</v>
      </c>
      <c r="E186" s="14" t="s">
        <v>657</v>
      </c>
      <c r="F186" s="14" t="s">
        <v>136</v>
      </c>
      <c r="G186" s="14">
        <v>33.740862</v>
      </c>
      <c r="H186" s="14">
        <v>64.920007999999996</v>
      </c>
      <c r="I186" s="15" t="s">
        <v>118</v>
      </c>
      <c r="J186" s="14">
        <v>609384156</v>
      </c>
      <c r="K186" s="14" t="s">
        <v>50</v>
      </c>
      <c r="L186" s="14" t="s">
        <v>119</v>
      </c>
      <c r="M186" s="16" t="s">
        <v>144</v>
      </c>
      <c r="N186" s="14">
        <v>29.65</v>
      </c>
      <c r="O186" s="14" t="s">
        <v>145</v>
      </c>
      <c r="P186" s="19" t="s">
        <v>670</v>
      </c>
      <c r="Q186" s="14" t="s">
        <v>671</v>
      </c>
      <c r="R186" s="14" t="s">
        <v>323</v>
      </c>
    </row>
    <row r="187" spans="1:18" ht="15.75">
      <c r="A187" s="14" t="s">
        <v>672</v>
      </c>
      <c r="B187" s="14" t="s">
        <v>50</v>
      </c>
      <c r="C187" s="14" t="s">
        <v>655</v>
      </c>
      <c r="D187" s="14" t="s">
        <v>656</v>
      </c>
      <c r="E187" s="14" t="s">
        <v>657</v>
      </c>
      <c r="F187" s="14" t="s">
        <v>136</v>
      </c>
      <c r="G187" s="14">
        <v>33.740862</v>
      </c>
      <c r="H187" s="14">
        <v>64.920007999999996</v>
      </c>
      <c r="I187" s="15" t="s">
        <v>118</v>
      </c>
      <c r="J187" s="14">
        <v>532424424</v>
      </c>
      <c r="K187" s="14" t="s">
        <v>50</v>
      </c>
      <c r="L187" s="14" t="s">
        <v>119</v>
      </c>
      <c r="M187" s="16" t="s">
        <v>144</v>
      </c>
      <c r="N187" s="14">
        <v>24.96</v>
      </c>
      <c r="O187" s="14" t="s">
        <v>145</v>
      </c>
      <c r="P187" s="19" t="s">
        <v>673</v>
      </c>
      <c r="Q187" s="14" t="s">
        <v>674</v>
      </c>
      <c r="R187" s="14" t="s">
        <v>323</v>
      </c>
    </row>
    <row r="188" spans="1:18" ht="15.75">
      <c r="A188" s="14" t="s">
        <v>675</v>
      </c>
      <c r="B188" s="14" t="s">
        <v>50</v>
      </c>
      <c r="C188" s="14" t="s">
        <v>655</v>
      </c>
      <c r="D188" s="14" t="s">
        <v>656</v>
      </c>
      <c r="E188" s="14" t="s">
        <v>657</v>
      </c>
      <c r="F188" s="14" t="s">
        <v>136</v>
      </c>
      <c r="G188" s="14">
        <v>33.740862</v>
      </c>
      <c r="H188" s="14">
        <v>64.920007999999996</v>
      </c>
      <c r="I188" s="15" t="s">
        <v>118</v>
      </c>
      <c r="J188" s="14">
        <v>568644356</v>
      </c>
      <c r="K188" s="14" t="s">
        <v>50</v>
      </c>
      <c r="L188" s="14" t="s">
        <v>119</v>
      </c>
      <c r="M188" s="16" t="s">
        <v>144</v>
      </c>
      <c r="N188" s="14">
        <v>27.71</v>
      </c>
      <c r="O188" s="14" t="s">
        <v>145</v>
      </c>
      <c r="P188" s="19" t="s">
        <v>676</v>
      </c>
      <c r="Q188" s="14" t="s">
        <v>677</v>
      </c>
      <c r="R188" s="14" t="s">
        <v>323</v>
      </c>
    </row>
    <row r="189" spans="1:18" ht="15.75">
      <c r="A189" s="14" t="s">
        <v>678</v>
      </c>
      <c r="B189" s="14" t="s">
        <v>50</v>
      </c>
      <c r="C189" s="14" t="s">
        <v>655</v>
      </c>
      <c r="D189" s="14" t="s">
        <v>656</v>
      </c>
      <c r="E189" s="14" t="s">
        <v>657</v>
      </c>
      <c r="F189" s="14" t="s">
        <v>136</v>
      </c>
      <c r="G189" s="14">
        <v>33.740862</v>
      </c>
      <c r="H189" s="14">
        <v>64.920007999999996</v>
      </c>
      <c r="I189" s="15" t="s">
        <v>118</v>
      </c>
      <c r="J189" s="14">
        <v>621520216</v>
      </c>
      <c r="K189" s="14" t="s">
        <v>50</v>
      </c>
      <c r="L189" s="14" t="s">
        <v>119</v>
      </c>
      <c r="M189" s="16" t="s">
        <v>144</v>
      </c>
      <c r="N189" s="14">
        <v>28.91</v>
      </c>
      <c r="O189" s="14" t="s">
        <v>145</v>
      </c>
      <c r="P189" s="19" t="s">
        <v>679</v>
      </c>
      <c r="Q189" s="14" t="s">
        <v>680</v>
      </c>
      <c r="R189" s="14" t="s">
        <v>323</v>
      </c>
    </row>
    <row r="190" spans="1:18" ht="15.75">
      <c r="A190" s="14" t="s">
        <v>681</v>
      </c>
      <c r="B190" s="14" t="s">
        <v>50</v>
      </c>
      <c r="C190" s="14" t="s">
        <v>655</v>
      </c>
      <c r="D190" s="14" t="s">
        <v>656</v>
      </c>
      <c r="E190" s="14" t="s">
        <v>657</v>
      </c>
      <c r="F190" s="14" t="s">
        <v>136</v>
      </c>
      <c r="G190" s="14">
        <v>33.740862</v>
      </c>
      <c r="H190" s="14">
        <v>64.920007999999996</v>
      </c>
      <c r="I190" s="15" t="s">
        <v>118</v>
      </c>
      <c r="J190" s="14">
        <v>652697264</v>
      </c>
      <c r="K190" s="14" t="s">
        <v>50</v>
      </c>
      <c r="L190" s="14" t="s">
        <v>119</v>
      </c>
      <c r="M190" s="16" t="s">
        <v>144</v>
      </c>
      <c r="N190" s="14">
        <v>30.14</v>
      </c>
      <c r="O190" s="14" t="s">
        <v>145</v>
      </c>
      <c r="P190" s="19" t="s">
        <v>682</v>
      </c>
      <c r="Q190" s="14" t="s">
        <v>683</v>
      </c>
      <c r="R190" s="14" t="s">
        <v>323</v>
      </c>
    </row>
  </sheetData>
  <hyperlinks>
    <hyperlink ref="O46" r:id="rId1" xr:uid="{00000000-0004-0000-0100-000000000000}"/>
    <hyperlink ref="O174" r:id="rId2" xr:uid="{00000000-0004-0000-0100-000001000000}"/>
    <hyperlink ref="O175" r:id="rId3" xr:uid="{00000000-0004-0000-0100-000002000000}"/>
    <hyperlink ref="O176" r:id="rId4" xr:uid="{00000000-0004-0000-0100-000003000000}"/>
    <hyperlink ref="O177" r:id="rId5" xr:uid="{00000000-0004-0000-0100-000004000000}"/>
    <hyperlink ref="O178" r:id="rId6" xr:uid="{00000000-0004-0000-0100-000005000000}"/>
    <hyperlink ref="O179" r:id="rId7" xr:uid="{00000000-0004-0000-0100-000006000000}"/>
    <hyperlink ref="O180" r:id="rId8" xr:uid="{00000000-0004-0000-0100-000007000000}"/>
    <hyperlink ref="O181" r:id="rId9" xr:uid="{00000000-0004-0000-0100-000008000000}"/>
    <hyperlink ref="O182" r:id="rId10" xr:uid="{00000000-0004-0000-0100-000009000000}"/>
    <hyperlink ref="O183" r:id="rId11" xr:uid="{00000000-0004-0000-0100-00000A000000}"/>
    <hyperlink ref="O184" r:id="rId12" xr:uid="{00000000-0004-0000-0100-00000B000000}"/>
    <hyperlink ref="O185" r:id="rId13" xr:uid="{00000000-0004-0000-0100-00000C000000}"/>
    <hyperlink ref="O186" r:id="rId14" xr:uid="{00000000-0004-0000-0100-00000D000000}"/>
    <hyperlink ref="O187" r:id="rId15" xr:uid="{00000000-0004-0000-0100-00000E000000}"/>
    <hyperlink ref="O188" r:id="rId16" xr:uid="{00000000-0004-0000-0100-00000F000000}"/>
    <hyperlink ref="O189" r:id="rId17" xr:uid="{00000000-0004-0000-0100-000010000000}"/>
    <hyperlink ref="O190" r:id="rId18" xr:uid="{00000000-0004-0000-0100-000011000000}"/>
  </hyperlinks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J51"/>
  <sheetViews>
    <sheetView zoomScaleNormal="100" workbookViewId="0"/>
  </sheetViews>
  <sheetFormatPr defaultColWidth="9.140625" defaultRowHeight="15"/>
  <cols>
    <col min="1" max="1" width="9.140625" style="21"/>
    <col min="2" max="2" width="22.7109375" style="21" customWidth="1"/>
    <col min="3" max="3" width="18.85546875" style="21" customWidth="1"/>
    <col min="4" max="4" width="12" style="21" customWidth="1"/>
    <col min="5" max="5" width="80.7109375" style="21" customWidth="1"/>
    <col min="6" max="6" width="255.7109375" style="21" customWidth="1"/>
    <col min="7" max="1024" width="9.140625" style="21"/>
  </cols>
  <sheetData>
    <row r="1" spans="1:6">
      <c r="A1" s="11" t="s">
        <v>684</v>
      </c>
      <c r="B1" s="22"/>
      <c r="C1" s="22"/>
      <c r="D1" s="22"/>
      <c r="E1" s="22"/>
      <c r="F1" s="23"/>
    </row>
    <row r="2" spans="1:6">
      <c r="A2" s="22" t="s">
        <v>685</v>
      </c>
      <c r="B2" s="22" t="s">
        <v>686</v>
      </c>
      <c r="C2" s="22" t="s">
        <v>687</v>
      </c>
      <c r="D2" s="22" t="s">
        <v>688</v>
      </c>
      <c r="E2" s="22" t="s">
        <v>15</v>
      </c>
      <c r="F2" s="23"/>
    </row>
    <row r="3" spans="1:6">
      <c r="A3" s="23" t="s">
        <v>510</v>
      </c>
      <c r="B3" s="23" t="s">
        <v>689</v>
      </c>
      <c r="C3" s="24">
        <v>48.458100000000002</v>
      </c>
      <c r="D3" s="23">
        <v>-5.0956000000000001</v>
      </c>
      <c r="E3" s="23" t="s">
        <v>690</v>
      </c>
    </row>
    <row r="4" spans="1:6">
      <c r="A4" s="23" t="s">
        <v>691</v>
      </c>
      <c r="B4" s="23" t="s">
        <v>692</v>
      </c>
      <c r="C4" s="23">
        <v>49.634625</v>
      </c>
      <c r="D4" s="23">
        <v>-1.83769899999992</v>
      </c>
      <c r="E4" s="23" t="s">
        <v>690</v>
      </c>
    </row>
    <row r="5" spans="1:6">
      <c r="A5" s="23" t="s">
        <v>693</v>
      </c>
      <c r="B5" s="23" t="s">
        <v>694</v>
      </c>
      <c r="C5" s="23">
        <v>43.329844999999999</v>
      </c>
      <c r="D5" s="23">
        <v>-1.40634699999998</v>
      </c>
      <c r="E5" s="23" t="s">
        <v>690</v>
      </c>
    </row>
    <row r="6" spans="1:6">
      <c r="A6" s="23" t="s">
        <v>695</v>
      </c>
      <c r="B6" s="23" t="s">
        <v>696</v>
      </c>
      <c r="C6" s="23">
        <v>46.465972000000001</v>
      </c>
      <c r="D6" s="23">
        <v>-0.80650000000002797</v>
      </c>
      <c r="E6" s="23" t="s">
        <v>690</v>
      </c>
    </row>
    <row r="7" spans="1:6">
      <c r="A7" s="23" t="s">
        <v>697</v>
      </c>
      <c r="B7" s="23" t="s">
        <v>698</v>
      </c>
      <c r="C7" s="23">
        <v>47.478419000000002</v>
      </c>
      <c r="D7" s="23">
        <v>-0.56316600000002304</v>
      </c>
      <c r="E7" s="23" t="s">
        <v>690</v>
      </c>
    </row>
    <row r="8" spans="1:6">
      <c r="A8" s="23" t="s">
        <v>699</v>
      </c>
      <c r="B8" s="23" t="s">
        <v>700</v>
      </c>
      <c r="C8" s="23">
        <v>46.424899000000003</v>
      </c>
      <c r="D8" s="23">
        <v>0.86804800000004401</v>
      </c>
      <c r="E8" s="23" t="s">
        <v>690</v>
      </c>
    </row>
    <row r="9" spans="1:6">
      <c r="A9" s="23" t="s">
        <v>701</v>
      </c>
      <c r="B9" s="23" t="s">
        <v>702</v>
      </c>
      <c r="C9" s="23">
        <v>52.187247200000002</v>
      </c>
      <c r="D9" s="23">
        <v>0.97078009999995596</v>
      </c>
      <c r="E9" s="23" t="s">
        <v>690</v>
      </c>
    </row>
    <row r="10" spans="1:6">
      <c r="A10" s="23" t="s">
        <v>703</v>
      </c>
      <c r="B10" s="23" t="s">
        <v>704</v>
      </c>
      <c r="C10" s="23">
        <v>47.390248999999997</v>
      </c>
      <c r="D10" s="23">
        <v>1.25432399999999</v>
      </c>
      <c r="E10" s="23" t="s">
        <v>690</v>
      </c>
    </row>
    <row r="11" spans="1:6">
      <c r="A11" s="23" t="s">
        <v>705</v>
      </c>
      <c r="B11" s="23" t="s">
        <v>706</v>
      </c>
      <c r="C11" s="23">
        <v>42.848523999999998</v>
      </c>
      <c r="D11" s="23">
        <v>1.6048150000000301</v>
      </c>
      <c r="E11" s="23" t="s">
        <v>690</v>
      </c>
    </row>
    <row r="12" spans="1:6">
      <c r="A12" s="23" t="s">
        <v>707</v>
      </c>
      <c r="B12" s="23" t="s">
        <v>708</v>
      </c>
      <c r="C12" s="23">
        <v>44.799382999999999</v>
      </c>
      <c r="D12" s="23">
        <v>1.6179009999999601</v>
      </c>
      <c r="E12" s="23" t="s">
        <v>690</v>
      </c>
    </row>
    <row r="13" spans="1:6">
      <c r="A13" s="23" t="s">
        <v>709</v>
      </c>
      <c r="B13" s="23" t="s">
        <v>710</v>
      </c>
      <c r="C13" s="23">
        <v>48.648789000000001</v>
      </c>
      <c r="D13" s="23">
        <v>1.8291660000000001</v>
      </c>
      <c r="E13" s="23" t="s">
        <v>690</v>
      </c>
    </row>
    <row r="14" spans="1:6">
      <c r="A14" s="23" t="s">
        <v>711</v>
      </c>
      <c r="B14" s="23" t="s">
        <v>712</v>
      </c>
      <c r="C14" s="23">
        <v>45.642404900000002</v>
      </c>
      <c r="D14" s="23">
        <v>2.09430599999996</v>
      </c>
      <c r="E14" s="23" t="s">
        <v>690</v>
      </c>
    </row>
    <row r="15" spans="1:6">
      <c r="A15" s="23" t="s">
        <v>713</v>
      </c>
      <c r="B15" s="23" t="s">
        <v>714</v>
      </c>
      <c r="C15" s="23">
        <v>47.081012000000001</v>
      </c>
      <c r="D15" s="23">
        <v>2.3987819999999802</v>
      </c>
      <c r="E15" s="23" t="s">
        <v>690</v>
      </c>
    </row>
    <row r="16" spans="1:6">
      <c r="A16" s="23" t="s">
        <v>715</v>
      </c>
      <c r="B16" s="23" t="s">
        <v>716</v>
      </c>
      <c r="C16" s="23">
        <v>48.801147999999998</v>
      </c>
      <c r="D16" s="23">
        <v>2.4294429999999898</v>
      </c>
      <c r="E16" s="23" t="s">
        <v>690</v>
      </c>
    </row>
    <row r="17" spans="1:5">
      <c r="A17" s="23" t="s">
        <v>717</v>
      </c>
      <c r="B17" s="23" t="s">
        <v>718</v>
      </c>
      <c r="C17" s="23">
        <v>43.974566000000003</v>
      </c>
      <c r="D17" s="23">
        <v>2.9920220000000199</v>
      </c>
      <c r="E17" s="23" t="s">
        <v>690</v>
      </c>
    </row>
    <row r="18" spans="1:5">
      <c r="A18" s="23" t="s">
        <v>719</v>
      </c>
      <c r="B18" s="23" t="s">
        <v>720</v>
      </c>
      <c r="C18" s="23">
        <v>43.974566000000003</v>
      </c>
      <c r="D18" s="23">
        <v>2.9920220000000199</v>
      </c>
      <c r="E18" s="23" t="s">
        <v>690</v>
      </c>
    </row>
    <row r="19" spans="1:5">
      <c r="A19" s="23" t="s">
        <v>721</v>
      </c>
      <c r="B19" s="23" t="s">
        <v>722</v>
      </c>
      <c r="C19" s="23">
        <v>45.777221999999902</v>
      </c>
      <c r="D19" s="23">
        <v>3.0870250000000299</v>
      </c>
      <c r="E19" s="23" t="s">
        <v>690</v>
      </c>
    </row>
    <row r="20" spans="1:5">
      <c r="A20" s="23" t="s">
        <v>723</v>
      </c>
      <c r="B20" s="23" t="s">
        <v>724</v>
      </c>
      <c r="C20" s="23">
        <v>44.517611000000002</v>
      </c>
      <c r="D20" s="23">
        <v>3.5018729999999301</v>
      </c>
      <c r="E20" s="23" t="s">
        <v>690</v>
      </c>
    </row>
    <row r="21" spans="1:5">
      <c r="A21" s="23" t="s">
        <v>725</v>
      </c>
      <c r="B21" s="23" t="s">
        <v>726</v>
      </c>
      <c r="C21" s="23">
        <v>45.009346000000001</v>
      </c>
      <c r="D21" s="23">
        <v>3.7759320000000098</v>
      </c>
      <c r="E21" s="23" t="s">
        <v>690</v>
      </c>
    </row>
    <row r="22" spans="1:5">
      <c r="A22" s="23" t="s">
        <v>727</v>
      </c>
      <c r="B22" s="23" t="s">
        <v>728</v>
      </c>
      <c r="C22" s="23">
        <v>46.435441999999902</v>
      </c>
      <c r="D22" s="23">
        <v>4.27700400000003</v>
      </c>
      <c r="E22" s="23" t="s">
        <v>690</v>
      </c>
    </row>
    <row r="23" spans="1:5">
      <c r="A23" s="23" t="s">
        <v>628</v>
      </c>
      <c r="B23" s="23" t="s">
        <v>729</v>
      </c>
      <c r="C23" s="23">
        <v>53.099553200000003</v>
      </c>
      <c r="D23" s="23">
        <v>4.8086680000000097</v>
      </c>
      <c r="E23" s="23" t="s">
        <v>690</v>
      </c>
    </row>
    <row r="24" spans="1:5">
      <c r="A24" s="23" t="s">
        <v>489</v>
      </c>
      <c r="B24" s="23" t="s">
        <v>730</v>
      </c>
      <c r="C24" s="23">
        <v>43.638627999999997</v>
      </c>
      <c r="D24" s="23">
        <v>4.8121069999999602</v>
      </c>
      <c r="E24" s="23" t="s">
        <v>690</v>
      </c>
    </row>
    <row r="25" spans="1:5">
      <c r="A25" s="23" t="s">
        <v>731</v>
      </c>
      <c r="B25" s="23" t="s">
        <v>732</v>
      </c>
      <c r="C25" s="23">
        <v>44.194713</v>
      </c>
      <c r="D25" s="23">
        <v>5.9431910000000698</v>
      </c>
      <c r="E25" s="23" t="s">
        <v>690</v>
      </c>
    </row>
    <row r="26" spans="1:5">
      <c r="A26" s="23" t="s">
        <v>177</v>
      </c>
      <c r="B26" s="23" t="s">
        <v>733</v>
      </c>
      <c r="C26" s="23">
        <v>44.089224000000002</v>
      </c>
      <c r="D26" s="23">
        <v>6.8537639999999502</v>
      </c>
      <c r="E26" s="23" t="s">
        <v>690</v>
      </c>
    </row>
    <row r="27" spans="1:5">
      <c r="A27" s="23" t="s">
        <v>734</v>
      </c>
      <c r="B27" s="23" t="s">
        <v>735</v>
      </c>
      <c r="C27" s="23">
        <v>42.0396</v>
      </c>
      <c r="D27" s="25">
        <v>9.0129000000000001</v>
      </c>
      <c r="E27" s="23" t="s">
        <v>690</v>
      </c>
    </row>
    <row r="28" spans="1:5">
      <c r="A28" s="23" t="s">
        <v>736</v>
      </c>
      <c r="B28" s="23" t="s">
        <v>737</v>
      </c>
      <c r="C28" s="23">
        <v>42.104247999999998</v>
      </c>
      <c r="D28" s="23">
        <v>9.5124289000000299</v>
      </c>
      <c r="E28" s="23" t="s">
        <v>690</v>
      </c>
    </row>
    <row r="29" spans="1:5">
      <c r="A29" s="23" t="s">
        <v>738</v>
      </c>
      <c r="B29" s="23" t="s">
        <v>739</v>
      </c>
      <c r="C29" s="23">
        <v>61.279049999999998</v>
      </c>
      <c r="D29" s="23">
        <v>13.82178</v>
      </c>
      <c r="E29" s="23" t="s">
        <v>740</v>
      </c>
    </row>
    <row r="30" spans="1:5">
      <c r="A30" s="23" t="s">
        <v>741</v>
      </c>
      <c r="B30" s="23" t="s">
        <v>742</v>
      </c>
      <c r="C30" s="23">
        <v>62.528640000000003</v>
      </c>
      <c r="D30" s="23">
        <v>14.19265</v>
      </c>
      <c r="E30" s="23" t="s">
        <v>740</v>
      </c>
    </row>
    <row r="31" spans="1:5">
      <c r="A31" s="23" t="s">
        <v>428</v>
      </c>
      <c r="B31" s="23" t="s">
        <v>743</v>
      </c>
      <c r="C31" s="23">
        <v>57.555280000000003</v>
      </c>
      <c r="D31" s="23">
        <v>18.50872</v>
      </c>
      <c r="E31" s="23" t="s">
        <v>740</v>
      </c>
    </row>
    <row r="32" spans="1:5">
      <c r="A32" s="23" t="s">
        <v>744</v>
      </c>
      <c r="B32" s="23" t="s">
        <v>745</v>
      </c>
      <c r="C32" s="23">
        <v>57.555280000000003</v>
      </c>
      <c r="D32" s="23">
        <v>18.50872</v>
      </c>
      <c r="E32" s="23" t="s">
        <v>740</v>
      </c>
    </row>
    <row r="33" spans="1:6">
      <c r="A33" s="23" t="s">
        <v>746</v>
      </c>
      <c r="B33" s="23" t="s">
        <v>747</v>
      </c>
      <c r="C33" s="23">
        <v>60.259466000000003</v>
      </c>
      <c r="D33" s="23">
        <v>19.967078999999998</v>
      </c>
      <c r="E33" s="23" t="s">
        <v>748</v>
      </c>
    </row>
    <row r="34" spans="1:6">
      <c r="A34" s="23" t="s">
        <v>749</v>
      </c>
      <c r="B34" s="23" t="s">
        <v>750</v>
      </c>
      <c r="C34" s="23">
        <v>67.760429999999999</v>
      </c>
      <c r="D34" s="23">
        <v>19.97456</v>
      </c>
      <c r="E34" s="23" t="s">
        <v>740</v>
      </c>
    </row>
    <row r="35" spans="1:6">
      <c r="A35" s="21" t="s">
        <v>751</v>
      </c>
      <c r="B35" s="21" t="s">
        <v>752</v>
      </c>
      <c r="C35" s="21">
        <v>57.175322950505603</v>
      </c>
      <c r="D35" s="21">
        <v>34.7737036326767</v>
      </c>
      <c r="E35" s="24" t="s">
        <v>753</v>
      </c>
      <c r="F35" s="26"/>
    </row>
    <row r="36" spans="1:6">
      <c r="A36" s="23" t="s">
        <v>754</v>
      </c>
      <c r="B36" s="23" t="s">
        <v>755</v>
      </c>
      <c r="C36" s="23">
        <v>57.883333</v>
      </c>
      <c r="D36" s="23">
        <v>39.549999999999997</v>
      </c>
      <c r="E36" s="24" t="s">
        <v>753</v>
      </c>
    </row>
    <row r="37" spans="1:6">
      <c r="A37" s="21" t="s">
        <v>756</v>
      </c>
      <c r="B37" s="21" t="s">
        <v>757</v>
      </c>
      <c r="C37" s="21">
        <v>47.602093850085801</v>
      </c>
      <c r="D37" s="21">
        <v>39.657269427798902</v>
      </c>
      <c r="E37" s="24" t="s">
        <v>753</v>
      </c>
      <c r="F37" s="26"/>
    </row>
    <row r="38" spans="1:6">
      <c r="A38" s="21" t="s">
        <v>758</v>
      </c>
      <c r="B38" s="21" t="s">
        <v>755</v>
      </c>
      <c r="C38" s="23" t="s">
        <v>759</v>
      </c>
      <c r="D38" s="23">
        <v>39.8670902607073</v>
      </c>
      <c r="E38" s="24" t="s">
        <v>753</v>
      </c>
    </row>
    <row r="39" spans="1:6">
      <c r="A39" s="21" t="s">
        <v>760</v>
      </c>
      <c r="B39" s="21" t="s">
        <v>761</v>
      </c>
      <c r="C39" s="21">
        <v>44.071739696540099</v>
      </c>
      <c r="D39" s="21">
        <v>41.962732884432903</v>
      </c>
      <c r="E39" s="24" t="s">
        <v>753</v>
      </c>
    </row>
    <row r="40" spans="1:6">
      <c r="A40" s="21" t="s">
        <v>762</v>
      </c>
      <c r="B40" s="21" t="s">
        <v>763</v>
      </c>
      <c r="C40" s="21">
        <v>43.3206701117929</v>
      </c>
      <c r="D40" s="21">
        <v>45.683860176485901</v>
      </c>
      <c r="E40" s="24" t="s">
        <v>753</v>
      </c>
      <c r="F40" s="26"/>
    </row>
    <row r="41" spans="1:6">
      <c r="A41" s="21" t="s">
        <v>764</v>
      </c>
      <c r="B41" s="21" t="s">
        <v>765</v>
      </c>
      <c r="C41" s="21">
        <v>49.8226596480783</v>
      </c>
      <c r="D41" s="21">
        <v>46.068797005638203</v>
      </c>
      <c r="E41" s="24" t="s">
        <v>753</v>
      </c>
      <c r="F41" s="26"/>
    </row>
    <row r="42" spans="1:6">
      <c r="A42" s="21" t="s">
        <v>766</v>
      </c>
      <c r="B42" s="21" t="s">
        <v>767</v>
      </c>
      <c r="C42" s="21">
        <v>41.518478316606199</v>
      </c>
      <c r="D42" s="21">
        <v>48.156383033080701</v>
      </c>
      <c r="E42" s="24" t="s">
        <v>753</v>
      </c>
      <c r="F42" s="26"/>
    </row>
    <row r="43" spans="1:6">
      <c r="A43" s="21" t="s">
        <v>768</v>
      </c>
      <c r="B43" s="21" t="s">
        <v>769</v>
      </c>
      <c r="C43" s="21">
        <v>49.639282989521298</v>
      </c>
      <c r="D43" s="21">
        <v>54.192162315876097</v>
      </c>
      <c r="E43" s="24" t="s">
        <v>753</v>
      </c>
      <c r="F43" s="27"/>
    </row>
    <row r="44" spans="1:6">
      <c r="A44" s="21" t="s">
        <v>770</v>
      </c>
      <c r="B44" s="21" t="s">
        <v>771</v>
      </c>
      <c r="C44" s="21">
        <v>51.342130330201002</v>
      </c>
      <c r="D44" s="21">
        <v>59.783553404927403</v>
      </c>
      <c r="E44" s="24" t="s">
        <v>753</v>
      </c>
    </row>
    <row r="45" spans="1:6">
      <c r="A45" s="21" t="s">
        <v>772</v>
      </c>
      <c r="B45" s="21" t="s">
        <v>773</v>
      </c>
      <c r="C45" s="21">
        <v>40.524497526579303</v>
      </c>
      <c r="D45" s="21">
        <v>63.917152311429703</v>
      </c>
      <c r="E45" s="24" t="s">
        <v>753</v>
      </c>
    </row>
    <row r="46" spans="1:6">
      <c r="A46" s="21" t="s">
        <v>774</v>
      </c>
      <c r="B46" s="21" t="s">
        <v>775</v>
      </c>
      <c r="C46" s="21">
        <v>52.866571718291397</v>
      </c>
      <c r="D46" s="21">
        <v>79.132084047647595</v>
      </c>
      <c r="E46" s="24" t="s">
        <v>753</v>
      </c>
      <c r="F46" s="26"/>
    </row>
    <row r="47" spans="1:6">
      <c r="A47" s="21" t="s">
        <v>776</v>
      </c>
      <c r="B47" s="21" t="s">
        <v>777</v>
      </c>
      <c r="C47" s="21">
        <v>55.920203624769599</v>
      </c>
      <c r="D47" s="21">
        <v>82.781612616737405</v>
      </c>
      <c r="E47" s="24" t="s">
        <v>753</v>
      </c>
    </row>
    <row r="48" spans="1:6">
      <c r="A48" s="21" t="s">
        <v>778</v>
      </c>
      <c r="B48" s="21" t="s">
        <v>779</v>
      </c>
      <c r="C48" s="21">
        <v>55.920203624769599</v>
      </c>
      <c r="D48" s="21">
        <v>82.781612616737405</v>
      </c>
      <c r="E48" s="24" t="s">
        <v>753</v>
      </c>
      <c r="F48" s="26"/>
    </row>
    <row r="49" spans="1:6">
      <c r="A49" s="21" t="s">
        <v>780</v>
      </c>
      <c r="B49" s="21" t="s">
        <v>781</v>
      </c>
      <c r="C49" s="21">
        <v>51.952907115202898</v>
      </c>
      <c r="D49" s="21">
        <v>85.962267996388903</v>
      </c>
      <c r="E49" s="24" t="s">
        <v>753</v>
      </c>
    </row>
    <row r="50" spans="1:6">
      <c r="A50" s="21" t="s">
        <v>782</v>
      </c>
      <c r="B50" s="21" t="s">
        <v>783</v>
      </c>
      <c r="C50" s="21">
        <v>56.0289522480087</v>
      </c>
      <c r="D50" s="21">
        <v>92.862292900140602</v>
      </c>
      <c r="E50" s="24" t="s">
        <v>753</v>
      </c>
    </row>
    <row r="51" spans="1:6">
      <c r="A51" s="21" t="s">
        <v>784</v>
      </c>
      <c r="B51" s="21" t="s">
        <v>785</v>
      </c>
      <c r="C51" s="21">
        <v>51.879398136630897</v>
      </c>
      <c r="D51" s="21">
        <v>107.57315228717501</v>
      </c>
      <c r="E51" s="24" t="s">
        <v>753</v>
      </c>
      <c r="F51" s="28"/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8"/>
  <sheetViews>
    <sheetView zoomScaleNormal="100" workbookViewId="0">
      <selection activeCell="L8" sqref="L8"/>
    </sheetView>
  </sheetViews>
  <sheetFormatPr defaultColWidth="11.5703125" defaultRowHeight="15"/>
  <cols>
    <col min="1" max="2" width="11.140625" customWidth="1"/>
    <col min="3" max="3" width="12.7109375" customWidth="1"/>
    <col min="4" max="5" width="12" customWidth="1"/>
    <col min="6" max="6" width="12.7109375" customWidth="1"/>
    <col min="7" max="9" width="12" customWidth="1"/>
  </cols>
  <sheetData>
    <row r="1" spans="1:10">
      <c r="A1" s="11" t="s">
        <v>786</v>
      </c>
      <c r="B1" s="34"/>
      <c r="C1" s="34"/>
      <c r="D1" s="34"/>
      <c r="E1" s="34"/>
      <c r="F1" s="34"/>
      <c r="G1" s="34"/>
      <c r="H1" s="34"/>
      <c r="I1" s="36"/>
      <c r="J1" s="33"/>
    </row>
    <row r="2" spans="1:10">
      <c r="A2" s="39" t="s">
        <v>787</v>
      </c>
      <c r="B2" s="40"/>
      <c r="C2" s="40"/>
      <c r="D2" s="40"/>
      <c r="E2" s="40"/>
      <c r="F2" s="40"/>
      <c r="G2" s="40"/>
      <c r="H2" s="40"/>
      <c r="I2" s="40"/>
      <c r="J2" s="41"/>
    </row>
    <row r="3" spans="1:10">
      <c r="A3" s="37"/>
      <c r="B3" s="37"/>
      <c r="C3" s="37" t="s">
        <v>788</v>
      </c>
      <c r="D3" s="37"/>
      <c r="E3" s="37"/>
      <c r="F3" s="37" t="s">
        <v>789</v>
      </c>
      <c r="G3" s="37"/>
      <c r="H3" s="37"/>
      <c r="I3" s="38"/>
      <c r="J3" s="35"/>
    </row>
    <row r="4" spans="1:10">
      <c r="A4" t="s">
        <v>790</v>
      </c>
      <c r="B4" t="s">
        <v>791</v>
      </c>
      <c r="C4" t="s">
        <v>792</v>
      </c>
      <c r="D4" t="s">
        <v>793</v>
      </c>
      <c r="E4" t="s">
        <v>794</v>
      </c>
      <c r="F4" t="s">
        <v>795</v>
      </c>
      <c r="G4" t="s">
        <v>796</v>
      </c>
      <c r="H4" t="s">
        <v>797</v>
      </c>
      <c r="I4" t="s">
        <v>798</v>
      </c>
      <c r="J4" t="s">
        <v>799</v>
      </c>
    </row>
    <row r="5" spans="1:10">
      <c r="A5" t="s">
        <v>800</v>
      </c>
      <c r="B5" t="s">
        <v>801</v>
      </c>
      <c r="C5">
        <v>-3.0956911512151</v>
      </c>
      <c r="D5">
        <v>1.5136207512536699</v>
      </c>
      <c r="E5" s="43">
        <v>1E-10</v>
      </c>
      <c r="F5">
        <v>-2.5020452621353302</v>
      </c>
      <c r="G5">
        <v>0.91632381960006803</v>
      </c>
      <c r="H5">
        <v>10</v>
      </c>
      <c r="I5" s="43">
        <v>1E-10</v>
      </c>
      <c r="J5" s="44">
        <f>2*(F5-C5)</f>
        <v>1.1872917781595396</v>
      </c>
    </row>
    <row r="6" spans="1:10">
      <c r="A6" t="s">
        <v>153</v>
      </c>
      <c r="B6" t="s">
        <v>25</v>
      </c>
      <c r="C6">
        <v>-1236.8476321895</v>
      </c>
      <c r="D6">
        <v>0.79318349064721905</v>
      </c>
      <c r="E6">
        <v>1.36026321092263E-2</v>
      </c>
      <c r="F6">
        <v>-1149.00465051848</v>
      </c>
      <c r="G6">
        <v>0.50762859407546101</v>
      </c>
      <c r="H6">
        <v>0.83034353407777794</v>
      </c>
      <c r="I6" s="43">
        <v>1E-10</v>
      </c>
      <c r="J6">
        <f>2*(F6-C6)</f>
        <v>175.68596334203994</v>
      </c>
    </row>
    <row r="7" spans="1:10">
      <c r="A7" t="s">
        <v>713</v>
      </c>
      <c r="B7" t="s">
        <v>802</v>
      </c>
      <c r="C7">
        <v>-475653.26061495801</v>
      </c>
      <c r="D7">
        <v>0.37248784370793397</v>
      </c>
      <c r="E7">
        <v>2.0251666396259999E-2</v>
      </c>
      <c r="F7">
        <v>-468660.09451099503</v>
      </c>
      <c r="G7">
        <v>0.16212182355042501</v>
      </c>
      <c r="H7">
        <v>0.33707059183466198</v>
      </c>
      <c r="I7">
        <v>5.1519128486713403E-2</v>
      </c>
      <c r="J7">
        <f>2*(F7-C7)</f>
        <v>13986.332207925967</v>
      </c>
    </row>
    <row r="8" spans="1:10">
      <c r="A8" t="s">
        <v>723</v>
      </c>
      <c r="B8" t="s">
        <v>802</v>
      </c>
      <c r="C8">
        <v>-536623.30043946602</v>
      </c>
      <c r="D8">
        <v>0.27393368245029898</v>
      </c>
      <c r="E8">
        <v>2.0225041856627001E-2</v>
      </c>
      <c r="F8">
        <v>-528695.35317256197</v>
      </c>
      <c r="G8">
        <v>7.6264596947130697E-2</v>
      </c>
      <c r="H8">
        <v>0.31586015614933499</v>
      </c>
      <c r="I8">
        <v>4.5402755352703002E-2</v>
      </c>
      <c r="J8">
        <f>2*(F8-C8)</f>
        <v>15855.89453380811</v>
      </c>
    </row>
    <row r="9" spans="1:10">
      <c r="A9" t="s">
        <v>784</v>
      </c>
      <c r="B9" t="s">
        <v>802</v>
      </c>
      <c r="C9">
        <v>-536953.890855017</v>
      </c>
      <c r="D9">
        <v>0.26706220152195997</v>
      </c>
      <c r="E9">
        <v>2.0173874630053001E-2</v>
      </c>
      <c r="F9">
        <v>-529350.88969329197</v>
      </c>
      <c r="G9">
        <v>7.46488838372419E-2</v>
      </c>
      <c r="H9">
        <v>0.30757295942304902</v>
      </c>
      <c r="I9">
        <v>4.4834210908252098E-2</v>
      </c>
      <c r="J9">
        <f>2*(F9-C9)</f>
        <v>15206.002323450055</v>
      </c>
    </row>
    <row r="10" spans="1:10">
      <c r="A10" t="s">
        <v>707</v>
      </c>
      <c r="B10" t="s">
        <v>802</v>
      </c>
      <c r="C10">
        <v>-518992.67860331398</v>
      </c>
      <c r="D10">
        <v>0.31437708725037</v>
      </c>
      <c r="E10">
        <v>2.0132252257845599E-2</v>
      </c>
      <c r="F10">
        <v>-511468.51290741999</v>
      </c>
      <c r="G10">
        <v>0.112187369180671</v>
      </c>
      <c r="H10">
        <v>0.32206440997161401</v>
      </c>
      <c r="I10">
        <v>4.7957742163743697E-2</v>
      </c>
      <c r="J10">
        <f>2*(F10-C10)</f>
        <v>15048.331391787971</v>
      </c>
    </row>
    <row r="11" spans="1:10">
      <c r="A11" t="s">
        <v>727</v>
      </c>
      <c r="B11" t="s">
        <v>802</v>
      </c>
      <c r="C11">
        <v>-525340.97627982998</v>
      </c>
      <c r="D11">
        <v>0.300070546406001</v>
      </c>
      <c r="E11">
        <v>2.0120103408880301E-2</v>
      </c>
      <c r="F11">
        <v>-517606.76749437797</v>
      </c>
      <c r="G11">
        <v>0.100566685961057</v>
      </c>
      <c r="H11">
        <v>0.319956613873287</v>
      </c>
      <c r="I11">
        <v>4.7715514283435102E-2</v>
      </c>
      <c r="J11">
        <f>2*(F11-C11)</f>
        <v>15468.417570904014</v>
      </c>
    </row>
    <row r="12" spans="1:10">
      <c r="A12" t="s">
        <v>703</v>
      </c>
      <c r="B12" t="s">
        <v>802</v>
      </c>
      <c r="C12">
        <v>-509004.64686448401</v>
      </c>
      <c r="D12">
        <v>0.331848738514812</v>
      </c>
      <c r="E12">
        <v>2.0069922039599598E-2</v>
      </c>
      <c r="F12">
        <v>-501629.730312881</v>
      </c>
      <c r="G12">
        <v>0.12975536715469799</v>
      </c>
      <c r="H12">
        <v>0.324190141432185</v>
      </c>
      <c r="I12">
        <v>4.9588701421063398E-2</v>
      </c>
      <c r="J12">
        <f>2*(F12-C12)</f>
        <v>14749.833103206009</v>
      </c>
    </row>
    <row r="13" spans="1:10">
      <c r="A13" t="s">
        <v>736</v>
      </c>
      <c r="B13" t="s">
        <v>802</v>
      </c>
      <c r="C13">
        <v>-528806.439579739</v>
      </c>
      <c r="D13">
        <v>0.28629537003996502</v>
      </c>
      <c r="E13">
        <v>2.0172494304367499E-2</v>
      </c>
      <c r="F13">
        <v>-520974.87800512702</v>
      </c>
      <c r="G13">
        <v>8.3974780740365296E-2</v>
      </c>
      <c r="H13">
        <v>0.32094649629189298</v>
      </c>
      <c r="I13">
        <v>4.6040705696137101E-2</v>
      </c>
      <c r="J13">
        <f>2*(F13-C13)</f>
        <v>15663.123149223975</v>
      </c>
    </row>
    <row r="14" spans="1:10">
      <c r="A14" t="s">
        <v>738</v>
      </c>
      <c r="B14" t="s">
        <v>802</v>
      </c>
      <c r="C14">
        <v>-449691.13840049598</v>
      </c>
      <c r="D14">
        <v>0.39624021798253301</v>
      </c>
      <c r="E14">
        <v>1.9933397208729799E-2</v>
      </c>
      <c r="F14">
        <v>-443734.82870174799</v>
      </c>
      <c r="G14">
        <v>0.19867162142518299</v>
      </c>
      <c r="H14">
        <v>0.31936426682560798</v>
      </c>
      <c r="I14">
        <v>5.3770489372255002E-2</v>
      </c>
      <c r="J14">
        <f>2*(F14-C14)</f>
        <v>11912.61939749599</v>
      </c>
    </row>
    <row r="15" spans="1:10">
      <c r="A15" t="s">
        <v>319</v>
      </c>
      <c r="B15" t="s">
        <v>25</v>
      </c>
      <c r="C15">
        <v>-1258.5693379706499</v>
      </c>
      <c r="D15">
        <v>0.76304339265736798</v>
      </c>
      <c r="E15">
        <v>1.33251372651935E-2</v>
      </c>
      <c r="F15">
        <v>-1161.73976310587</v>
      </c>
      <c r="G15">
        <v>0.47252066619153099</v>
      </c>
      <c r="H15">
        <v>0.85298377391531399</v>
      </c>
      <c r="I15" s="43">
        <v>1E-10</v>
      </c>
      <c r="J15">
        <f>2*(F15-C15)</f>
        <v>193.65914972955989</v>
      </c>
    </row>
    <row r="16" spans="1:10">
      <c r="A16" t="s">
        <v>299</v>
      </c>
      <c r="B16" t="s">
        <v>25</v>
      </c>
      <c r="C16">
        <v>-1006.75094275212</v>
      </c>
      <c r="D16">
        <v>0.70399864660532097</v>
      </c>
      <c r="E16">
        <v>1.1575233316107899E-2</v>
      </c>
      <c r="F16">
        <v>-916.81733154917902</v>
      </c>
      <c r="G16">
        <v>0.36431495284930299</v>
      </c>
      <c r="H16">
        <v>0.93386598260064801</v>
      </c>
      <c r="I16" s="43">
        <v>1E-10</v>
      </c>
      <c r="J16">
        <f>2*(F16-C16)</f>
        <v>179.86722240588188</v>
      </c>
    </row>
    <row r="17" spans="1:10">
      <c r="A17" t="s">
        <v>768</v>
      </c>
      <c r="B17" t="s">
        <v>802</v>
      </c>
      <c r="C17">
        <v>-536127.59850188799</v>
      </c>
      <c r="D17">
        <v>0.27512683055221698</v>
      </c>
      <c r="E17">
        <v>2.01434696312968E-2</v>
      </c>
      <c r="F17">
        <v>-528649.11234880099</v>
      </c>
      <c r="G17">
        <v>8.4312859167460202E-2</v>
      </c>
      <c r="H17">
        <v>0.306370838241178</v>
      </c>
      <c r="I17">
        <v>4.5927050030966199E-2</v>
      </c>
      <c r="J17">
        <f>2*(F17-C17)</f>
        <v>14956.972306173993</v>
      </c>
    </row>
    <row r="18" spans="1:10">
      <c r="A18" t="s">
        <v>350</v>
      </c>
      <c r="B18" t="s">
        <v>25</v>
      </c>
      <c r="C18">
        <v>-1126.32188882068</v>
      </c>
      <c r="D18">
        <v>0.76021154535163804</v>
      </c>
      <c r="E18">
        <v>1.3404096755824499E-2</v>
      </c>
      <c r="F18">
        <v>-1041.69454954038</v>
      </c>
      <c r="G18">
        <v>0.44595293399902303</v>
      </c>
      <c r="H18">
        <v>0.88779466146762198</v>
      </c>
      <c r="I18">
        <v>1.28116921754475E-2</v>
      </c>
      <c r="J18">
        <f>2*(F18-C18)</f>
        <v>169.25467856060004</v>
      </c>
    </row>
    <row r="19" spans="1:10">
      <c r="A19" t="s">
        <v>746</v>
      </c>
      <c r="B19" t="s">
        <v>802</v>
      </c>
      <c r="C19">
        <v>-13261.781236062099</v>
      </c>
      <c r="D19">
        <v>0.16637447549235901</v>
      </c>
      <c r="E19">
        <v>3.6728789204192501E-2</v>
      </c>
      <c r="F19">
        <v>-13126.602138381601</v>
      </c>
      <c r="G19">
        <v>9.2845310546799203E-2</v>
      </c>
      <c r="H19">
        <v>0.18883800593366401</v>
      </c>
      <c r="I19">
        <v>4.5628041304759302E-2</v>
      </c>
      <c r="J19">
        <f>2*(F19-C19)</f>
        <v>270.35819536099734</v>
      </c>
    </row>
    <row r="20" spans="1:10">
      <c r="A20" t="s">
        <v>391</v>
      </c>
      <c r="B20" t="s">
        <v>25</v>
      </c>
      <c r="C20">
        <v>-1254.9310372428999</v>
      </c>
      <c r="D20">
        <v>0.72387656002370804</v>
      </c>
      <c r="E20">
        <v>1.54038210374809E-2</v>
      </c>
      <c r="F20">
        <v>-1157.5271535401</v>
      </c>
      <c r="G20">
        <v>0.423602486241209</v>
      </c>
      <c r="H20">
        <v>0.84977931838930398</v>
      </c>
      <c r="I20" s="43">
        <v>1E-10</v>
      </c>
      <c r="J20">
        <f>2*(F20-C20)</f>
        <v>194.80776740559986</v>
      </c>
    </row>
    <row r="21" spans="1:10">
      <c r="A21" t="s">
        <v>749</v>
      </c>
      <c r="B21" t="s">
        <v>802</v>
      </c>
      <c r="C21">
        <v>-370255.03254851903</v>
      </c>
      <c r="D21">
        <v>0.40088594359139101</v>
      </c>
      <c r="E21">
        <v>2.0107436009269002E-2</v>
      </c>
      <c r="F21">
        <v>-365695.70665616798</v>
      </c>
      <c r="G21">
        <v>0.20336949700919399</v>
      </c>
      <c r="H21">
        <v>0.31501683887108201</v>
      </c>
      <c r="I21">
        <v>4.96735998572084E-2</v>
      </c>
      <c r="J21">
        <f>2*(F21-C21)</f>
        <v>9118.6517847020878</v>
      </c>
    </row>
    <row r="22" spans="1:10">
      <c r="A22" t="s">
        <v>803</v>
      </c>
      <c r="B22" t="s">
        <v>802</v>
      </c>
      <c r="C22">
        <v>-540685.35179244203</v>
      </c>
      <c r="D22">
        <v>0.25708074234598999</v>
      </c>
      <c r="E22">
        <v>2.0237586374878502E-2</v>
      </c>
      <c r="F22">
        <v>-532578.45832451095</v>
      </c>
      <c r="G22">
        <v>5.8211066187070698E-2</v>
      </c>
      <c r="H22">
        <v>0.315982518144036</v>
      </c>
      <c r="I22">
        <v>4.4035731629847197E-2</v>
      </c>
      <c r="J22">
        <f>2*(F22-C22)</f>
        <v>16213.786935862154</v>
      </c>
    </row>
    <row r="23" spans="1:10">
      <c r="A23" t="s">
        <v>428</v>
      </c>
      <c r="B23" t="s">
        <v>802</v>
      </c>
      <c r="C23">
        <v>-632.79590074484702</v>
      </c>
      <c r="D23">
        <v>0.56482384157755094</v>
      </c>
      <c r="E23">
        <v>3.7393263912865203E-2</v>
      </c>
      <c r="F23">
        <v>-595.05614530445803</v>
      </c>
      <c r="G23">
        <v>0.37194581798387599</v>
      </c>
      <c r="H23">
        <v>0.69429985540852301</v>
      </c>
      <c r="I23">
        <v>7.3840366633670697E-3</v>
      </c>
      <c r="J23">
        <f>2*(F23-C23)</f>
        <v>75.47951088077798</v>
      </c>
    </row>
    <row r="24" spans="1:10">
      <c r="A24" t="s">
        <v>762</v>
      </c>
      <c r="B24" t="s">
        <v>802</v>
      </c>
      <c r="C24">
        <v>-540809.20594924199</v>
      </c>
      <c r="D24">
        <v>0.26620830686990798</v>
      </c>
      <c r="E24">
        <v>2.02009823814694E-2</v>
      </c>
      <c r="F24">
        <v>-532723.72713055101</v>
      </c>
      <c r="G24">
        <v>6.6545650028606004E-2</v>
      </c>
      <c r="H24">
        <v>0.31741381104608801</v>
      </c>
      <c r="I24">
        <v>4.42749330380829E-2</v>
      </c>
      <c r="J24">
        <f>2*(F24-C24)</f>
        <v>16170.957637381973</v>
      </c>
    </row>
    <row r="25" spans="1:10">
      <c r="A25" t="s">
        <v>804</v>
      </c>
      <c r="B25" t="s">
        <v>802</v>
      </c>
      <c r="C25">
        <v>-11901.129162613999</v>
      </c>
      <c r="D25">
        <v>0.21715118696549701</v>
      </c>
      <c r="E25">
        <v>4.1001505483547501E-2</v>
      </c>
      <c r="F25">
        <v>-11779.721868172001</v>
      </c>
      <c r="G25">
        <v>0.13584323863369299</v>
      </c>
      <c r="H25">
        <v>0.19837513711556201</v>
      </c>
      <c r="I25">
        <v>5.3333947810320401E-2</v>
      </c>
      <c r="J25">
        <f>2*(F25-C25)</f>
        <v>242.8145888839972</v>
      </c>
    </row>
    <row r="26" spans="1:10">
      <c r="A26" t="s">
        <v>715</v>
      </c>
      <c r="B26" t="s">
        <v>802</v>
      </c>
      <c r="C26">
        <v>-516391.13285126799</v>
      </c>
      <c r="D26">
        <v>0.32535155810171201</v>
      </c>
      <c r="E26">
        <v>2.02201726018158E-2</v>
      </c>
      <c r="F26">
        <v>-508572.74212208402</v>
      </c>
      <c r="G26">
        <v>0.11574007160654699</v>
      </c>
      <c r="H26">
        <v>0.33310785468709803</v>
      </c>
      <c r="I26">
        <v>4.83782051939015E-2</v>
      </c>
      <c r="J26">
        <f>2*(F26-C26)</f>
        <v>15636.781458367943</v>
      </c>
    </row>
    <row r="27" spans="1:10">
      <c r="A27" t="s">
        <v>805</v>
      </c>
      <c r="B27" t="s">
        <v>802</v>
      </c>
      <c r="C27">
        <v>-531687.17382065102</v>
      </c>
      <c r="D27">
        <v>0.29319755445318701</v>
      </c>
      <c r="E27">
        <v>2.0197284283406398E-2</v>
      </c>
      <c r="F27">
        <v>-524223.56523515598</v>
      </c>
      <c r="G27">
        <v>9.8906439622697503E-2</v>
      </c>
      <c r="H27">
        <v>0.31169327252301199</v>
      </c>
      <c r="I27">
        <v>4.5969151020017002E-2</v>
      </c>
      <c r="J27">
        <f>2*(F27-C27)</f>
        <v>14927.217170990072</v>
      </c>
    </row>
    <row r="28" spans="1:10">
      <c r="A28" t="s">
        <v>741</v>
      </c>
      <c r="B28" t="s">
        <v>802</v>
      </c>
      <c r="C28">
        <v>-429657.169746753</v>
      </c>
      <c r="D28">
        <v>0.382928005830874</v>
      </c>
      <c r="E28">
        <v>2.0415320347989499E-2</v>
      </c>
      <c r="F28">
        <v>-424114.64106438402</v>
      </c>
      <c r="G28">
        <v>0.187282724592433</v>
      </c>
      <c r="H28">
        <v>0.31618863824515198</v>
      </c>
      <c r="I28">
        <v>5.2083861333365303E-2</v>
      </c>
      <c r="J28">
        <f>2*(F28-C28)</f>
        <v>11085.057364737964</v>
      </c>
    </row>
    <row r="29" spans="1:10">
      <c r="A29" t="s">
        <v>806</v>
      </c>
      <c r="B29" t="s">
        <v>802</v>
      </c>
      <c r="C29">
        <v>-536818.80906552996</v>
      </c>
      <c r="D29">
        <v>0.27924604916027801</v>
      </c>
      <c r="E29">
        <v>2.0274186132439E-2</v>
      </c>
      <c r="F29">
        <v>-528957.45276913396</v>
      </c>
      <c r="G29">
        <v>8.0647435795543995E-2</v>
      </c>
      <c r="H29">
        <v>0.31662804831517799</v>
      </c>
      <c r="I29">
        <v>4.5648559752146198E-2</v>
      </c>
      <c r="J29">
        <f>2*(F29-C29)</f>
        <v>15722.712592791999</v>
      </c>
    </row>
    <row r="30" spans="1:10">
      <c r="A30" t="s">
        <v>760</v>
      </c>
      <c r="B30" t="s">
        <v>802</v>
      </c>
      <c r="C30">
        <v>-539099.31090696203</v>
      </c>
      <c r="D30">
        <v>0.26822321436626201</v>
      </c>
      <c r="E30">
        <v>2.0172271054464699E-2</v>
      </c>
      <c r="F30">
        <v>-531417.47505267104</v>
      </c>
      <c r="G30">
        <v>7.6329667423089498E-2</v>
      </c>
      <c r="H30">
        <v>0.30780834833911602</v>
      </c>
      <c r="I30">
        <v>4.5114794266805501E-2</v>
      </c>
      <c r="J30">
        <f>2*(F30-C30)</f>
        <v>15363.671708581969</v>
      </c>
    </row>
    <row r="31" spans="1:10">
      <c r="A31" t="s">
        <v>471</v>
      </c>
      <c r="B31" t="s">
        <v>802</v>
      </c>
      <c r="C31">
        <v>-893.50864963700099</v>
      </c>
      <c r="D31">
        <v>0.66577401779682099</v>
      </c>
      <c r="E31">
        <v>1.7386996284519202E-2</v>
      </c>
      <c r="F31">
        <v>-830.93715590142097</v>
      </c>
      <c r="G31">
        <v>0.31442149897063898</v>
      </c>
      <c r="H31">
        <v>0.90405593306825005</v>
      </c>
      <c r="I31">
        <v>3.3769329780905501E-2</v>
      </c>
      <c r="J31">
        <f>2*(F31-C31)</f>
        <v>125.14298747116004</v>
      </c>
    </row>
    <row r="32" spans="1:10">
      <c r="A32" t="s">
        <v>807</v>
      </c>
      <c r="B32" t="s">
        <v>802</v>
      </c>
      <c r="C32">
        <v>-532979.54180553905</v>
      </c>
      <c r="D32">
        <v>0.28372933853467902</v>
      </c>
      <c r="E32">
        <v>2.01698566182274E-2</v>
      </c>
      <c r="F32">
        <v>-525175.01168824499</v>
      </c>
      <c r="G32">
        <v>8.4796105565597094E-2</v>
      </c>
      <c r="H32">
        <v>0.317192121605401</v>
      </c>
      <c r="I32">
        <v>4.5456486438588198E-2</v>
      </c>
      <c r="J32">
        <f>2*(F32-C32)</f>
        <v>15609.060234588105</v>
      </c>
    </row>
    <row r="33" spans="1:10">
      <c r="A33" t="s">
        <v>717</v>
      </c>
      <c r="B33" t="s">
        <v>802</v>
      </c>
      <c r="C33">
        <v>-543961.23450188199</v>
      </c>
      <c r="D33">
        <v>0.27026869889815403</v>
      </c>
      <c r="E33">
        <v>2.0273890757703601E-2</v>
      </c>
      <c r="F33">
        <v>-535763.36412945006</v>
      </c>
      <c r="G33">
        <v>7.1897496073227998E-2</v>
      </c>
      <c r="H33">
        <v>0.31764754667864997</v>
      </c>
      <c r="I33">
        <v>4.5780083507588998E-2</v>
      </c>
      <c r="J33">
        <f>2*(F33-C33)</f>
        <v>16395.74074486387</v>
      </c>
    </row>
    <row r="34" spans="1:10">
      <c r="A34" t="s">
        <v>719</v>
      </c>
      <c r="B34" t="s">
        <v>802</v>
      </c>
      <c r="C34">
        <v>-542101.939844048</v>
      </c>
      <c r="D34">
        <v>0.27029523265869898</v>
      </c>
      <c r="E34">
        <v>2.02311556641574E-2</v>
      </c>
      <c r="F34">
        <v>-533977.77116576</v>
      </c>
      <c r="G34">
        <v>7.1822028084375295E-2</v>
      </c>
      <c r="H34">
        <v>0.31710324021502501</v>
      </c>
      <c r="I34">
        <v>4.5332560406501798E-2</v>
      </c>
      <c r="J34">
        <f>2*(F34-C34)</f>
        <v>16248.337356575998</v>
      </c>
    </row>
    <row r="35" spans="1:10">
      <c r="A35" t="s">
        <v>766</v>
      </c>
      <c r="B35" t="s">
        <v>802</v>
      </c>
      <c r="C35">
        <v>-539217.35986311</v>
      </c>
      <c r="D35">
        <v>0.27262307815753001</v>
      </c>
      <c r="E35">
        <v>2.02044421343167E-2</v>
      </c>
      <c r="F35">
        <v>-531506.62823815201</v>
      </c>
      <c r="G35">
        <v>7.8712536547103001E-2</v>
      </c>
      <c r="H35">
        <v>0.310553269802048</v>
      </c>
      <c r="I35">
        <v>4.5078326419637403E-2</v>
      </c>
      <c r="J35">
        <f>2*(F35-C35)</f>
        <v>15421.463249915978</v>
      </c>
    </row>
    <row r="36" spans="1:10">
      <c r="A36" t="s">
        <v>711</v>
      </c>
      <c r="B36" t="s">
        <v>802</v>
      </c>
      <c r="C36">
        <v>-519842.49427377799</v>
      </c>
      <c r="D36">
        <v>0.307005753840559</v>
      </c>
      <c r="E36">
        <v>2.0266040520686601E-2</v>
      </c>
      <c r="F36">
        <v>-512355.185383073</v>
      </c>
      <c r="G36">
        <v>0.106863909803025</v>
      </c>
      <c r="H36">
        <v>0.31924806934049399</v>
      </c>
      <c r="I36">
        <v>4.71110613613656E-2</v>
      </c>
      <c r="J36">
        <f>2*(F36-C36)</f>
        <v>14974.617781409994</v>
      </c>
    </row>
    <row r="37" spans="1:10">
      <c r="A37" t="s">
        <v>693</v>
      </c>
      <c r="B37" t="s">
        <v>802</v>
      </c>
      <c r="C37">
        <v>-530823.212405217</v>
      </c>
      <c r="D37">
        <v>0.29533977951076701</v>
      </c>
      <c r="E37">
        <v>2.0153545251550099E-2</v>
      </c>
      <c r="F37">
        <v>-523064.38878881797</v>
      </c>
      <c r="G37">
        <v>9.60687616770559E-2</v>
      </c>
      <c r="H37">
        <v>0.31849270893081499</v>
      </c>
      <c r="I37">
        <v>4.7057007362402398E-2</v>
      </c>
      <c r="J37">
        <f>2*(F37-C37)</f>
        <v>15517.647232798045</v>
      </c>
    </row>
    <row r="38" spans="1:10">
      <c r="A38" t="s">
        <v>725</v>
      </c>
      <c r="B38" t="s">
        <v>802</v>
      </c>
      <c r="C38">
        <v>-531761.28642355802</v>
      </c>
      <c r="D38">
        <v>0.280143010177484</v>
      </c>
      <c r="E38">
        <v>2.0158479671116399E-2</v>
      </c>
      <c r="F38">
        <v>-523879.54122270597</v>
      </c>
      <c r="G38">
        <v>8.0818851034931097E-2</v>
      </c>
      <c r="H38">
        <v>0.31759277983743101</v>
      </c>
      <c r="I38">
        <v>4.4886419206473703E-2</v>
      </c>
      <c r="J38">
        <f>2*(F38-C38)</f>
        <v>15763.490401704097</v>
      </c>
    </row>
    <row r="39" spans="1:10">
      <c r="A39" t="s">
        <v>770</v>
      </c>
      <c r="B39" t="s">
        <v>802</v>
      </c>
      <c r="C39">
        <v>-539598.26572209701</v>
      </c>
      <c r="D39">
        <v>0.26922643309676803</v>
      </c>
      <c r="E39">
        <v>2.0285169608751399E-2</v>
      </c>
      <c r="F39">
        <v>-531903.29421867104</v>
      </c>
      <c r="G39">
        <v>7.6562837366238604E-2</v>
      </c>
      <c r="H39">
        <v>0.30898109099524201</v>
      </c>
      <c r="I39">
        <v>4.49513490037413E-2</v>
      </c>
      <c r="J39">
        <f>2*(F39-C39)</f>
        <v>15389.943006851943</v>
      </c>
    </row>
    <row r="40" spans="1:10">
      <c r="A40" t="s">
        <v>731</v>
      </c>
      <c r="B40" t="s">
        <v>802</v>
      </c>
      <c r="C40">
        <v>-534368.91040459101</v>
      </c>
      <c r="D40">
        <v>0.27596508878858</v>
      </c>
      <c r="E40">
        <v>2.0249947160367099E-2</v>
      </c>
      <c r="F40">
        <v>-526498.54536270502</v>
      </c>
      <c r="G40">
        <v>7.6496686419863E-2</v>
      </c>
      <c r="H40">
        <v>0.31727666134285498</v>
      </c>
      <c r="I40">
        <v>4.5624201649782897E-2</v>
      </c>
      <c r="J40">
        <f>2*(F40-C40)</f>
        <v>15740.730083771981</v>
      </c>
    </row>
    <row r="41" spans="1:10">
      <c r="A41" t="s">
        <v>709</v>
      </c>
      <c r="B41" t="s">
        <v>802</v>
      </c>
      <c r="C41">
        <v>-350526.031953089</v>
      </c>
      <c r="D41">
        <v>0.45981683416633101</v>
      </c>
      <c r="E41">
        <v>1.9733826053925801E-2</v>
      </c>
      <c r="F41">
        <v>-345947.504772035</v>
      </c>
      <c r="G41">
        <v>0.25445364323081798</v>
      </c>
      <c r="H41">
        <v>0.33295559836812699</v>
      </c>
      <c r="I41">
        <v>5.1784865337793098E-2</v>
      </c>
      <c r="J41">
        <f>2*(F41-C41)</f>
        <v>9157.0543621079996</v>
      </c>
    </row>
    <row r="42" spans="1:10">
      <c r="A42" t="s">
        <v>721</v>
      </c>
      <c r="B42" t="s">
        <v>802</v>
      </c>
      <c r="C42">
        <v>-530745.467092979</v>
      </c>
      <c r="D42">
        <v>0.28668470361605197</v>
      </c>
      <c r="E42">
        <v>2.01628113938466E-2</v>
      </c>
      <c r="F42">
        <v>-522931.00099395699</v>
      </c>
      <c r="G42">
        <v>8.7064171961994299E-2</v>
      </c>
      <c r="H42">
        <v>0.318287056718773</v>
      </c>
      <c r="I42">
        <v>4.6307915893219198E-2</v>
      </c>
      <c r="J42">
        <f>2*(F42-C42)</f>
        <v>15628.932198044029</v>
      </c>
    </row>
    <row r="43" spans="1:10">
      <c r="A43" t="s">
        <v>699</v>
      </c>
      <c r="B43" t="s">
        <v>802</v>
      </c>
      <c r="C43">
        <v>-526284.15685563302</v>
      </c>
      <c r="D43">
        <v>0.26864397512032601</v>
      </c>
      <c r="E43">
        <v>2.0251012801925799E-2</v>
      </c>
      <c r="F43">
        <v>-518704.841265939</v>
      </c>
      <c r="G43">
        <v>7.4480754102959901E-2</v>
      </c>
      <c r="H43">
        <v>0.309423040594412</v>
      </c>
      <c r="I43">
        <v>4.6981271880707602E-2</v>
      </c>
      <c r="J43">
        <f>2*(F43-C43)</f>
        <v>15158.63117938803</v>
      </c>
    </row>
    <row r="44" spans="1:10">
      <c r="A44" t="s">
        <v>758</v>
      </c>
      <c r="B44" t="s">
        <v>802</v>
      </c>
      <c r="C44">
        <v>-529060.80311242095</v>
      </c>
      <c r="D44">
        <v>0.26481013502848</v>
      </c>
      <c r="E44">
        <v>2.0114053391740799E-2</v>
      </c>
      <c r="F44">
        <v>-522062.84097087698</v>
      </c>
      <c r="G44">
        <v>8.6280060282229606E-2</v>
      </c>
      <c r="H44">
        <v>0.28910793955006497</v>
      </c>
      <c r="I44">
        <v>4.7311619833981598E-2</v>
      </c>
      <c r="J44">
        <f>2*(F44-C44)</f>
        <v>13995.924283087952</v>
      </c>
    </row>
    <row r="45" spans="1:10">
      <c r="A45" t="s">
        <v>754</v>
      </c>
      <c r="B45" t="s">
        <v>802</v>
      </c>
      <c r="C45">
        <v>-488406.68741706503</v>
      </c>
      <c r="D45">
        <v>0.29251657659306002</v>
      </c>
      <c r="E45">
        <v>2.00598407151346E-2</v>
      </c>
      <c r="F45">
        <v>-482217.63112328498</v>
      </c>
      <c r="G45">
        <v>0.107714254342271</v>
      </c>
      <c r="H45">
        <v>0.29469244626264401</v>
      </c>
      <c r="I45">
        <v>4.8049312347720599E-2</v>
      </c>
      <c r="J45">
        <f>2*(F45-C45)</f>
        <v>12378.112587560085</v>
      </c>
    </row>
    <row r="46" spans="1:10">
      <c r="A46" t="s">
        <v>691</v>
      </c>
      <c r="B46" t="s">
        <v>802</v>
      </c>
      <c r="C46">
        <v>-512950.85225248698</v>
      </c>
      <c r="D46">
        <v>0.31499039966361297</v>
      </c>
      <c r="E46">
        <v>2.0277906618724601E-2</v>
      </c>
      <c r="F46">
        <v>-505344.61392710201</v>
      </c>
      <c r="G46">
        <v>0.11115229856742</v>
      </c>
      <c r="H46">
        <v>0.32548088819501603</v>
      </c>
      <c r="I46">
        <v>4.9324358852410002E-2</v>
      </c>
      <c r="J46">
        <f>2*(F46-C46)</f>
        <v>15212.476650769939</v>
      </c>
    </row>
    <row r="47" spans="1:10">
      <c r="A47" t="s">
        <v>751</v>
      </c>
      <c r="B47" t="s">
        <v>802</v>
      </c>
      <c r="C47">
        <v>-533465.88730301196</v>
      </c>
      <c r="D47">
        <v>0.28807200199542199</v>
      </c>
      <c r="E47">
        <v>2.0197389868711401E-2</v>
      </c>
      <c r="F47">
        <v>-525266.21012259403</v>
      </c>
      <c r="G47">
        <v>8.2284851293811107E-2</v>
      </c>
      <c r="H47">
        <v>0.32621993924992698</v>
      </c>
      <c r="I47">
        <v>4.6618288972734997E-2</v>
      </c>
      <c r="J47">
        <f>2*(F47-C47)</f>
        <v>16399.35436083586</v>
      </c>
    </row>
    <row r="48" spans="1:10">
      <c r="A48" t="s">
        <v>697</v>
      </c>
      <c r="B48" t="s">
        <v>802</v>
      </c>
      <c r="C48">
        <v>-517888.06846957601</v>
      </c>
      <c r="D48">
        <v>0.307660507166997</v>
      </c>
      <c r="E48">
        <v>2.01134620057856E-2</v>
      </c>
      <c r="F48">
        <v>-509838.57423433801</v>
      </c>
      <c r="G48">
        <v>9.6918201051201303E-2</v>
      </c>
      <c r="H48">
        <v>0.33327265035192499</v>
      </c>
      <c r="I48">
        <v>4.7436147551963397E-2</v>
      </c>
      <c r="J48">
        <f>2*(F48-C48)</f>
        <v>16098.988470476004</v>
      </c>
    </row>
    <row r="49" spans="1:10">
      <c r="A49" t="s">
        <v>756</v>
      </c>
      <c r="B49" t="s">
        <v>802</v>
      </c>
      <c r="C49">
        <v>-533108.36254119605</v>
      </c>
      <c r="D49">
        <v>0.28474796214321202</v>
      </c>
      <c r="E49">
        <v>2.0156648771344401E-2</v>
      </c>
      <c r="F49">
        <v>-525283.65469946305</v>
      </c>
      <c r="G49">
        <v>8.5696672105137997E-2</v>
      </c>
      <c r="H49">
        <v>0.317556398084059</v>
      </c>
      <c r="I49">
        <v>4.6028755783932701E-2</v>
      </c>
      <c r="J49">
        <f>2*(F49-C49)</f>
        <v>15649.41568346601</v>
      </c>
    </row>
    <row r="50" spans="1:10">
      <c r="A50" t="s">
        <v>556</v>
      </c>
      <c r="B50" t="s">
        <v>25</v>
      </c>
      <c r="C50">
        <v>-1118.0489332422901</v>
      </c>
      <c r="D50">
        <v>0.75478475224197705</v>
      </c>
      <c r="E50">
        <v>1.50862574443107E-2</v>
      </c>
      <c r="F50">
        <v>-1031.48059407399</v>
      </c>
      <c r="G50">
        <v>0.440273556338517</v>
      </c>
      <c r="H50">
        <v>0.88432379245428705</v>
      </c>
      <c r="I50" s="43">
        <v>1E-10</v>
      </c>
      <c r="J50">
        <f>2*(F50-C50)</f>
        <v>173.1366783366002</v>
      </c>
    </row>
    <row r="51" spans="1:10">
      <c r="A51" t="s">
        <v>573</v>
      </c>
      <c r="B51" t="s">
        <v>25</v>
      </c>
      <c r="C51">
        <v>-1031.72104204069</v>
      </c>
      <c r="D51">
        <v>0.74014139121682199</v>
      </c>
      <c r="E51">
        <v>1.57808402208627E-2</v>
      </c>
      <c r="F51">
        <v>-943.00278377703705</v>
      </c>
      <c r="G51">
        <v>0.410002043408702</v>
      </c>
      <c r="H51">
        <v>0.97585911505043199</v>
      </c>
      <c r="I51">
        <v>3.1735168197492197E-2</v>
      </c>
      <c r="J51">
        <f>2*(F51-C51)</f>
        <v>177.43651652730591</v>
      </c>
    </row>
    <row r="52" spans="1:10">
      <c r="A52" t="s">
        <v>701</v>
      </c>
      <c r="B52" t="s">
        <v>802</v>
      </c>
      <c r="C52">
        <v>-505788.78853644402</v>
      </c>
      <c r="D52">
        <v>0.318802274266689</v>
      </c>
      <c r="E52">
        <v>2.0072235075157999E-2</v>
      </c>
      <c r="F52">
        <v>-498564.65619827301</v>
      </c>
      <c r="G52">
        <v>0.11885943106713601</v>
      </c>
      <c r="H52">
        <v>0.31917642402876401</v>
      </c>
      <c r="I52">
        <v>4.8898800039168397E-2</v>
      </c>
      <c r="J52">
        <f>2*(F52-C52)</f>
        <v>14448.26467634202</v>
      </c>
    </row>
    <row r="53" spans="1:10">
      <c r="A53" t="s">
        <v>705</v>
      </c>
      <c r="B53" t="s">
        <v>802</v>
      </c>
      <c r="C53">
        <v>-530200.55745524203</v>
      </c>
      <c r="D53">
        <v>0.28366963524846101</v>
      </c>
      <c r="E53">
        <v>2.0120012386330401E-2</v>
      </c>
      <c r="F53">
        <v>-522363.34122241201</v>
      </c>
      <c r="G53">
        <v>8.2383491934896205E-2</v>
      </c>
      <c r="H53">
        <v>0.31985396976376101</v>
      </c>
      <c r="I53">
        <v>4.5587592789847399E-2</v>
      </c>
      <c r="J53">
        <f>2*(F53-C53)</f>
        <v>15674.432465660037</v>
      </c>
    </row>
    <row r="54" spans="1:10">
      <c r="A54" t="s">
        <v>808</v>
      </c>
      <c r="B54" t="s">
        <v>802</v>
      </c>
      <c r="C54">
        <v>-533022.78598725097</v>
      </c>
      <c r="D54">
        <v>0.27697264502276198</v>
      </c>
      <c r="E54">
        <v>2.0194453818311E-2</v>
      </c>
      <c r="F54">
        <v>-525653.32892563601</v>
      </c>
      <c r="G54">
        <v>8.6915783896478901E-2</v>
      </c>
      <c r="H54">
        <v>0.30518656026929197</v>
      </c>
      <c r="I54">
        <v>4.53236578387105E-2</v>
      </c>
      <c r="J54">
        <f>2*(F54-C54)</f>
        <v>14738.914123229915</v>
      </c>
    </row>
    <row r="55" spans="1:10">
      <c r="A55" t="s">
        <v>695</v>
      </c>
      <c r="B55" t="s">
        <v>802</v>
      </c>
      <c r="C55">
        <v>-515580.07975657098</v>
      </c>
      <c r="D55">
        <v>0.320551143975772</v>
      </c>
      <c r="E55">
        <v>2.0053863274489499E-2</v>
      </c>
      <c r="F55">
        <v>-508102.09085811803</v>
      </c>
      <c r="G55">
        <v>0.12095878880291799</v>
      </c>
      <c r="H55">
        <v>0.32060153550842002</v>
      </c>
      <c r="I55">
        <v>4.8696022161110998E-2</v>
      </c>
      <c r="J55">
        <f>2*(F55-C55)</f>
        <v>14955.977796905907</v>
      </c>
    </row>
    <row r="56" spans="1:10">
      <c r="A56" t="s">
        <v>764</v>
      </c>
      <c r="B56" t="s">
        <v>802</v>
      </c>
      <c r="C56">
        <v>-536349.43672636198</v>
      </c>
      <c r="D56">
        <v>0.28043039867070901</v>
      </c>
      <c r="E56">
        <v>2.0192702487130901E-2</v>
      </c>
      <c r="F56">
        <v>-528507.35786162398</v>
      </c>
      <c r="G56">
        <v>8.2817345295204903E-2</v>
      </c>
      <c r="H56">
        <v>0.315907307178592</v>
      </c>
      <c r="I56">
        <v>4.5685569497653497E-2</v>
      </c>
      <c r="J56">
        <f>2*(F56-C56)</f>
        <v>15684.157729475992</v>
      </c>
    </row>
    <row r="57" spans="1:10">
      <c r="A57" t="s">
        <v>654</v>
      </c>
      <c r="B57" t="s">
        <v>25</v>
      </c>
      <c r="C57">
        <v>-1288.68111332013</v>
      </c>
      <c r="D57">
        <v>0.80240542785786695</v>
      </c>
      <c r="E57">
        <v>1.6065737313134099E-2</v>
      </c>
      <c r="F57">
        <v>-1197.4037591205799</v>
      </c>
      <c r="G57">
        <v>0.51218075358618698</v>
      </c>
      <c r="H57">
        <v>0.82943609911654703</v>
      </c>
      <c r="I57" s="43">
        <v>1E-10</v>
      </c>
      <c r="J57">
        <f>2*(F57-C57)</f>
        <v>182.55470839910004</v>
      </c>
    </row>
    <row r="58" spans="1:10">
      <c r="A58" t="s">
        <v>809</v>
      </c>
      <c r="B58" t="s">
        <v>802</v>
      </c>
      <c r="C58">
        <v>-539818.68321734702</v>
      </c>
      <c r="D58">
        <v>0.26887365897087701</v>
      </c>
      <c r="E58">
        <v>2.02493968431601E-2</v>
      </c>
      <c r="F58">
        <v>-531867.49895424303</v>
      </c>
      <c r="G58">
        <v>7.0464993899505404E-2</v>
      </c>
      <c r="H58">
        <v>0.31556522655712199</v>
      </c>
      <c r="I58">
        <v>4.4686443424299803E-2</v>
      </c>
      <c r="J58">
        <f>2*(F58-C58)</f>
        <v>15902.368526207982</v>
      </c>
    </row>
    <row r="64" spans="1:10">
      <c r="A64" s="29"/>
    </row>
    <row r="68" spans="1:1">
      <c r="A68" s="29"/>
    </row>
  </sheetData>
  <mergeCells count="4">
    <mergeCell ref="A3:B3"/>
    <mergeCell ref="C3:E3"/>
    <mergeCell ref="F3:I3"/>
    <mergeCell ref="A2:J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8"/>
  <sheetViews>
    <sheetView tabSelected="1" topLeftCell="A31" zoomScale="115" zoomScaleNormal="115" workbookViewId="0">
      <selection activeCell="K6" sqref="K6"/>
    </sheetView>
  </sheetViews>
  <sheetFormatPr defaultColWidth="11.5703125" defaultRowHeight="15"/>
  <cols>
    <col min="1" max="1" width="20" customWidth="1"/>
    <col min="2" max="2" width="11.140625" customWidth="1"/>
    <col min="3" max="3" width="12.7109375" customWidth="1"/>
    <col min="4" max="5" width="12" customWidth="1"/>
    <col min="6" max="6" width="12.7109375" customWidth="1"/>
    <col min="7" max="9" width="12" customWidth="1"/>
    <col min="10" max="10" width="14.28515625" customWidth="1"/>
  </cols>
  <sheetData>
    <row r="1" spans="1:10">
      <c r="A1" s="11" t="s">
        <v>810</v>
      </c>
      <c r="B1" s="34"/>
      <c r="C1" s="34"/>
      <c r="D1" s="34"/>
      <c r="E1" s="34"/>
      <c r="F1" s="34"/>
      <c r="G1" s="34"/>
      <c r="H1" s="34"/>
      <c r="I1" s="36"/>
      <c r="J1" s="33"/>
    </row>
    <row r="2" spans="1:10">
      <c r="A2" s="39" t="s">
        <v>811</v>
      </c>
      <c r="B2" s="40"/>
      <c r="C2" s="40"/>
      <c r="D2" s="40"/>
      <c r="E2" s="40"/>
      <c r="F2" s="40"/>
      <c r="G2" s="40"/>
      <c r="H2" s="40"/>
      <c r="I2" s="40"/>
      <c r="J2" s="42"/>
    </row>
    <row r="3" spans="1:10">
      <c r="A3" s="37"/>
      <c r="B3" s="37"/>
      <c r="C3" s="37" t="s">
        <v>788</v>
      </c>
      <c r="D3" s="37"/>
      <c r="E3" s="37"/>
      <c r="F3" s="37" t="s">
        <v>789</v>
      </c>
      <c r="G3" s="37"/>
      <c r="H3" s="37"/>
      <c r="I3" s="38"/>
      <c r="J3" s="33"/>
    </row>
    <row r="4" spans="1:10">
      <c r="A4" t="s">
        <v>790</v>
      </c>
      <c r="B4" t="s">
        <v>791</v>
      </c>
      <c r="C4" t="s">
        <v>792</v>
      </c>
      <c r="D4" t="s">
        <v>793</v>
      </c>
      <c r="E4" t="s">
        <v>794</v>
      </c>
      <c r="F4" t="s">
        <v>795</v>
      </c>
      <c r="G4" t="s">
        <v>796</v>
      </c>
      <c r="H4" t="s">
        <v>797</v>
      </c>
      <c r="I4" t="s">
        <v>798</v>
      </c>
      <c r="J4" t="s">
        <v>799</v>
      </c>
    </row>
    <row r="5" spans="1:10">
      <c r="A5" t="s">
        <v>153</v>
      </c>
      <c r="B5" t="s">
        <v>25</v>
      </c>
      <c r="C5">
        <v>-122.43194940567101</v>
      </c>
      <c r="D5">
        <v>0.439193408811968</v>
      </c>
      <c r="E5" s="43">
        <v>1E-10</v>
      </c>
      <c r="F5">
        <v>-118.563532696572</v>
      </c>
      <c r="G5">
        <v>0.41569230567354698</v>
      </c>
      <c r="H5">
        <v>10</v>
      </c>
      <c r="I5">
        <v>6.2745780439237703E-2</v>
      </c>
      <c r="J5" s="45">
        <f>2*(G5-C5)</f>
        <v>245.6952834226891</v>
      </c>
    </row>
    <row r="6" spans="1:10">
      <c r="A6" t="s">
        <v>713</v>
      </c>
      <c r="B6" t="s">
        <v>802</v>
      </c>
      <c r="C6">
        <v>-42339.774034423099</v>
      </c>
      <c r="D6">
        <v>0.22496882258961901</v>
      </c>
      <c r="E6">
        <v>4.8461029404447298E-2</v>
      </c>
      <c r="F6">
        <v>-41447.759355976901</v>
      </c>
      <c r="G6">
        <v>0.18934417731244699</v>
      </c>
      <c r="H6">
        <v>2.2787911903982798</v>
      </c>
      <c r="I6">
        <v>0.2</v>
      </c>
      <c r="J6" s="45">
        <f>2*(G6-C6)</f>
        <v>84679.926757200825</v>
      </c>
    </row>
    <row r="7" spans="1:10">
      <c r="A7" t="s">
        <v>723</v>
      </c>
      <c r="B7" t="s">
        <v>802</v>
      </c>
      <c r="C7">
        <v>-44452.456837767997</v>
      </c>
      <c r="D7">
        <v>0.107672643451422</v>
      </c>
      <c r="E7">
        <v>1.8608055777145301E-2</v>
      </c>
      <c r="F7">
        <v>-44126.7397065365</v>
      </c>
      <c r="G7">
        <v>8.2360565205111105E-2</v>
      </c>
      <c r="H7">
        <v>0.46588332593216403</v>
      </c>
      <c r="I7">
        <v>0.17281552634573299</v>
      </c>
      <c r="J7" s="45">
        <f>2*(G7-C7)</f>
        <v>88905.078396666402</v>
      </c>
    </row>
    <row r="8" spans="1:10">
      <c r="A8" t="s">
        <v>784</v>
      </c>
      <c r="B8" t="s">
        <v>802</v>
      </c>
      <c r="C8">
        <v>-44704.6935464485</v>
      </c>
      <c r="D8">
        <v>0.114495365683916</v>
      </c>
      <c r="E8">
        <v>1.7304749803105701E-2</v>
      </c>
      <c r="F8">
        <v>-44412.536901350701</v>
      </c>
      <c r="G8">
        <v>9.0829633802836193E-2</v>
      </c>
      <c r="H8">
        <v>0.42211899251350499</v>
      </c>
      <c r="I8">
        <v>0.14526741785587</v>
      </c>
      <c r="J8" s="45">
        <f>2*(G8-C8)</f>
        <v>89409.568752164603</v>
      </c>
    </row>
    <row r="9" spans="1:10">
      <c r="A9" t="s">
        <v>707</v>
      </c>
      <c r="B9" t="s">
        <v>802</v>
      </c>
      <c r="C9">
        <v>-44307.333133026703</v>
      </c>
      <c r="D9">
        <v>0.15647021330741101</v>
      </c>
      <c r="E9">
        <v>3.06648460940218E-2</v>
      </c>
      <c r="F9">
        <v>-43779.439861429899</v>
      </c>
      <c r="G9">
        <v>0.127277343748946</v>
      </c>
      <c r="H9">
        <v>0.81207704986672702</v>
      </c>
      <c r="I9">
        <v>0.2</v>
      </c>
      <c r="J9" s="45">
        <f>2*(G9-C9)</f>
        <v>88614.92082074091</v>
      </c>
    </row>
    <row r="10" spans="1:10">
      <c r="A10" t="s">
        <v>727</v>
      </c>
      <c r="B10" t="s">
        <v>802</v>
      </c>
      <c r="C10">
        <v>-44493.728498913202</v>
      </c>
      <c r="D10">
        <v>0.14326396639049199</v>
      </c>
      <c r="E10">
        <v>2.9622432462719998E-2</v>
      </c>
      <c r="F10">
        <v>-43986.960730972904</v>
      </c>
      <c r="G10">
        <v>0.113767264814731</v>
      </c>
      <c r="H10">
        <v>0.74889219931615603</v>
      </c>
      <c r="I10">
        <v>0.2</v>
      </c>
      <c r="J10" s="45">
        <f>2*(G10-C10)</f>
        <v>88987.684532356041</v>
      </c>
    </row>
    <row r="11" spans="1:10">
      <c r="A11" t="s">
        <v>703</v>
      </c>
      <c r="B11" t="s">
        <v>802</v>
      </c>
      <c r="C11">
        <v>-44190.278303854298</v>
      </c>
      <c r="D11">
        <v>0.18682264102781801</v>
      </c>
      <c r="E11">
        <v>4.0684512394261997E-2</v>
      </c>
      <c r="F11">
        <v>-43455.3701149033</v>
      </c>
      <c r="G11">
        <v>0.15433229883034</v>
      </c>
      <c r="H11">
        <v>1.27138550409389</v>
      </c>
      <c r="I11">
        <v>0.2</v>
      </c>
      <c r="J11" s="45">
        <f>2*(G11-C11)</f>
        <v>88380.865272306255</v>
      </c>
    </row>
    <row r="12" spans="1:10">
      <c r="A12" t="s">
        <v>736</v>
      </c>
      <c r="B12" t="s">
        <v>802</v>
      </c>
      <c r="C12">
        <v>-44177.212312108597</v>
      </c>
      <c r="D12">
        <v>0.120139941582668</v>
      </c>
      <c r="E12">
        <v>1.98633216959028E-2</v>
      </c>
      <c r="F12">
        <v>-43831.674287948001</v>
      </c>
      <c r="G12">
        <v>9.4674606880228607E-2</v>
      </c>
      <c r="H12">
        <v>0.50279277139859202</v>
      </c>
      <c r="I12">
        <v>0.17968832632301601</v>
      </c>
      <c r="J12" s="45">
        <f>2*(G12-C12)</f>
        <v>88354.613973430955</v>
      </c>
    </row>
    <row r="13" spans="1:10">
      <c r="A13" t="s">
        <v>738</v>
      </c>
      <c r="B13" t="s">
        <v>802</v>
      </c>
      <c r="C13">
        <v>-40785.697306759903</v>
      </c>
      <c r="D13">
        <v>0.27703568947881102</v>
      </c>
      <c r="E13">
        <v>6.9958236794142994E-2</v>
      </c>
      <c r="F13">
        <v>-39660.789514469201</v>
      </c>
      <c r="G13">
        <v>0.23705638790685599</v>
      </c>
      <c r="H13">
        <v>10</v>
      </c>
      <c r="I13">
        <v>0.2</v>
      </c>
      <c r="J13" s="45">
        <f>2*(G13-C13)</f>
        <v>81571.868726295623</v>
      </c>
    </row>
    <row r="14" spans="1:10">
      <c r="A14" t="s">
        <v>319</v>
      </c>
      <c r="B14" t="s">
        <v>25</v>
      </c>
      <c r="C14">
        <v>-126.246934246641</v>
      </c>
      <c r="D14">
        <v>0.41833997069847001</v>
      </c>
      <c r="E14" s="43">
        <v>1E-10</v>
      </c>
      <c r="F14">
        <v>-122.979055189367</v>
      </c>
      <c r="G14">
        <v>0.392158333851993</v>
      </c>
      <c r="H14">
        <v>10</v>
      </c>
      <c r="I14">
        <v>1.8469199017804801E-2</v>
      </c>
      <c r="J14" s="45">
        <f>2*(G14-C14)</f>
        <v>253.278185160986</v>
      </c>
    </row>
    <row r="15" spans="1:10">
      <c r="A15" t="s">
        <v>299</v>
      </c>
      <c r="B15" t="s">
        <v>25</v>
      </c>
      <c r="C15">
        <v>-104.935124772389</v>
      </c>
      <c r="D15">
        <v>0.32122687474588701</v>
      </c>
      <c r="E15" s="43">
        <v>1E-10</v>
      </c>
      <c r="F15">
        <v>-101.59684599747</v>
      </c>
      <c r="G15">
        <v>0.27015696656347998</v>
      </c>
      <c r="H15">
        <v>10</v>
      </c>
      <c r="I15">
        <v>3.593175724086E-2</v>
      </c>
      <c r="J15" s="45">
        <f>2*(G15-C15)</f>
        <v>210.41056347790496</v>
      </c>
    </row>
    <row r="16" spans="1:10">
      <c r="A16" t="s">
        <v>768</v>
      </c>
      <c r="B16" t="s">
        <v>802</v>
      </c>
      <c r="C16">
        <v>-44876.8612638591</v>
      </c>
      <c r="D16">
        <v>0.124139530029337</v>
      </c>
      <c r="E16">
        <v>1.93800648937794E-2</v>
      </c>
      <c r="F16">
        <v>-44546.7003900161</v>
      </c>
      <c r="G16">
        <v>9.92874760702918E-2</v>
      </c>
      <c r="H16">
        <v>0.47275544403633102</v>
      </c>
      <c r="I16">
        <v>0.15901469136802299</v>
      </c>
      <c r="J16" s="45">
        <f>2*(G16-C16)</f>
        <v>89753.921102670341</v>
      </c>
    </row>
    <row r="17" spans="1:10">
      <c r="A17" t="s">
        <v>350</v>
      </c>
      <c r="B17" t="s">
        <v>25</v>
      </c>
      <c r="C17">
        <v>-98.7941083421657</v>
      </c>
      <c r="D17">
        <v>0.41179062186846199</v>
      </c>
      <c r="E17" s="43">
        <v>1E-10</v>
      </c>
      <c r="F17">
        <v>-95.643069998867901</v>
      </c>
      <c r="G17">
        <v>0.38629406471507799</v>
      </c>
      <c r="H17">
        <v>10</v>
      </c>
      <c r="I17">
        <v>8.2664119868737396E-2</v>
      </c>
      <c r="J17" s="45">
        <f>2*(G17-C17)</f>
        <v>198.36080481376155</v>
      </c>
    </row>
    <row r="18" spans="1:10">
      <c r="A18" t="s">
        <v>746</v>
      </c>
      <c r="B18" t="s">
        <v>802</v>
      </c>
      <c r="C18">
        <v>-1889.7160614873701</v>
      </c>
      <c r="D18">
        <v>9.1917814601095701E-2</v>
      </c>
      <c r="E18">
        <v>3.3819910337923698E-2</v>
      </c>
      <c r="F18">
        <v>-1839.0072275223499</v>
      </c>
      <c r="G18">
        <v>5.0830905754389102E-2</v>
      </c>
      <c r="H18">
        <v>10</v>
      </c>
      <c r="I18">
        <v>0.2</v>
      </c>
      <c r="J18" s="45">
        <f>2*(G18-C18)</f>
        <v>3779.5337847862488</v>
      </c>
    </row>
    <row r="19" spans="1:10">
      <c r="A19" t="s">
        <v>391</v>
      </c>
      <c r="B19" t="s">
        <v>25</v>
      </c>
      <c r="C19">
        <v>-115.626906988467</v>
      </c>
      <c r="D19">
        <v>0.40158252558715601</v>
      </c>
      <c r="E19" s="43">
        <v>1E-10</v>
      </c>
      <c r="F19">
        <v>-112.27566505517299</v>
      </c>
      <c r="G19">
        <v>0.38553551370227301</v>
      </c>
      <c r="H19">
        <v>10</v>
      </c>
      <c r="I19">
        <v>8.0754781955563001E-2</v>
      </c>
      <c r="J19" s="45">
        <f>2*(G19-C19)</f>
        <v>232.02488500433856</v>
      </c>
    </row>
    <row r="20" spans="1:10">
      <c r="A20" t="s">
        <v>749</v>
      </c>
      <c r="B20" t="s">
        <v>802</v>
      </c>
      <c r="C20">
        <v>-33243.837559803302</v>
      </c>
      <c r="D20">
        <v>0.268729677313641</v>
      </c>
      <c r="E20">
        <v>4.7901492165201898E-2</v>
      </c>
      <c r="F20">
        <v>-32584.9381557823</v>
      </c>
      <c r="G20">
        <v>0.24329884336944799</v>
      </c>
      <c r="H20">
        <v>9.1832703727518599</v>
      </c>
      <c r="I20">
        <v>0.2</v>
      </c>
      <c r="J20" s="45">
        <f>2*(G20-C20)</f>
        <v>66488.161717293347</v>
      </c>
    </row>
    <row r="21" spans="1:10">
      <c r="A21" t="s">
        <v>803</v>
      </c>
      <c r="B21" t="s">
        <v>802</v>
      </c>
      <c r="C21">
        <v>-44490.288786081001</v>
      </c>
      <c r="D21">
        <v>8.8856792206816498E-2</v>
      </c>
      <c r="E21">
        <v>1.3451954707292E-2</v>
      </c>
      <c r="F21">
        <v>-44231.5388651006</v>
      </c>
      <c r="G21">
        <v>6.5894847499374604E-2</v>
      </c>
      <c r="H21">
        <v>0.36928850307684902</v>
      </c>
      <c r="I21">
        <v>0.131983200335347</v>
      </c>
      <c r="J21" s="45">
        <f>2*(G21-C21)</f>
        <v>88980.709361857007</v>
      </c>
    </row>
    <row r="22" spans="1:10">
      <c r="A22" t="s">
        <v>428</v>
      </c>
      <c r="B22" t="s">
        <v>802</v>
      </c>
      <c r="C22">
        <v>-73.300040556421905</v>
      </c>
      <c r="D22">
        <v>0.23911044073132201</v>
      </c>
      <c r="E22">
        <v>4.2060393890062102E-2</v>
      </c>
      <c r="F22">
        <v>-71.131852684860206</v>
      </c>
      <c r="G22">
        <v>0.201711340407699</v>
      </c>
      <c r="H22">
        <v>10</v>
      </c>
      <c r="I22">
        <v>8.3974603652054197E-2</v>
      </c>
      <c r="J22" s="45">
        <f t="shared" ref="J22:J24" si="0">2*(G22-C22)</f>
        <v>147.00350379365921</v>
      </c>
    </row>
    <row r="23" spans="1:10">
      <c r="A23" t="s">
        <v>762</v>
      </c>
      <c r="B23" t="s">
        <v>802</v>
      </c>
      <c r="C23">
        <v>-44623.635757513097</v>
      </c>
      <c r="D23">
        <v>9.9742396082703105E-2</v>
      </c>
      <c r="E23">
        <v>1.6323088901512899E-2</v>
      </c>
      <c r="F23">
        <v>-44327.815770062902</v>
      </c>
      <c r="G23">
        <v>7.5966753998278305E-2</v>
      </c>
      <c r="H23">
        <v>0.417956813658869</v>
      </c>
      <c r="I23">
        <v>0.15035960160776399</v>
      </c>
      <c r="J23" s="45">
        <f t="shared" si="0"/>
        <v>89247.423448534188</v>
      </c>
    </row>
    <row r="24" spans="1:10">
      <c r="A24" t="s">
        <v>804</v>
      </c>
      <c r="B24" t="s">
        <v>802</v>
      </c>
      <c r="C24">
        <v>-1793.73467412585</v>
      </c>
      <c r="D24">
        <v>0.13225222708239201</v>
      </c>
      <c r="E24">
        <v>6.1635967657724701E-2</v>
      </c>
      <c r="F24">
        <v>-1730.8191522330101</v>
      </c>
      <c r="G24">
        <v>9.3065811472423002E-2</v>
      </c>
      <c r="H24">
        <v>10</v>
      </c>
      <c r="I24">
        <v>0.2</v>
      </c>
      <c r="J24" s="45">
        <f t="shared" si="0"/>
        <v>3587.6554798746447</v>
      </c>
    </row>
    <row r="25" spans="1:10">
      <c r="A25" t="s">
        <v>715</v>
      </c>
      <c r="B25" t="s">
        <v>802</v>
      </c>
      <c r="C25">
        <v>-44432.940809653999</v>
      </c>
      <c r="D25">
        <v>0.16083176301237501</v>
      </c>
      <c r="E25">
        <v>3.4074175463412897E-2</v>
      </c>
      <c r="F25">
        <v>-43798.165483126402</v>
      </c>
      <c r="G25">
        <v>0.128775137618373</v>
      </c>
      <c r="H25">
        <v>0.97281844144296803</v>
      </c>
      <c r="I25">
        <v>0.2</v>
      </c>
      <c r="J25" s="45">
        <f>2*(G25-C25)</f>
        <v>88866.139169583228</v>
      </c>
    </row>
    <row r="26" spans="1:10">
      <c r="A26" t="s">
        <v>805</v>
      </c>
      <c r="B26" t="s">
        <v>802</v>
      </c>
      <c r="C26">
        <v>-44964.546402377098</v>
      </c>
      <c r="D26">
        <v>0.14560729395100999</v>
      </c>
      <c r="E26">
        <v>2.4649046650209502E-2</v>
      </c>
      <c r="F26">
        <v>-44544.241403557498</v>
      </c>
      <c r="G26">
        <v>0.118269226011969</v>
      </c>
      <c r="H26">
        <v>0.61262575155348398</v>
      </c>
      <c r="I26">
        <v>0.186703078029888</v>
      </c>
      <c r="J26" s="45">
        <f>2*(G26-C26)</f>
        <v>89929.32934320622</v>
      </c>
    </row>
    <row r="27" spans="1:10">
      <c r="A27" t="s">
        <v>741</v>
      </c>
      <c r="B27" t="s">
        <v>802</v>
      </c>
      <c r="C27">
        <v>-38205.541111087703</v>
      </c>
      <c r="D27">
        <v>0.25642671050163401</v>
      </c>
      <c r="E27">
        <v>5.1225885428836097E-2</v>
      </c>
      <c r="F27">
        <v>-37377.335483624702</v>
      </c>
      <c r="G27">
        <v>0.22558573386311201</v>
      </c>
      <c r="H27">
        <v>3.4369973607372399</v>
      </c>
      <c r="I27">
        <v>0.2</v>
      </c>
      <c r="J27" s="45">
        <f>2*(G27-C27)</f>
        <v>76411.533393643127</v>
      </c>
    </row>
    <row r="28" spans="1:10">
      <c r="A28" t="s">
        <v>806</v>
      </c>
      <c r="B28" t="s">
        <v>802</v>
      </c>
      <c r="C28">
        <v>-44795.986140444802</v>
      </c>
      <c r="D28">
        <v>0.11614218755552699</v>
      </c>
      <c r="E28">
        <v>1.9925929348333999E-2</v>
      </c>
      <c r="F28">
        <v>-44444.826612371398</v>
      </c>
      <c r="G28">
        <v>9.0182860209067198E-2</v>
      </c>
      <c r="H28">
        <v>0.49961151924017799</v>
      </c>
      <c r="I28">
        <v>0.17068307799590199</v>
      </c>
      <c r="J28" s="45">
        <f>2*(G28-C28)</f>
        <v>89592.152646610019</v>
      </c>
    </row>
    <row r="29" spans="1:10">
      <c r="A29" t="s">
        <v>760</v>
      </c>
      <c r="B29" t="s">
        <v>802</v>
      </c>
      <c r="C29">
        <v>-44682.290623842498</v>
      </c>
      <c r="D29">
        <v>0.113390865581228</v>
      </c>
      <c r="E29">
        <v>1.77520232669597E-2</v>
      </c>
      <c r="F29">
        <v>-44384.201440151599</v>
      </c>
      <c r="G29">
        <v>8.9456704076782495E-2</v>
      </c>
      <c r="H29">
        <v>0.42622427908884097</v>
      </c>
      <c r="I29">
        <v>0.14732845966327501</v>
      </c>
      <c r="J29" s="45">
        <f>2*(G29-C29)</f>
        <v>89364.760161093145</v>
      </c>
    </row>
    <row r="30" spans="1:10">
      <c r="A30" t="s">
        <v>471</v>
      </c>
      <c r="B30" t="s">
        <v>802</v>
      </c>
      <c r="C30">
        <v>-84.091280290601901</v>
      </c>
      <c r="D30">
        <v>0.19706173450924899</v>
      </c>
      <c r="E30" s="43">
        <v>1E-10</v>
      </c>
      <c r="F30">
        <v>-81.396480436157105</v>
      </c>
      <c r="G30">
        <v>0.110354474813641</v>
      </c>
      <c r="H30">
        <v>10</v>
      </c>
      <c r="I30">
        <v>3.4469592914702502E-2</v>
      </c>
      <c r="J30" s="45">
        <f>2*(G30-C30)</f>
        <v>168.4032695308311</v>
      </c>
    </row>
    <row r="31" spans="1:10">
      <c r="A31" t="s">
        <v>807</v>
      </c>
      <c r="B31" t="s">
        <v>802</v>
      </c>
      <c r="C31">
        <v>-44572.443362174497</v>
      </c>
      <c r="D31">
        <v>0.12188991246745801</v>
      </c>
      <c r="E31">
        <v>2.15687261974053E-2</v>
      </c>
      <c r="F31">
        <v>-44198.8604699547</v>
      </c>
      <c r="G31">
        <v>9.5454045969214404E-2</v>
      </c>
      <c r="H31">
        <v>0.536110790385675</v>
      </c>
      <c r="I31">
        <v>0.18345473915316601</v>
      </c>
      <c r="J31" s="45">
        <f>2*(G31-C31)</f>
        <v>89145.077632440938</v>
      </c>
    </row>
    <row r="32" spans="1:10">
      <c r="A32" t="s">
        <v>717</v>
      </c>
      <c r="B32" t="s">
        <v>802</v>
      </c>
      <c r="C32">
        <v>-44958.950060378498</v>
      </c>
      <c r="D32">
        <v>0.10431895351060499</v>
      </c>
      <c r="E32">
        <v>1.7692296119049499E-2</v>
      </c>
      <c r="F32">
        <v>-44645.856356234697</v>
      </c>
      <c r="G32">
        <v>8.0122063447182895E-2</v>
      </c>
      <c r="H32">
        <v>0.43473688383881098</v>
      </c>
      <c r="I32">
        <v>0.15688050848656501</v>
      </c>
      <c r="J32" s="45">
        <f>2*(G32-C32)</f>
        <v>89918.060364883888</v>
      </c>
    </row>
    <row r="33" spans="1:10">
      <c r="A33" t="s">
        <v>719</v>
      </c>
      <c r="B33" t="s">
        <v>802</v>
      </c>
      <c r="C33">
        <v>-44887.57250699</v>
      </c>
      <c r="D33">
        <v>0.10242635472370699</v>
      </c>
      <c r="E33">
        <v>1.8033709777099199E-2</v>
      </c>
      <c r="F33">
        <v>-44570.353656378997</v>
      </c>
      <c r="G33">
        <v>7.7538254125815095E-2</v>
      </c>
      <c r="H33">
        <v>0.440564705850438</v>
      </c>
      <c r="I33">
        <v>0.150855858023206</v>
      </c>
      <c r="J33" s="45">
        <f>2*(G33-C33)</f>
        <v>89775.30009048825</v>
      </c>
    </row>
    <row r="34" spans="1:10">
      <c r="A34" t="s">
        <v>766</v>
      </c>
      <c r="B34" t="s">
        <v>802</v>
      </c>
      <c r="C34">
        <v>-44887.5453929746</v>
      </c>
      <c r="D34">
        <v>0.11757632895043101</v>
      </c>
      <c r="E34">
        <v>1.8798781448143301E-2</v>
      </c>
      <c r="F34">
        <v>-44571.654962423003</v>
      </c>
      <c r="G34">
        <v>9.3343331991013703E-2</v>
      </c>
      <c r="H34">
        <v>0.454115863453323</v>
      </c>
      <c r="I34">
        <v>0.152565759556132</v>
      </c>
      <c r="J34" s="45">
        <f>2*(G34-C34)</f>
        <v>89775.277472613176</v>
      </c>
    </row>
    <row r="35" spans="1:10">
      <c r="A35" t="s">
        <v>711</v>
      </c>
      <c r="B35" t="s">
        <v>802</v>
      </c>
      <c r="C35">
        <v>-44167.654713436197</v>
      </c>
      <c r="D35">
        <v>0.146674735143065</v>
      </c>
      <c r="E35">
        <v>2.8845074971488301E-2</v>
      </c>
      <c r="F35">
        <v>-43675.832409827199</v>
      </c>
      <c r="G35">
        <v>0.11765843164897</v>
      </c>
      <c r="H35">
        <v>0.74527170794222497</v>
      </c>
      <c r="I35">
        <v>0.2</v>
      </c>
      <c r="J35" s="45">
        <f>2*(G35-C35)</f>
        <v>88335.544743735692</v>
      </c>
    </row>
    <row r="36" spans="1:10">
      <c r="A36" t="s">
        <v>693</v>
      </c>
      <c r="B36" t="s">
        <v>802</v>
      </c>
      <c r="C36">
        <v>-44661.830955796897</v>
      </c>
      <c r="D36">
        <v>0.132303579854712</v>
      </c>
      <c r="E36">
        <v>2.5032060025717201E-2</v>
      </c>
      <c r="F36">
        <v>-44229.330856886103</v>
      </c>
      <c r="G36">
        <v>0.104138299028253</v>
      </c>
      <c r="H36">
        <v>0.62709909296852195</v>
      </c>
      <c r="I36">
        <v>0.2</v>
      </c>
      <c r="J36" s="45">
        <f>2*(G36-C36)</f>
        <v>89323.870188191853</v>
      </c>
    </row>
    <row r="37" spans="1:10">
      <c r="A37" t="s">
        <v>725</v>
      </c>
      <c r="B37" t="s">
        <v>802</v>
      </c>
      <c r="C37">
        <v>-44317.449382682498</v>
      </c>
      <c r="D37">
        <v>0.11368357225463099</v>
      </c>
      <c r="E37">
        <v>2.08236547970099E-2</v>
      </c>
      <c r="F37">
        <v>-43958.338037485199</v>
      </c>
      <c r="G37">
        <v>8.7401406738470799E-2</v>
      </c>
      <c r="H37">
        <v>0.51374370837120698</v>
      </c>
      <c r="I37">
        <v>0.176448993487682</v>
      </c>
      <c r="J37" s="45">
        <f>2*(G37-C37)</f>
        <v>88635.073568178472</v>
      </c>
    </row>
    <row r="38" spans="1:10">
      <c r="A38" t="s">
        <v>770</v>
      </c>
      <c r="B38" t="s">
        <v>802</v>
      </c>
      <c r="C38">
        <v>-44754.744262863198</v>
      </c>
      <c r="D38">
        <v>0.115656558376084</v>
      </c>
      <c r="E38">
        <v>1.7647317753914801E-2</v>
      </c>
      <c r="F38">
        <v>-44442.979099880104</v>
      </c>
      <c r="G38">
        <v>9.1239428833869901E-2</v>
      </c>
      <c r="H38">
        <v>0.438603819726957</v>
      </c>
      <c r="I38">
        <v>0.14593193852415601</v>
      </c>
      <c r="J38" s="45">
        <f>2*(G38-C38)</f>
        <v>89509.671004584059</v>
      </c>
    </row>
    <row r="39" spans="1:10">
      <c r="A39" t="s">
        <v>731</v>
      </c>
      <c r="B39" t="s">
        <v>802</v>
      </c>
      <c r="C39">
        <v>-44434.449385502798</v>
      </c>
      <c r="D39">
        <v>0.11069430942332099</v>
      </c>
      <c r="E39">
        <v>1.8392933481682999E-2</v>
      </c>
      <c r="F39">
        <v>-44109.972706044799</v>
      </c>
      <c r="G39">
        <v>8.5703750238953699E-2</v>
      </c>
      <c r="H39">
        <v>0.46123805657738398</v>
      </c>
      <c r="I39">
        <v>0.16138317259701099</v>
      </c>
      <c r="J39" s="45">
        <f>2*(G39-C39)</f>
        <v>88869.070178506066</v>
      </c>
    </row>
    <row r="40" spans="1:10">
      <c r="A40" t="s">
        <v>709</v>
      </c>
      <c r="B40" t="s">
        <v>802</v>
      </c>
      <c r="C40">
        <v>-32632.7636038782</v>
      </c>
      <c r="D40">
        <v>0.35667374639968003</v>
      </c>
      <c r="E40">
        <v>6.4366438228705705E-2</v>
      </c>
      <c r="F40">
        <v>-31713.9678041365</v>
      </c>
      <c r="G40">
        <v>0.32470000555932499</v>
      </c>
      <c r="H40">
        <v>10</v>
      </c>
      <c r="I40">
        <v>0.2</v>
      </c>
      <c r="J40" s="45">
        <f>2*(G40-C40)</f>
        <v>65266.17660776752</v>
      </c>
    </row>
    <row r="41" spans="1:10">
      <c r="A41" t="s">
        <v>721</v>
      </c>
      <c r="B41" t="s">
        <v>802</v>
      </c>
      <c r="C41">
        <v>-44508.8404162773</v>
      </c>
      <c r="D41">
        <v>0.124341967708125</v>
      </c>
      <c r="E41">
        <v>2.3736650569530102E-2</v>
      </c>
      <c r="F41">
        <v>-44097.9441526878</v>
      </c>
      <c r="G41">
        <v>9.7243494999926905E-2</v>
      </c>
      <c r="H41">
        <v>0.59575443395805505</v>
      </c>
      <c r="I41">
        <v>0.194685828961324</v>
      </c>
      <c r="J41" s="45">
        <f>2*(G41-C41)</f>
        <v>89017.875319544604</v>
      </c>
    </row>
    <row r="42" spans="1:10">
      <c r="A42" t="s">
        <v>699</v>
      </c>
      <c r="B42" t="s">
        <v>802</v>
      </c>
      <c r="C42">
        <v>-43608.310335161899</v>
      </c>
      <c r="D42">
        <v>0.103788647802497</v>
      </c>
      <c r="E42">
        <v>2.07639932481858E-2</v>
      </c>
      <c r="F42">
        <v>-43283.564566280198</v>
      </c>
      <c r="G42">
        <v>7.8633183366874596E-2</v>
      </c>
      <c r="H42">
        <v>0.47811052246610503</v>
      </c>
      <c r="I42">
        <v>0.17839599204408699</v>
      </c>
      <c r="J42" s="45">
        <f>2*(G42-C42)</f>
        <v>87216.777936690531</v>
      </c>
    </row>
    <row r="43" spans="1:10">
      <c r="A43" t="s">
        <v>758</v>
      </c>
      <c r="B43" t="s">
        <v>802</v>
      </c>
      <c r="C43">
        <v>-43819.5743653768</v>
      </c>
      <c r="D43">
        <v>0.120301192744093</v>
      </c>
      <c r="E43">
        <v>2.4700167497378401E-2</v>
      </c>
      <c r="F43">
        <v>-43484.798574549597</v>
      </c>
      <c r="G43">
        <v>9.4558439941694994E-2</v>
      </c>
      <c r="H43">
        <v>0.49615065152697702</v>
      </c>
      <c r="I43">
        <v>0.17622255202453699</v>
      </c>
      <c r="J43" s="45">
        <f>2*(G43-C43)</f>
        <v>87639.337847633491</v>
      </c>
    </row>
    <row r="44" spans="1:10">
      <c r="A44" t="s">
        <v>754</v>
      </c>
      <c r="B44" t="s">
        <v>802</v>
      </c>
      <c r="C44">
        <v>-41226.662023095101</v>
      </c>
      <c r="D44">
        <v>0.14657578999360299</v>
      </c>
      <c r="E44">
        <v>2.6591469497214599E-2</v>
      </c>
      <c r="F44">
        <v>-40861.848601512102</v>
      </c>
      <c r="G44">
        <v>0.120477031011037</v>
      </c>
      <c r="H44">
        <v>0.63026137381410796</v>
      </c>
      <c r="I44">
        <v>0.2</v>
      </c>
      <c r="J44" s="45">
        <f>2*(G44-C44)</f>
        <v>82453.565000252231</v>
      </c>
    </row>
    <row r="45" spans="1:10">
      <c r="A45" t="s">
        <v>691</v>
      </c>
      <c r="B45" t="s">
        <v>802</v>
      </c>
      <c r="C45">
        <v>-44015.240809845098</v>
      </c>
      <c r="D45">
        <v>0.157460397015211</v>
      </c>
      <c r="E45">
        <v>3.3028056859704898E-2</v>
      </c>
      <c r="F45">
        <v>-43406.997274401401</v>
      </c>
      <c r="G45">
        <v>0.12527121922991899</v>
      </c>
      <c r="H45">
        <v>0.93294221403127697</v>
      </c>
      <c r="I45">
        <v>0.2</v>
      </c>
      <c r="J45" s="45">
        <f>2*(G45-C45)</f>
        <v>88030.732162128654</v>
      </c>
    </row>
    <row r="46" spans="1:10">
      <c r="A46" t="s">
        <v>751</v>
      </c>
      <c r="B46" t="s">
        <v>802</v>
      </c>
      <c r="C46">
        <v>-44848.397047743201</v>
      </c>
      <c r="D46">
        <v>0.118841696953255</v>
      </c>
      <c r="E46">
        <v>2.37610318105471E-2</v>
      </c>
      <c r="F46">
        <v>-44401.864303935698</v>
      </c>
      <c r="G46">
        <v>8.9553964600197503E-2</v>
      </c>
      <c r="H46">
        <v>0.61470345817837602</v>
      </c>
      <c r="I46">
        <v>0.19240024202327799</v>
      </c>
      <c r="J46" s="45">
        <f>2*(G46-C46)</f>
        <v>89696.973203415604</v>
      </c>
    </row>
    <row r="47" spans="1:10">
      <c r="A47" t="s">
        <v>697</v>
      </c>
      <c r="B47" t="s">
        <v>802</v>
      </c>
      <c r="C47">
        <v>-44218.850891358103</v>
      </c>
      <c r="D47">
        <v>0.14137837459087099</v>
      </c>
      <c r="E47">
        <v>2.97640838794659E-2</v>
      </c>
      <c r="F47">
        <v>-43659.406226275598</v>
      </c>
      <c r="G47">
        <v>0.10995138794845399</v>
      </c>
      <c r="H47">
        <v>0.81677126805084299</v>
      </c>
      <c r="I47">
        <v>0.2</v>
      </c>
      <c r="J47" s="45">
        <f>2*(G47-C47)</f>
        <v>88437.921685492096</v>
      </c>
    </row>
    <row r="48" spans="1:10">
      <c r="A48" t="s">
        <v>756</v>
      </c>
      <c r="B48" t="s">
        <v>802</v>
      </c>
      <c r="C48">
        <v>-44615.968498658403</v>
      </c>
      <c r="D48">
        <v>0.123275743478779</v>
      </c>
      <c r="E48">
        <v>2.1413152166731699E-2</v>
      </c>
      <c r="F48">
        <v>-44238.244231923498</v>
      </c>
      <c r="G48">
        <v>9.6755320402588704E-2</v>
      </c>
      <c r="H48">
        <v>0.53864016767295997</v>
      </c>
      <c r="I48">
        <v>0.18182523262238201</v>
      </c>
      <c r="J48" s="45">
        <f>2*(G48-C48)</f>
        <v>89232.130507957612</v>
      </c>
    </row>
    <row r="49" spans="1:10">
      <c r="A49" t="s">
        <v>556</v>
      </c>
      <c r="B49" t="s">
        <v>25</v>
      </c>
      <c r="C49">
        <v>-104.199571766937</v>
      </c>
      <c r="D49">
        <v>0.45315606683481902</v>
      </c>
      <c r="E49" s="43">
        <v>1E-10</v>
      </c>
      <c r="F49">
        <v>-99.583476320907593</v>
      </c>
      <c r="G49">
        <v>0.40024786921189698</v>
      </c>
      <c r="H49">
        <v>10</v>
      </c>
      <c r="I49">
        <v>1.4864511853257E-2</v>
      </c>
      <c r="J49" s="45">
        <f t="shared" ref="J49:J53" si="1">2*(G49-C49)</f>
        <v>209.19963927229779</v>
      </c>
    </row>
    <row r="50" spans="1:10">
      <c r="A50" t="s">
        <v>573</v>
      </c>
      <c r="B50" t="s">
        <v>25</v>
      </c>
      <c r="C50">
        <v>-95.230964803061894</v>
      </c>
      <c r="D50">
        <v>0.45160266588685799</v>
      </c>
      <c r="E50">
        <v>4.1355404541576699E-2</v>
      </c>
      <c r="F50">
        <v>-92.529140974504898</v>
      </c>
      <c r="G50">
        <v>0.42699082821330903</v>
      </c>
      <c r="H50">
        <v>10</v>
      </c>
      <c r="I50">
        <v>8.0625555736813098E-2</v>
      </c>
      <c r="J50" s="45">
        <f t="shared" si="1"/>
        <v>191.3159112625504</v>
      </c>
    </row>
    <row r="51" spans="1:10">
      <c r="A51" t="s">
        <v>701</v>
      </c>
      <c r="B51" t="s">
        <v>802</v>
      </c>
      <c r="C51">
        <v>-43458.523259174202</v>
      </c>
      <c r="D51">
        <v>0.16745322267571799</v>
      </c>
      <c r="E51">
        <v>3.4492224568643003E-2</v>
      </c>
      <c r="F51">
        <v>-42883.406473031602</v>
      </c>
      <c r="G51">
        <v>0.13732177501343201</v>
      </c>
      <c r="H51">
        <v>0.91719417073309395</v>
      </c>
      <c r="I51">
        <v>0.2</v>
      </c>
      <c r="J51" s="45">
        <f t="shared" si="1"/>
        <v>86917.321161898435</v>
      </c>
    </row>
    <row r="52" spans="1:10">
      <c r="A52" t="s">
        <v>705</v>
      </c>
      <c r="B52" t="s">
        <v>802</v>
      </c>
      <c r="C52">
        <v>-44515.527724866697</v>
      </c>
      <c r="D52">
        <v>0.121494542550908</v>
      </c>
      <c r="E52">
        <v>2.1627231564674401E-2</v>
      </c>
      <c r="F52">
        <v>-44128.148214807603</v>
      </c>
      <c r="G52">
        <v>9.4625590779890995E-2</v>
      </c>
      <c r="H52">
        <v>0.55844545327732797</v>
      </c>
      <c r="I52">
        <v>0.17898916662126901</v>
      </c>
      <c r="J52" s="45">
        <f t="shared" si="1"/>
        <v>89031.244700914947</v>
      </c>
    </row>
    <row r="53" spans="1:10">
      <c r="A53" t="s">
        <v>808</v>
      </c>
      <c r="B53" t="s">
        <v>802</v>
      </c>
      <c r="C53">
        <v>-44605.4182828747</v>
      </c>
      <c r="D53">
        <v>0.128081647751522</v>
      </c>
      <c r="E53">
        <v>1.9494545649191501E-2</v>
      </c>
      <c r="F53">
        <v>-44282.605836641298</v>
      </c>
      <c r="G53">
        <v>0.10388372782265</v>
      </c>
      <c r="H53">
        <v>0.47245110881678298</v>
      </c>
      <c r="I53">
        <v>0.16501112118294201</v>
      </c>
      <c r="J53" s="45">
        <f t="shared" si="1"/>
        <v>89211.044333205049</v>
      </c>
    </row>
    <row r="54" spans="1:10">
      <c r="A54" t="s">
        <v>695</v>
      </c>
      <c r="B54" t="s">
        <v>802</v>
      </c>
      <c r="C54">
        <v>-44362.3758324542</v>
      </c>
      <c r="D54">
        <v>0.166707052541608</v>
      </c>
      <c r="E54">
        <v>3.63067734894938E-2</v>
      </c>
      <c r="F54">
        <v>-43756.152840037597</v>
      </c>
      <c r="G54">
        <v>0.13620127911038399</v>
      </c>
      <c r="H54">
        <v>0.95149456636349194</v>
      </c>
      <c r="I54">
        <v>0.2</v>
      </c>
      <c r="J54" s="45">
        <f>2*(G54-C54)</f>
        <v>88725.024067466613</v>
      </c>
    </row>
    <row r="55" spans="1:10">
      <c r="A55" t="s">
        <v>764</v>
      </c>
      <c r="B55" t="s">
        <v>802</v>
      </c>
      <c r="C55">
        <v>-44826.995506067098</v>
      </c>
      <c r="D55">
        <v>0.121074499385524</v>
      </c>
      <c r="E55">
        <v>2.0570371453230901E-2</v>
      </c>
      <c r="F55">
        <v>-44472.040165634702</v>
      </c>
      <c r="G55">
        <v>9.52167368753669E-2</v>
      </c>
      <c r="H55">
        <v>0.50727572235415697</v>
      </c>
      <c r="I55">
        <v>0.16556849289742501</v>
      </c>
      <c r="J55" s="45">
        <f>2*(G55-C55)</f>
        <v>89654.181445607945</v>
      </c>
    </row>
    <row r="56" spans="1:10">
      <c r="A56" t="s">
        <v>654</v>
      </c>
      <c r="B56" t="s">
        <v>25</v>
      </c>
      <c r="C56">
        <v>-127.45243649591799</v>
      </c>
      <c r="D56">
        <v>0.47181880869985698</v>
      </c>
      <c r="E56" s="43">
        <v>1E-10</v>
      </c>
      <c r="F56">
        <v>-123.404808042089</v>
      </c>
      <c r="G56">
        <v>0.43607359990394001</v>
      </c>
      <c r="H56">
        <v>10</v>
      </c>
      <c r="I56">
        <v>4.1231027394943699E-2</v>
      </c>
      <c r="J56" s="45">
        <f>2*(G56-C56)</f>
        <v>255.77702019164386</v>
      </c>
    </row>
    <row r="57" spans="1:10">
      <c r="A57" t="s">
        <v>809</v>
      </c>
      <c r="B57" t="s">
        <v>802</v>
      </c>
      <c r="C57">
        <v>-44660.757729920799</v>
      </c>
      <c r="D57">
        <v>0.10317368400396799</v>
      </c>
      <c r="E57">
        <v>1.6904141809619602E-2</v>
      </c>
      <c r="F57">
        <v>-44352.686965272202</v>
      </c>
      <c r="G57">
        <v>7.8263772405948506E-2</v>
      </c>
      <c r="H57">
        <v>0.430317534992255</v>
      </c>
      <c r="I57">
        <v>0.15018789306445299</v>
      </c>
      <c r="J57" s="45">
        <f>2*(G57-C57)</f>
        <v>89321.671987386406</v>
      </c>
    </row>
    <row r="64" spans="1:10">
      <c r="A64" s="29"/>
    </row>
    <row r="68" spans="1:1">
      <c r="A68" s="29"/>
    </row>
  </sheetData>
  <mergeCells count="4">
    <mergeCell ref="A3:B3"/>
    <mergeCell ref="C3:E3"/>
    <mergeCell ref="F3:I3"/>
    <mergeCell ref="A2:J2"/>
  </mergeCell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="150" zoomScaleNormal="150" workbookViewId="0"/>
  </sheetViews>
  <sheetFormatPr defaultColWidth="11.5703125" defaultRowHeight="15"/>
  <sheetData>
    <row r="1" spans="1:5" ht="18.95" customHeight="1">
      <c r="A1" s="30" t="s">
        <v>812</v>
      </c>
    </row>
    <row r="2" spans="1:5" ht="30">
      <c r="A2" s="31" t="s">
        <v>97</v>
      </c>
      <c r="B2" s="31" t="s">
        <v>813</v>
      </c>
      <c r="C2" s="31" t="s">
        <v>814</v>
      </c>
      <c r="D2" s="31" t="s">
        <v>815</v>
      </c>
      <c r="E2" s="31" t="s">
        <v>816</v>
      </c>
    </row>
    <row r="3" spans="1:5" ht="60">
      <c r="A3" s="31" t="s">
        <v>817</v>
      </c>
      <c r="B3" s="31" t="s">
        <v>818</v>
      </c>
      <c r="C3" s="31" t="s">
        <v>819</v>
      </c>
      <c r="D3" s="31" t="s">
        <v>820</v>
      </c>
      <c r="E3" s="31" t="s">
        <v>821</v>
      </c>
    </row>
    <row r="4" spans="1:5" ht="120">
      <c r="A4" s="31" t="s">
        <v>822</v>
      </c>
      <c r="B4" s="31" t="s">
        <v>823</v>
      </c>
      <c r="C4" s="31" t="s">
        <v>824</v>
      </c>
      <c r="D4" s="31" t="s">
        <v>825</v>
      </c>
      <c r="E4" s="31" t="s">
        <v>826</v>
      </c>
    </row>
    <row r="5" spans="1:5" ht="150">
      <c r="A5" s="31" t="s">
        <v>827</v>
      </c>
      <c r="B5" s="31" t="s">
        <v>828</v>
      </c>
      <c r="C5" s="31" t="s">
        <v>824</v>
      </c>
      <c r="D5" s="31" t="s">
        <v>829</v>
      </c>
      <c r="E5" s="31" t="s">
        <v>830</v>
      </c>
    </row>
    <row r="6" spans="1:5" ht="180">
      <c r="A6" s="31" t="s">
        <v>831</v>
      </c>
      <c r="B6" s="31" t="s">
        <v>832</v>
      </c>
      <c r="C6" s="31" t="s">
        <v>833</v>
      </c>
      <c r="D6" s="31" t="s">
        <v>834</v>
      </c>
      <c r="E6" s="31" t="s">
        <v>835</v>
      </c>
    </row>
    <row r="7" spans="1:5" ht="180">
      <c r="A7" s="31" t="s">
        <v>836</v>
      </c>
      <c r="B7" s="31" t="s">
        <v>837</v>
      </c>
      <c r="C7" s="31" t="s">
        <v>833</v>
      </c>
      <c r="D7" s="31" t="s">
        <v>838</v>
      </c>
      <c r="E7" s="31" t="s">
        <v>839</v>
      </c>
    </row>
    <row r="8" spans="1:5">
      <c r="A8" t="s">
        <v>840</v>
      </c>
    </row>
    <row r="10" spans="1:5">
      <c r="A10" t="s">
        <v>841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zoomScale="150" zoomScaleNormal="150" workbookViewId="0">
      <selection activeCell="A2" sqref="A2"/>
    </sheetView>
  </sheetViews>
  <sheetFormatPr defaultColWidth="11.5703125" defaultRowHeight="15"/>
  <sheetData>
    <row r="1" spans="1:6">
      <c r="A1" s="30" t="s">
        <v>842</v>
      </c>
    </row>
    <row r="2" spans="1:6">
      <c r="A2" s="30"/>
    </row>
    <row r="3" spans="1:6" ht="45">
      <c r="A3" s="31" t="s">
        <v>843</v>
      </c>
      <c r="B3" s="31">
        <v>1</v>
      </c>
      <c r="C3" s="31">
        <v>2</v>
      </c>
      <c r="D3" s="31">
        <v>3</v>
      </c>
      <c r="E3" s="31">
        <v>4</v>
      </c>
      <c r="F3" s="31">
        <v>5</v>
      </c>
    </row>
    <row r="4" spans="1:6">
      <c r="A4" s="31">
        <v>0</v>
      </c>
      <c r="B4" s="32">
        <v>3.2052609999999999E-5</v>
      </c>
      <c r="C4" s="32">
        <v>5.0409710000000003E-19</v>
      </c>
      <c r="D4" s="32">
        <v>1.928952E-14</v>
      </c>
      <c r="E4" s="32">
        <v>4.1153889999999997E-18</v>
      </c>
      <c r="F4" s="32">
        <v>4.3081009999999997E-18</v>
      </c>
    </row>
    <row r="5" spans="1:6">
      <c r="A5" s="31">
        <v>1</v>
      </c>
      <c r="C5" s="32">
        <v>1.6047899999999999E-10</v>
      </c>
      <c r="D5" s="32">
        <v>5.126407E-14</v>
      </c>
      <c r="E5" s="32">
        <v>1.02344E-10</v>
      </c>
      <c r="F5" s="32">
        <v>9.8133760000000005E-17</v>
      </c>
    </row>
    <row r="6" spans="1:6">
      <c r="A6" s="31">
        <v>2</v>
      </c>
      <c r="D6" s="32">
        <v>4.3664100000000003E-3</v>
      </c>
      <c r="E6" s="32">
        <v>2.5345599999999999E-2</v>
      </c>
      <c r="F6" s="32">
        <v>5.0613050000000002E-5</v>
      </c>
    </row>
    <row r="7" spans="1:6">
      <c r="A7" s="31">
        <v>3</v>
      </c>
      <c r="E7" s="32">
        <v>0.19830790000000001</v>
      </c>
      <c r="F7" s="32">
        <v>6.9387800000000003E-3</v>
      </c>
    </row>
    <row r="8" spans="1:6">
      <c r="A8" s="31">
        <v>4</v>
      </c>
      <c r="F8" s="32">
        <v>2.436172E-2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zoomScale="150" zoomScaleNormal="150" workbookViewId="0">
      <selection activeCell="A2" sqref="A2"/>
    </sheetView>
  </sheetViews>
  <sheetFormatPr defaultColWidth="11.5703125" defaultRowHeight="15"/>
  <sheetData>
    <row r="1" spans="1:4">
      <c r="A1" s="30" t="s">
        <v>844</v>
      </c>
    </row>
    <row r="2" spans="1:4" ht="30">
      <c r="A2" s="31" t="s">
        <v>845</v>
      </c>
      <c r="B2" s="31" t="s">
        <v>846</v>
      </c>
      <c r="C2" s="31" t="s">
        <v>847</v>
      </c>
      <c r="D2" t="s">
        <v>848</v>
      </c>
    </row>
    <row r="3" spans="1:4">
      <c r="A3" s="31" t="s">
        <v>849</v>
      </c>
      <c r="B3" s="31" t="s">
        <v>850</v>
      </c>
      <c r="C3" s="31" t="s">
        <v>851</v>
      </c>
      <c r="D3" t="s">
        <v>852</v>
      </c>
    </row>
    <row r="4" spans="1:4">
      <c r="A4" s="31" t="s">
        <v>853</v>
      </c>
      <c r="B4" s="31" t="s">
        <v>854</v>
      </c>
      <c r="C4" s="31" t="s">
        <v>855</v>
      </c>
      <c r="D4" t="s">
        <v>856</v>
      </c>
    </row>
    <row r="5" spans="1:4">
      <c r="A5" s="31" t="s">
        <v>857</v>
      </c>
      <c r="B5" s="31" t="s">
        <v>858</v>
      </c>
      <c r="C5" s="31" t="s">
        <v>859</v>
      </c>
      <c r="D5" t="s">
        <v>860</v>
      </c>
    </row>
    <row r="6" spans="1:4">
      <c r="A6" s="31" t="s">
        <v>861</v>
      </c>
      <c r="B6" s="31" t="s">
        <v>858</v>
      </c>
      <c r="C6" s="31" t="s">
        <v>862</v>
      </c>
      <c r="D6" t="s">
        <v>863</v>
      </c>
    </row>
    <row r="7" spans="1:4">
      <c r="A7" s="31" t="s">
        <v>864</v>
      </c>
      <c r="B7" s="31" t="s">
        <v>858</v>
      </c>
      <c r="C7" s="31" t="s">
        <v>859</v>
      </c>
      <c r="D7" t="s">
        <v>860</v>
      </c>
    </row>
  </sheetData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STab 1 - Wild sheep</vt:lpstr>
      <vt:lpstr>STab 2 - WGS Panel</vt:lpstr>
      <vt:lpstr>STab 3 - SNPCHP Panel</vt:lpstr>
      <vt:lpstr>STab 4 - Continuity ASTF</vt:lpstr>
      <vt:lpstr>STab 5 - Continuity AKAS</vt:lpstr>
      <vt:lpstr>STab 6 - Ancient remains</vt:lpstr>
      <vt:lpstr>STab 7 - Admixture Graph Fit</vt:lpstr>
      <vt:lpstr>STab 8 - Phenotypes</vt:lpstr>
      <vt:lpstr>'STab 4 - Continuity ASTF'!DatosExternos_3</vt:lpstr>
      <vt:lpstr>'STab 5 - Continuity AKAS'!DatosExternos_4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Martin Larsson</dc:creator>
  <cp:keywords/>
  <dc:description/>
  <cp:lastModifiedBy>Pedro Morell Miranda</cp:lastModifiedBy>
  <cp:revision>9</cp:revision>
  <dcterms:created xsi:type="dcterms:W3CDTF">2015-06-05T18:17:20Z</dcterms:created>
  <dcterms:modified xsi:type="dcterms:W3CDTF">2024-04-23T12:16:05Z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